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érification unitaire" sheetId="1" r:id="rId1"/>
    <sheet name="Vérification en masse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C6" i="1" l="1"/>
  <c r="C8" i="2" l="1"/>
  <c r="C43" i="2" l="1"/>
  <c r="C42" i="2"/>
  <c r="C41" i="2"/>
  <c r="C34" i="2" l="1"/>
  <c r="C33" i="2"/>
  <c r="C32" i="2"/>
  <c r="C31" i="2"/>
  <c r="C30" i="2"/>
  <c r="C29" i="2"/>
  <c r="C28" i="2"/>
  <c r="C27" i="2"/>
  <c r="C26" i="2"/>
  <c r="C25" i="2"/>
  <c r="C19" i="2"/>
  <c r="C18" i="2"/>
  <c r="C16" i="2"/>
  <c r="C15" i="2"/>
  <c r="C14" i="2"/>
  <c r="C13" i="2"/>
  <c r="C12" i="2"/>
  <c r="C11" i="2"/>
  <c r="C10" i="2"/>
  <c r="C9" i="2"/>
  <c r="C7" i="2"/>
  <c r="C20" i="1" l="1"/>
  <c r="C18" i="1" l="1"/>
  <c r="C19" i="1"/>
  <c r="C16" i="1" l="1"/>
  <c r="C15" i="1" l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<sst xmlns="http://schemas.openxmlformats.org/spreadsheetml/2006/main" count="338" uniqueCount="70">
  <si>
    <t>1750163220748</t>
  </si>
  <si>
    <t>160012B020777</t>
  </si>
  <si>
    <t>2751263220749</t>
  </si>
  <si>
    <t>2770763220829</t>
  </si>
  <si>
    <t>1100863220830</t>
  </si>
  <si>
    <t>1100863220831</t>
  </si>
  <si>
    <t>1100863220832</t>
  </si>
  <si>
    <t>1140263220833</t>
  </si>
  <si>
    <t>2360663220836</t>
  </si>
  <si>
    <t>NumIdentifiant</t>
  </si>
  <si>
    <t>Cle</t>
  </si>
  <si>
    <t>OID</t>
  </si>
  <si>
    <t>1.2.250.1.213.1.4.8</t>
  </si>
  <si>
    <t>INSFourni</t>
  </si>
  <si>
    <t>ADRUN</t>
  </si>
  <si>
    <t>BAPTISTE</t>
  </si>
  <si>
    <t>M</t>
  </si>
  <si>
    <t>1975-01-01</t>
  </si>
  <si>
    <t>63220</t>
  </si>
  <si>
    <t>ADRTROIS</t>
  </si>
  <si>
    <t>TOUSSAINT</t>
  </si>
  <si>
    <t>1960-01-01</t>
  </si>
  <si>
    <t>F</t>
  </si>
  <si>
    <t>ZOE</t>
  </si>
  <si>
    <t>1975-12-31</t>
  </si>
  <si>
    <t>NESSI</t>
  </si>
  <si>
    <t>RUTH ISABELLE</t>
  </si>
  <si>
    <t>1977-07-14</t>
  </si>
  <si>
    <t>MICHELANGELO ANTHONY</t>
  </si>
  <si>
    <t>2010-08-07</t>
  </si>
  <si>
    <t>DE VINCI</t>
  </si>
  <si>
    <t>DONATELLO THIERRY MICHEL</t>
  </si>
  <si>
    <t>RAPHAEL</t>
  </si>
  <si>
    <t>LEONARDO PIERO</t>
  </si>
  <si>
    <t>2014-02-01</t>
  </si>
  <si>
    <t>TCHITCHI</t>
  </si>
  <si>
    <t>CATARINA BELLA</t>
  </si>
  <si>
    <t>1936-06-21</t>
  </si>
  <si>
    <t>NomNaissance</t>
  </si>
  <si>
    <t>ListePrenom</t>
  </si>
  <si>
    <t>Sexe</t>
  </si>
  <si>
    <t>DateNaissance</t>
  </si>
  <si>
    <t>LieuNaissance</t>
  </si>
  <si>
    <t>TraitsIdentiteIndividu</t>
  </si>
  <si>
    <t>N° de cas</t>
  </si>
  <si>
    <t>180032B020401</t>
  </si>
  <si>
    <t>CORSE</t>
  </si>
  <si>
    <t>ANTHONY</t>
  </si>
  <si>
    <t>1980-03-02</t>
  </si>
  <si>
    <t>2B020</t>
  </si>
  <si>
    <t>1090763220888</t>
  </si>
  <si>
    <t>1.2.250.1.213.1.4.9</t>
  </si>
  <si>
    <t>PROVISOIRE</t>
  </si>
  <si>
    <t>MATRICULE</t>
  </si>
  <si>
    <t>2009-07-01</t>
  </si>
  <si>
    <t>D'ARTAGNAN DE L'HERAULT</t>
  </si>
  <si>
    <t>NATHALIE</t>
  </si>
  <si>
    <t>Vérification unitaire</t>
  </si>
  <si>
    <t>Vérification en masse</t>
  </si>
  <si>
    <t>Lot 1</t>
  </si>
  <si>
    <t>1990163220752</t>
  </si>
  <si>
    <t>Lot 2</t>
  </si>
  <si>
    <t>Lot 3</t>
  </si>
  <si>
    <t>1900463220899</t>
  </si>
  <si>
    <t>PIERRE-ALAIN BRUCE GORDON</t>
  </si>
  <si>
    <t>1990-04-14</t>
  </si>
  <si>
    <t>199012A019999</t>
  </si>
  <si>
    <t>JOSEPH PIERO</t>
  </si>
  <si>
    <t>1999-01-01</t>
  </si>
  <si>
    <t>2A019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</si>
</sst>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4" borderId="1" xfId="0" applyNumberFormat="1" applyFont="1" applyFill="1" applyBorder="1"/>
    <xf numFmtId="0" fontId="1" fillId="4" borderId="1" xfId="0" applyNumberFormat="1" applyFont="1" applyFill="1" applyBorder="1"/>
    <xf numFmtId="0" fontId="0" fillId="4" borderId="1" xfId="0" applyFill="1" applyBorder="1"/>
    <xf numFmtId="0" fontId="2" fillId="2" borderId="1" xfId="0" applyFont="1" applyFill="1" applyBorder="1"/>
    <xf numFmtId="49" fontId="0" fillId="0" borderId="1" xfId="0" applyNumberFormat="1" applyFont="1" applyFill="1" applyBorder="1"/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/>
    <xf numFmtId="0" fontId="2" fillId="2" borderId="4" xfId="0" applyFont="1" applyFill="1" applyBorder="1"/>
    <xf numFmtId="0" fontId="0" fillId="5" borderId="5" xfId="0" applyFill="1" applyBorder="1"/>
    <xf numFmtId="0" fontId="0" fillId="0" borderId="1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" fillId="0" borderId="1" xfId="0" applyNumberFormat="1" applyFont="1" applyFill="1" applyBorder="1"/>
    <xf numFmtId="0" fontId="0" fillId="0" borderId="1" xfId="0" applyFill="1" applyBorder="1"/>
    <xf numFmtId="0" fontId="1" fillId="0" borderId="1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9" fontId="0" fillId="3" borderId="1" xfId="0" applyNumberFormat="1" applyFont="1" applyFill="1" applyBorder="1"/>
    <xf numFmtId="0" fontId="1" fillId="3" borderId="1" xfId="0" applyNumberFormat="1" applyFont="1" applyFill="1" applyBorder="1"/>
    <xf numFmtId="0" fontId="0" fillId="3" borderId="1" xfId="0" applyFill="1" applyBorder="1"/>
    <xf numFmtId="49" fontId="0" fillId="3" borderId="1" xfId="0" applyNumberFormat="1" applyFont="1" applyFill="1" applyBorder="1" applyAlignment="1">
      <alignment horizontal="center"/>
    </xf>
    <xf numFmtId="49" fontId="0" fillId="3" borderId="1" xfId="0" applyNumberFormat="1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2" max="2" width="24.85546875" customWidth="1"/>
    <col min="4" max="4" width="31.28515625" customWidth="1"/>
    <col min="6" max="6" width="28.28515625" customWidth="1"/>
    <col min="7" max="7" width="32.28515625" customWidth="1"/>
    <col min="9" max="9" width="17.7109375" customWidth="1"/>
    <col min="10" max="10" width="15.42578125" customWidth="1"/>
  </cols>
  <sheetData>
    <row r="1" spans="1:10" ht="15.75" thickBot="1" x14ac:dyDescent="0.3"/>
    <row r="2" spans="1:10" ht="19.5" thickBot="1" x14ac:dyDescent="0.35">
      <c r="D2" s="21" t="s">
        <v>57</v>
      </c>
      <c r="E2" s="22"/>
      <c r="F2" s="22"/>
      <c r="G2" s="22"/>
      <c r="H2" s="23"/>
    </row>
    <row r="4" spans="1:10" ht="56.25" customHeight="1" thickBot="1" x14ac:dyDescent="0.3">
      <c r="B4" s="18" t="s">
        <v>13</v>
      </c>
      <c r="C4" s="19"/>
      <c r="D4" s="20"/>
      <c r="F4" s="18" t="s">
        <v>43</v>
      </c>
      <c r="G4" s="19"/>
      <c r="H4" s="19"/>
      <c r="I4" s="19"/>
      <c r="J4" s="20"/>
    </row>
    <row r="5" spans="1:10" x14ac:dyDescent="0.25">
      <c r="A5" s="9" t="s">
        <v>44</v>
      </c>
      <c r="B5" s="8" t="s">
        <v>9</v>
      </c>
      <c r="C5" s="4" t="s">
        <v>10</v>
      </c>
      <c r="D5" s="4" t="s">
        <v>11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</row>
    <row r="6" spans="1:10" x14ac:dyDescent="0.25">
      <c r="A6" s="29">
        <v>1</v>
      </c>
      <c r="B6" s="24" t="s">
        <v>63</v>
      </c>
      <c r="C6" s="25" t="str">
        <f>TEXT(97-MOD((MOD(VALUE(MID((SUBSTITUTE(SUBSTITUTE(B6,"2B","18",1),"2A","19",1)),1,7)),97)*27)+(MOD(VALUE(MID((SUBSTITUTE(SUBSTITUTE(B6,"2B","18",1),"2A","19",1)),8,6)),97)),97),"00")</f>
        <v>81</v>
      </c>
      <c r="D6" s="26" t="s">
        <v>12</v>
      </c>
      <c r="F6" s="24" t="s">
        <v>55</v>
      </c>
      <c r="G6" s="24" t="s">
        <v>64</v>
      </c>
      <c r="H6" s="27" t="s">
        <v>16</v>
      </c>
      <c r="I6" s="24" t="s">
        <v>65</v>
      </c>
      <c r="J6" s="28" t="s">
        <v>18</v>
      </c>
    </row>
    <row r="7" spans="1:10" x14ac:dyDescent="0.25">
      <c r="A7" s="10">
        <v>2</v>
      </c>
      <c r="B7" s="1" t="s">
        <v>1</v>
      </c>
      <c r="C7" s="2" t="str">
        <f t="shared" ref="C7:C15" si="0">TEXT(97-MOD((MOD(VALUE(MID((SUBSTITUTE(SUBSTITUTE(B7,"2B","18",1),"2A","19",1)),1,7)),97)*27)+(MOD(VALUE(MID((SUBSTITUTE(SUBSTITUTE(B7,"2B","18",1),"2A","19",1)),8,6)),97)),97),"00")</f>
        <v>13</v>
      </c>
      <c r="D7" s="3" t="s">
        <v>12</v>
      </c>
      <c r="F7" s="5" t="s">
        <v>19</v>
      </c>
      <c r="G7" s="5" t="s">
        <v>20</v>
      </c>
      <c r="H7" s="6" t="s">
        <v>16</v>
      </c>
      <c r="I7" s="5" t="s">
        <v>21</v>
      </c>
      <c r="J7" s="7" t="s">
        <v>49</v>
      </c>
    </row>
    <row r="8" spans="1:10" x14ac:dyDescent="0.25">
      <c r="A8" s="10">
        <v>3</v>
      </c>
      <c r="B8" s="1" t="s">
        <v>2</v>
      </c>
      <c r="C8" s="2" t="str">
        <f t="shared" si="0"/>
        <v>74</v>
      </c>
      <c r="D8" s="3" t="s">
        <v>12</v>
      </c>
      <c r="F8" s="5" t="s">
        <v>14</v>
      </c>
      <c r="G8" s="5" t="s">
        <v>23</v>
      </c>
      <c r="H8" s="6" t="s">
        <v>22</v>
      </c>
      <c r="I8" s="5" t="s">
        <v>24</v>
      </c>
      <c r="J8" s="7" t="s">
        <v>18</v>
      </c>
    </row>
    <row r="9" spans="1:10" x14ac:dyDescent="0.25">
      <c r="A9" s="10">
        <v>4</v>
      </c>
      <c r="B9" s="1" t="s">
        <v>3</v>
      </c>
      <c r="C9" s="2" t="str">
        <f t="shared" si="0"/>
        <v>10</v>
      </c>
      <c r="D9" s="3" t="s">
        <v>12</v>
      </c>
      <c r="F9" s="5" t="s">
        <v>25</v>
      </c>
      <c r="G9" s="5" t="s">
        <v>26</v>
      </c>
      <c r="H9" s="6" t="s">
        <v>22</v>
      </c>
      <c r="I9" s="5" t="s">
        <v>27</v>
      </c>
      <c r="J9" s="7" t="s">
        <v>18</v>
      </c>
    </row>
    <row r="10" spans="1:10" x14ac:dyDescent="0.25">
      <c r="A10" s="10">
        <v>5</v>
      </c>
      <c r="B10" s="1" t="s">
        <v>4</v>
      </c>
      <c r="C10" s="2" t="str">
        <f t="shared" si="0"/>
        <v>60</v>
      </c>
      <c r="D10" s="3" t="s">
        <v>12</v>
      </c>
      <c r="F10" s="5" t="s">
        <v>25</v>
      </c>
      <c r="G10" s="5" t="s">
        <v>28</v>
      </c>
      <c r="H10" s="6" t="s">
        <v>16</v>
      </c>
      <c r="I10" s="5" t="s">
        <v>29</v>
      </c>
      <c r="J10" s="7" t="s">
        <v>18</v>
      </c>
    </row>
    <row r="11" spans="1:10" x14ac:dyDescent="0.25">
      <c r="A11" s="10">
        <v>6</v>
      </c>
      <c r="B11" s="1" t="s">
        <v>5</v>
      </c>
      <c r="C11" s="2" t="str">
        <f t="shared" si="0"/>
        <v>59</v>
      </c>
      <c r="D11" s="3" t="s">
        <v>12</v>
      </c>
      <c r="F11" s="5" t="s">
        <v>30</v>
      </c>
      <c r="G11" s="5" t="s">
        <v>31</v>
      </c>
      <c r="H11" s="6" t="s">
        <v>16</v>
      </c>
      <c r="I11" s="5" t="s">
        <v>29</v>
      </c>
      <c r="J11" s="7" t="s">
        <v>18</v>
      </c>
    </row>
    <row r="12" spans="1:10" x14ac:dyDescent="0.25">
      <c r="A12" s="10">
        <v>7</v>
      </c>
      <c r="B12" s="1" t="s">
        <v>6</v>
      </c>
      <c r="C12" s="2" t="str">
        <f t="shared" si="0"/>
        <v>58</v>
      </c>
      <c r="D12" s="3" t="s">
        <v>12</v>
      </c>
      <c r="F12" s="5" t="s">
        <v>30</v>
      </c>
      <c r="G12" s="5" t="s">
        <v>32</v>
      </c>
      <c r="H12" s="6" t="s">
        <v>16</v>
      </c>
      <c r="I12" s="5" t="s">
        <v>29</v>
      </c>
      <c r="J12" s="7" t="s">
        <v>18</v>
      </c>
    </row>
    <row r="13" spans="1:10" x14ac:dyDescent="0.25">
      <c r="A13" s="10">
        <v>8</v>
      </c>
      <c r="B13" s="1" t="s">
        <v>7</v>
      </c>
      <c r="C13" s="2" t="str">
        <f t="shared" si="0"/>
        <v>56</v>
      </c>
      <c r="D13" s="3" t="s">
        <v>12</v>
      </c>
      <c r="F13" s="5" t="s">
        <v>30</v>
      </c>
      <c r="G13" s="5" t="s">
        <v>33</v>
      </c>
      <c r="H13" s="6" t="s">
        <v>16</v>
      </c>
      <c r="I13" s="5" t="s">
        <v>34</v>
      </c>
      <c r="J13" s="7" t="s">
        <v>18</v>
      </c>
    </row>
    <row r="14" spans="1:10" x14ac:dyDescent="0.25">
      <c r="A14" s="29">
        <v>9</v>
      </c>
      <c r="B14" s="24" t="s">
        <v>66</v>
      </c>
      <c r="C14" s="25" t="str">
        <f t="shared" si="0"/>
        <v>17</v>
      </c>
      <c r="D14" s="26" t="s">
        <v>12</v>
      </c>
      <c r="F14" s="24" t="s">
        <v>46</v>
      </c>
      <c r="G14" s="24" t="s">
        <v>67</v>
      </c>
      <c r="H14" s="27" t="s">
        <v>16</v>
      </c>
      <c r="I14" s="24" t="s">
        <v>68</v>
      </c>
      <c r="J14" s="28" t="s">
        <v>69</v>
      </c>
    </row>
    <row r="15" spans="1:10" x14ac:dyDescent="0.25">
      <c r="A15" s="10">
        <v>10</v>
      </c>
      <c r="B15" s="1" t="s">
        <v>8</v>
      </c>
      <c r="C15" s="2" t="str">
        <f t="shared" si="0"/>
        <v>56</v>
      </c>
      <c r="D15" s="3" t="s">
        <v>12</v>
      </c>
      <c r="F15" s="5" t="s">
        <v>35</v>
      </c>
      <c r="G15" s="5" t="s">
        <v>36</v>
      </c>
      <c r="H15" s="6" t="s">
        <v>22</v>
      </c>
      <c r="I15" s="5" t="s">
        <v>37</v>
      </c>
      <c r="J15" s="7" t="s">
        <v>18</v>
      </c>
    </row>
    <row r="16" spans="1:10" x14ac:dyDescent="0.25">
      <c r="A16" s="10">
        <v>11</v>
      </c>
      <c r="B16" s="1" t="s">
        <v>45</v>
      </c>
      <c r="C16" s="2" t="str">
        <f t="shared" ref="C16:C18" si="1">TEXT(97-MOD((MOD(VALUE(MID((SUBSTITUTE(SUBSTITUTE(B16,"2B","18",1),"2A","19",1)),1,7)),97)*27)+(MOD(VALUE(MID((SUBSTITUTE(SUBSTITUTE(B16,"2B","18",1),"2A","19",1)),8,6)),97)),97),"00")</f>
        <v>23</v>
      </c>
      <c r="D16" s="3" t="s">
        <v>12</v>
      </c>
      <c r="F16" s="5" t="s">
        <v>46</v>
      </c>
      <c r="G16" s="5" t="s">
        <v>47</v>
      </c>
      <c r="H16" s="6" t="s">
        <v>16</v>
      </c>
      <c r="I16" s="5" t="s">
        <v>48</v>
      </c>
      <c r="J16" s="7" t="s">
        <v>49</v>
      </c>
    </row>
    <row r="17" spans="1:10" x14ac:dyDescent="0.25">
      <c r="A17" s="10">
        <v>12</v>
      </c>
      <c r="B17" s="1" t="s">
        <v>0</v>
      </c>
      <c r="C17" s="2"/>
      <c r="D17" s="3" t="s">
        <v>12</v>
      </c>
      <c r="F17" s="5" t="s">
        <v>14</v>
      </c>
      <c r="G17" s="5" t="s">
        <v>15</v>
      </c>
      <c r="H17" s="6"/>
      <c r="I17" s="5" t="s">
        <v>17</v>
      </c>
      <c r="J17" s="7"/>
    </row>
    <row r="18" spans="1:10" x14ac:dyDescent="0.25">
      <c r="A18" s="10">
        <v>13</v>
      </c>
      <c r="B18" s="1" t="s">
        <v>0</v>
      </c>
      <c r="C18" s="2" t="str">
        <f t="shared" si="1"/>
        <v>46</v>
      </c>
      <c r="D18" s="3" t="s">
        <v>12</v>
      </c>
      <c r="F18" s="5" t="s">
        <v>14</v>
      </c>
      <c r="G18" s="5" t="s">
        <v>15</v>
      </c>
      <c r="H18" s="6" t="s">
        <v>16</v>
      </c>
      <c r="I18" s="5" t="s">
        <v>17</v>
      </c>
      <c r="J18" s="7"/>
    </row>
    <row r="19" spans="1:10" x14ac:dyDescent="0.25">
      <c r="A19" s="10">
        <v>14</v>
      </c>
      <c r="B19" s="1" t="s">
        <v>50</v>
      </c>
      <c r="C19" s="2" t="str">
        <f t="shared" ref="C19:C20" si="2">TEXT(97-MOD((MOD(VALUE(MID((SUBSTITUTE(SUBSTITUTE(B19,"2B","18",1),"2A","19",1)),1,7)),97)*27)+(MOD(VALUE(MID((SUBSTITUTE(SUBSTITUTE(B19,"2B","18",1),"2A","19",1)),8,6)),97)),97),"00")</f>
        <v>35</v>
      </c>
      <c r="D19" s="3" t="s">
        <v>51</v>
      </c>
      <c r="F19" s="5" t="s">
        <v>52</v>
      </c>
      <c r="G19" s="5" t="s">
        <v>53</v>
      </c>
      <c r="H19" s="6" t="s">
        <v>16</v>
      </c>
      <c r="I19" s="5" t="s">
        <v>54</v>
      </c>
      <c r="J19" s="7" t="s">
        <v>18</v>
      </c>
    </row>
    <row r="20" spans="1:10" x14ac:dyDescent="0.25">
      <c r="A20" s="10">
        <v>15</v>
      </c>
      <c r="B20" s="1" t="s">
        <v>3</v>
      </c>
      <c r="C20" s="2" t="str">
        <f t="shared" si="2"/>
        <v>10</v>
      </c>
      <c r="D20" s="3" t="s">
        <v>12</v>
      </c>
      <c r="F20" s="5" t="s">
        <v>25</v>
      </c>
      <c r="G20" s="5" t="s">
        <v>56</v>
      </c>
      <c r="H20" s="6" t="s">
        <v>22</v>
      </c>
      <c r="I20" s="5" t="s">
        <v>27</v>
      </c>
      <c r="J20" s="7" t="s">
        <v>18</v>
      </c>
    </row>
  </sheetData>
  <mergeCells count="3">
    <mergeCell ref="B4:D4"/>
    <mergeCell ref="F4:J4"/>
    <mergeCell ref="D2: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A14" sqref="A14:D14"/>
    </sheetView>
  </sheetViews>
  <sheetFormatPr baseColWidth="10" defaultColWidth="9.140625" defaultRowHeight="15" x14ac:dyDescent="0.25"/>
  <cols>
    <col min="2" max="2" width="19" customWidth="1"/>
    <col min="4" max="4" width="22.5703125" customWidth="1"/>
    <col min="6" max="6" width="25.42578125" customWidth="1"/>
    <col min="7" max="7" width="39.5703125" customWidth="1"/>
    <col min="8" max="8" width="14.140625" customWidth="1"/>
    <col min="9" max="9" width="13.42578125" customWidth="1"/>
    <col min="10" max="10" width="14.5703125" customWidth="1"/>
  </cols>
  <sheetData>
    <row r="1" spans="1:10" ht="19.5" thickBot="1" x14ac:dyDescent="0.35">
      <c r="D1" s="21" t="s">
        <v>58</v>
      </c>
      <c r="E1" s="22"/>
      <c r="F1" s="22"/>
      <c r="G1" s="22"/>
      <c r="H1" s="23"/>
    </row>
    <row r="2" spans="1:10" ht="19.5" thickBot="1" x14ac:dyDescent="0.35">
      <c r="D2" s="11"/>
      <c r="E2" s="11"/>
      <c r="F2" s="11"/>
      <c r="G2" s="11"/>
      <c r="H2" s="11"/>
    </row>
    <row r="3" spans="1:10" ht="19.5" thickBot="1" x14ac:dyDescent="0.35">
      <c r="D3" s="12"/>
      <c r="E3" s="13"/>
      <c r="F3" s="13" t="s">
        <v>59</v>
      </c>
      <c r="G3" s="13"/>
      <c r="H3" s="14"/>
    </row>
    <row r="5" spans="1:10" ht="56.25" customHeight="1" thickBot="1" x14ac:dyDescent="0.3">
      <c r="B5" s="18" t="s">
        <v>13</v>
      </c>
      <c r="C5" s="19"/>
      <c r="D5" s="20"/>
      <c r="F5" s="18" t="s">
        <v>43</v>
      </c>
      <c r="G5" s="19"/>
      <c r="H5" s="19"/>
      <c r="I5" s="19"/>
      <c r="J5" s="20"/>
    </row>
    <row r="6" spans="1:10" x14ac:dyDescent="0.25">
      <c r="A6" s="9" t="s">
        <v>44</v>
      </c>
      <c r="B6" s="8" t="s">
        <v>9</v>
      </c>
      <c r="C6" s="4" t="s">
        <v>10</v>
      </c>
      <c r="D6" s="4" t="s">
        <v>11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</row>
    <row r="7" spans="1:10" x14ac:dyDescent="0.25">
      <c r="A7" s="29">
        <v>1</v>
      </c>
      <c r="B7" s="24" t="s">
        <v>63</v>
      </c>
      <c r="C7" s="25" t="str">
        <f t="shared" ref="C7:C19" si="0">TEXT(97-MOD((MOD(VALUE(MID((SUBSTITUTE(SUBSTITUTE(B7,"2B","18",1),"2A","19",1)),1,7)),97)*27)+(MOD(VALUE(MID((SUBSTITUTE(SUBSTITUTE(B7,"2B","18",1),"2A","19",1)),8,6)),97)),97),"00")</f>
        <v>81</v>
      </c>
      <c r="D7" s="26" t="s">
        <v>12</v>
      </c>
      <c r="F7" s="24" t="s">
        <v>55</v>
      </c>
      <c r="G7" s="24" t="s">
        <v>64</v>
      </c>
      <c r="H7" s="27" t="s">
        <v>16</v>
      </c>
      <c r="I7" s="24" t="s">
        <v>65</v>
      </c>
      <c r="J7" s="28" t="s">
        <v>18</v>
      </c>
    </row>
    <row r="8" spans="1:10" x14ac:dyDescent="0.25">
      <c r="A8" s="10">
        <v>2</v>
      </c>
      <c r="B8" s="5" t="s">
        <v>1</v>
      </c>
      <c r="C8" s="15" t="str">
        <f t="shared" si="0"/>
        <v>13</v>
      </c>
      <c r="D8" s="16" t="s">
        <v>12</v>
      </c>
      <c r="F8" s="5" t="s">
        <v>19</v>
      </c>
      <c r="G8" s="5" t="s">
        <v>20</v>
      </c>
      <c r="H8" s="6" t="s">
        <v>16</v>
      </c>
      <c r="I8" s="5" t="s">
        <v>21</v>
      </c>
      <c r="J8" s="7" t="s">
        <v>49</v>
      </c>
    </row>
    <row r="9" spans="1:10" x14ac:dyDescent="0.25">
      <c r="A9" s="10">
        <v>3</v>
      </c>
      <c r="B9" s="5" t="s">
        <v>2</v>
      </c>
      <c r="C9" s="15" t="str">
        <f t="shared" si="0"/>
        <v>74</v>
      </c>
      <c r="D9" s="16" t="s">
        <v>12</v>
      </c>
      <c r="F9" s="5" t="s">
        <v>14</v>
      </c>
      <c r="G9" s="5" t="s">
        <v>23</v>
      </c>
      <c r="H9" s="6" t="s">
        <v>22</v>
      </c>
      <c r="I9" s="5" t="s">
        <v>24</v>
      </c>
      <c r="J9" s="7" t="s">
        <v>18</v>
      </c>
    </row>
    <row r="10" spans="1:10" x14ac:dyDescent="0.25">
      <c r="A10" s="10">
        <v>4</v>
      </c>
      <c r="B10" s="5" t="s">
        <v>4</v>
      </c>
      <c r="C10" s="15" t="str">
        <f t="shared" si="0"/>
        <v>60</v>
      </c>
      <c r="D10" s="16" t="s">
        <v>12</v>
      </c>
      <c r="F10" s="5" t="s">
        <v>25</v>
      </c>
      <c r="G10" s="5" t="s">
        <v>28</v>
      </c>
      <c r="H10" s="6" t="s">
        <v>16</v>
      </c>
      <c r="I10" s="5" t="s">
        <v>29</v>
      </c>
      <c r="J10" s="7" t="s">
        <v>18</v>
      </c>
    </row>
    <row r="11" spans="1:10" x14ac:dyDescent="0.25">
      <c r="A11" s="10">
        <v>5</v>
      </c>
      <c r="B11" s="5" t="s">
        <v>5</v>
      </c>
      <c r="C11" s="15" t="str">
        <f t="shared" si="0"/>
        <v>59</v>
      </c>
      <c r="D11" s="16" t="s">
        <v>12</v>
      </c>
      <c r="F11" s="5" t="s">
        <v>30</v>
      </c>
      <c r="G11" s="5" t="s">
        <v>31</v>
      </c>
      <c r="H11" s="6" t="s">
        <v>16</v>
      </c>
      <c r="I11" s="5" t="s">
        <v>29</v>
      </c>
      <c r="J11" s="7" t="s">
        <v>18</v>
      </c>
    </row>
    <row r="12" spans="1:10" x14ac:dyDescent="0.25">
      <c r="A12" s="10">
        <v>6</v>
      </c>
      <c r="B12" s="5" t="s">
        <v>6</v>
      </c>
      <c r="C12" s="15" t="str">
        <f t="shared" si="0"/>
        <v>58</v>
      </c>
      <c r="D12" s="16" t="s">
        <v>12</v>
      </c>
      <c r="F12" s="5" t="s">
        <v>30</v>
      </c>
      <c r="G12" s="5" t="s">
        <v>32</v>
      </c>
      <c r="H12" s="6" t="s">
        <v>16</v>
      </c>
      <c r="I12" s="5" t="s">
        <v>29</v>
      </c>
      <c r="J12" s="7" t="s">
        <v>18</v>
      </c>
    </row>
    <row r="13" spans="1:10" x14ac:dyDescent="0.25">
      <c r="A13" s="10">
        <v>7</v>
      </c>
      <c r="B13" s="5" t="s">
        <v>7</v>
      </c>
      <c r="C13" s="15" t="str">
        <f t="shared" si="0"/>
        <v>56</v>
      </c>
      <c r="D13" s="16" t="s">
        <v>12</v>
      </c>
      <c r="F13" s="5" t="s">
        <v>30</v>
      </c>
      <c r="G13" s="5" t="s">
        <v>33</v>
      </c>
      <c r="H13" s="6" t="s">
        <v>16</v>
      </c>
      <c r="I13" s="5" t="s">
        <v>34</v>
      </c>
      <c r="J13" s="7" t="s">
        <v>18</v>
      </c>
    </row>
    <row r="14" spans="1:10" x14ac:dyDescent="0.25">
      <c r="A14" s="29">
        <v>8</v>
      </c>
      <c r="B14" s="24" t="s">
        <v>66</v>
      </c>
      <c r="C14" s="25" t="str">
        <f t="shared" si="0"/>
        <v>17</v>
      </c>
      <c r="D14" s="26" t="s">
        <v>12</v>
      </c>
      <c r="F14" s="24" t="s">
        <v>46</v>
      </c>
      <c r="G14" s="24" t="s">
        <v>67</v>
      </c>
      <c r="H14" s="27" t="s">
        <v>16</v>
      </c>
      <c r="I14" s="24" t="s">
        <v>68</v>
      </c>
      <c r="J14" s="28" t="s">
        <v>69</v>
      </c>
    </row>
    <row r="15" spans="1:10" x14ac:dyDescent="0.25">
      <c r="A15" s="10">
        <v>9</v>
      </c>
      <c r="B15" s="5" t="s">
        <v>8</v>
      </c>
      <c r="C15" s="15" t="str">
        <f t="shared" si="0"/>
        <v>56</v>
      </c>
      <c r="D15" s="16" t="s">
        <v>12</v>
      </c>
      <c r="F15" s="5" t="s">
        <v>35</v>
      </c>
      <c r="G15" s="5" t="s">
        <v>36</v>
      </c>
      <c r="H15" s="6" t="s">
        <v>22</v>
      </c>
      <c r="I15" s="5" t="s">
        <v>37</v>
      </c>
      <c r="J15" s="7" t="s">
        <v>18</v>
      </c>
    </row>
    <row r="16" spans="1:10" x14ac:dyDescent="0.25">
      <c r="A16" s="10">
        <v>10</v>
      </c>
      <c r="B16" s="5" t="s">
        <v>1</v>
      </c>
      <c r="C16" s="15" t="str">
        <f t="shared" si="0"/>
        <v>13</v>
      </c>
      <c r="D16" s="16" t="s">
        <v>12</v>
      </c>
      <c r="F16" s="5" t="s">
        <v>46</v>
      </c>
      <c r="G16" s="5" t="s">
        <v>47</v>
      </c>
      <c r="H16" s="6" t="s">
        <v>16</v>
      </c>
      <c r="I16" s="5" t="s">
        <v>48</v>
      </c>
      <c r="J16" s="7" t="s">
        <v>49</v>
      </c>
    </row>
    <row r="17" spans="1:10" x14ac:dyDescent="0.25">
      <c r="A17" s="10">
        <v>11</v>
      </c>
      <c r="B17" s="5" t="s">
        <v>0</v>
      </c>
      <c r="C17" s="17">
        <v>46</v>
      </c>
      <c r="D17" s="16" t="s">
        <v>12</v>
      </c>
      <c r="F17" s="5" t="s">
        <v>14</v>
      </c>
      <c r="G17" s="5" t="s">
        <v>15</v>
      </c>
      <c r="H17" s="6" t="s">
        <v>16</v>
      </c>
      <c r="I17" s="5" t="s">
        <v>17</v>
      </c>
      <c r="J17" s="7"/>
    </row>
    <row r="18" spans="1:10" x14ac:dyDescent="0.25">
      <c r="A18" s="10">
        <v>12</v>
      </c>
      <c r="B18" s="5" t="s">
        <v>60</v>
      </c>
      <c r="C18" s="15" t="str">
        <f t="shared" si="0"/>
        <v>30</v>
      </c>
      <c r="D18" s="16" t="s">
        <v>51</v>
      </c>
      <c r="F18" s="5" t="s">
        <v>52</v>
      </c>
      <c r="G18" s="5" t="s">
        <v>53</v>
      </c>
      <c r="H18" s="6" t="s">
        <v>16</v>
      </c>
      <c r="I18" s="5" t="s">
        <v>54</v>
      </c>
      <c r="J18" s="7" t="s">
        <v>18</v>
      </c>
    </row>
    <row r="19" spans="1:10" x14ac:dyDescent="0.25">
      <c r="A19" s="10">
        <v>13</v>
      </c>
      <c r="B19" s="5" t="s">
        <v>3</v>
      </c>
      <c r="C19" s="15" t="str">
        <f t="shared" si="0"/>
        <v>10</v>
      </c>
      <c r="D19" s="16" t="s">
        <v>12</v>
      </c>
      <c r="F19" s="5" t="s">
        <v>25</v>
      </c>
      <c r="G19" s="5" t="s">
        <v>56</v>
      </c>
      <c r="H19" s="6" t="s">
        <v>22</v>
      </c>
      <c r="I19" s="5" t="s">
        <v>27</v>
      </c>
      <c r="J19" s="7" t="s">
        <v>18</v>
      </c>
    </row>
    <row r="20" spans="1:10" ht="15.75" thickBot="1" x14ac:dyDescent="0.3"/>
    <row r="21" spans="1:10" ht="19.5" thickBot="1" x14ac:dyDescent="0.35">
      <c r="D21" s="12"/>
      <c r="E21" s="13"/>
      <c r="F21" s="13" t="s">
        <v>61</v>
      </c>
      <c r="G21" s="13"/>
      <c r="H21" s="14"/>
    </row>
    <row r="23" spans="1:10" ht="56.25" customHeight="1" thickBot="1" x14ac:dyDescent="0.3">
      <c r="B23" s="18" t="s">
        <v>13</v>
      </c>
      <c r="C23" s="19"/>
      <c r="D23" s="20"/>
      <c r="F23" s="18" t="s">
        <v>43</v>
      </c>
      <c r="G23" s="19"/>
      <c r="H23" s="19"/>
      <c r="I23" s="19"/>
      <c r="J23" s="20"/>
    </row>
    <row r="24" spans="1:10" x14ac:dyDescent="0.25">
      <c r="A24" s="9" t="s">
        <v>44</v>
      </c>
      <c r="B24" s="8" t="s">
        <v>9</v>
      </c>
      <c r="C24" s="4" t="s">
        <v>10</v>
      </c>
      <c r="D24" s="4" t="s">
        <v>11</v>
      </c>
      <c r="F24" s="4" t="s">
        <v>38</v>
      </c>
      <c r="G24" s="4" t="s">
        <v>39</v>
      </c>
      <c r="H24" s="4" t="s">
        <v>40</v>
      </c>
      <c r="I24" s="4" t="s">
        <v>41</v>
      </c>
      <c r="J24" s="4" t="s">
        <v>42</v>
      </c>
    </row>
    <row r="25" spans="1:10" x14ac:dyDescent="0.25">
      <c r="A25" s="29">
        <v>1</v>
      </c>
      <c r="B25" s="24" t="s">
        <v>63</v>
      </c>
      <c r="C25" s="25" t="str">
        <f t="shared" ref="C25:C34" si="1">TEXT(97-MOD((MOD(VALUE(MID((SUBSTITUTE(SUBSTITUTE(B25,"2B","18",1),"2A","19",1)),1,7)),97)*27)+(MOD(VALUE(MID((SUBSTITUTE(SUBSTITUTE(B25,"2B","18",1),"2A","19",1)),8,6)),97)),97),"00")</f>
        <v>81</v>
      </c>
      <c r="D25" s="26" t="s">
        <v>12</v>
      </c>
      <c r="F25" s="24" t="s">
        <v>55</v>
      </c>
      <c r="G25" s="24" t="s">
        <v>64</v>
      </c>
      <c r="H25" s="27" t="s">
        <v>16</v>
      </c>
      <c r="I25" s="24" t="s">
        <v>65</v>
      </c>
      <c r="J25" s="28" t="s">
        <v>18</v>
      </c>
    </row>
    <row r="26" spans="1:10" x14ac:dyDescent="0.25">
      <c r="A26" s="10">
        <v>2</v>
      </c>
      <c r="B26" s="5" t="s">
        <v>1</v>
      </c>
      <c r="C26" s="15" t="str">
        <f t="shared" si="1"/>
        <v>13</v>
      </c>
      <c r="D26" s="16" t="s">
        <v>12</v>
      </c>
      <c r="F26" s="5" t="s">
        <v>19</v>
      </c>
      <c r="G26" s="5" t="s">
        <v>20</v>
      </c>
      <c r="H26" s="6" t="s">
        <v>16</v>
      </c>
      <c r="I26" s="5" t="s">
        <v>21</v>
      </c>
      <c r="J26" s="7" t="s">
        <v>49</v>
      </c>
    </row>
    <row r="27" spans="1:10" x14ac:dyDescent="0.25">
      <c r="A27" s="10">
        <v>3</v>
      </c>
      <c r="B27" s="5" t="s">
        <v>2</v>
      </c>
      <c r="C27" s="15" t="str">
        <f t="shared" si="1"/>
        <v>74</v>
      </c>
      <c r="D27" s="16" t="s">
        <v>12</v>
      </c>
      <c r="F27" s="5" t="s">
        <v>14</v>
      </c>
      <c r="G27" s="5" t="s">
        <v>23</v>
      </c>
      <c r="H27" s="6" t="s">
        <v>22</v>
      </c>
      <c r="I27" s="5" t="s">
        <v>24</v>
      </c>
      <c r="J27" s="7" t="s">
        <v>18</v>
      </c>
    </row>
    <row r="28" spans="1:10" x14ac:dyDescent="0.25">
      <c r="A28" s="10">
        <v>4</v>
      </c>
      <c r="B28" s="5" t="s">
        <v>3</v>
      </c>
      <c r="C28" s="15" t="str">
        <f t="shared" si="1"/>
        <v>10</v>
      </c>
      <c r="D28" s="16" t="s">
        <v>12</v>
      </c>
      <c r="F28" s="5" t="s">
        <v>25</v>
      </c>
      <c r="G28" s="5" t="s">
        <v>26</v>
      </c>
      <c r="H28" s="6" t="s">
        <v>22</v>
      </c>
      <c r="I28" s="5" t="s">
        <v>27</v>
      </c>
      <c r="J28" s="7" t="s">
        <v>18</v>
      </c>
    </row>
    <row r="29" spans="1:10" x14ac:dyDescent="0.25">
      <c r="A29" s="10">
        <v>5</v>
      </c>
      <c r="B29" s="5" t="s">
        <v>4</v>
      </c>
      <c r="C29" s="15" t="str">
        <f t="shared" si="1"/>
        <v>60</v>
      </c>
      <c r="D29" s="16" t="s">
        <v>12</v>
      </c>
      <c r="F29" s="5" t="s">
        <v>25</v>
      </c>
      <c r="G29" s="5" t="s">
        <v>28</v>
      </c>
      <c r="H29" s="6" t="s">
        <v>16</v>
      </c>
      <c r="I29" s="5" t="s">
        <v>29</v>
      </c>
      <c r="J29" s="7" t="s">
        <v>18</v>
      </c>
    </row>
    <row r="30" spans="1:10" x14ac:dyDescent="0.25">
      <c r="A30" s="10">
        <v>6</v>
      </c>
      <c r="B30" s="5" t="s">
        <v>5</v>
      </c>
      <c r="C30" s="15" t="str">
        <f t="shared" si="1"/>
        <v>59</v>
      </c>
      <c r="D30" s="16" t="s">
        <v>12</v>
      </c>
      <c r="F30" s="5" t="s">
        <v>30</v>
      </c>
      <c r="G30" s="5" t="s">
        <v>31</v>
      </c>
      <c r="H30" s="6" t="s">
        <v>16</v>
      </c>
      <c r="I30" s="5" t="s">
        <v>29</v>
      </c>
      <c r="J30" s="7" t="s">
        <v>18</v>
      </c>
    </row>
    <row r="31" spans="1:10" x14ac:dyDescent="0.25">
      <c r="A31" s="10">
        <v>7</v>
      </c>
      <c r="B31" s="5" t="s">
        <v>6</v>
      </c>
      <c r="C31" s="15" t="str">
        <f t="shared" si="1"/>
        <v>58</v>
      </c>
      <c r="D31" s="16" t="s">
        <v>12</v>
      </c>
      <c r="F31" s="5" t="s">
        <v>30</v>
      </c>
      <c r="G31" s="5" t="s">
        <v>32</v>
      </c>
      <c r="H31" s="6" t="s">
        <v>16</v>
      </c>
      <c r="I31" s="5" t="s">
        <v>29</v>
      </c>
      <c r="J31" s="7" t="s">
        <v>18</v>
      </c>
    </row>
    <row r="32" spans="1:10" x14ac:dyDescent="0.25">
      <c r="A32" s="10">
        <v>8</v>
      </c>
      <c r="B32" s="5" t="s">
        <v>7</v>
      </c>
      <c r="C32" s="15" t="str">
        <f t="shared" si="1"/>
        <v>56</v>
      </c>
      <c r="D32" s="16" t="s">
        <v>12</v>
      </c>
      <c r="F32" s="5" t="s">
        <v>30</v>
      </c>
      <c r="G32" s="5" t="s">
        <v>33</v>
      </c>
      <c r="H32" s="6" t="s">
        <v>16</v>
      </c>
      <c r="I32" s="5" t="s">
        <v>34</v>
      </c>
      <c r="J32" s="7" t="s">
        <v>18</v>
      </c>
    </row>
    <row r="33" spans="1:10" x14ac:dyDescent="0.25">
      <c r="A33" s="29">
        <v>9</v>
      </c>
      <c r="B33" s="24" t="s">
        <v>66</v>
      </c>
      <c r="C33" s="25" t="str">
        <f t="shared" si="1"/>
        <v>17</v>
      </c>
      <c r="D33" s="26" t="s">
        <v>12</v>
      </c>
      <c r="F33" s="24" t="s">
        <v>46</v>
      </c>
      <c r="G33" s="24" t="s">
        <v>67</v>
      </c>
      <c r="H33" s="27" t="s">
        <v>16</v>
      </c>
      <c r="I33" s="24" t="s">
        <v>68</v>
      </c>
      <c r="J33" s="28" t="s">
        <v>69</v>
      </c>
    </row>
    <row r="34" spans="1:10" x14ac:dyDescent="0.25">
      <c r="A34" s="10">
        <v>10</v>
      </c>
      <c r="B34" s="5" t="s">
        <v>8</v>
      </c>
      <c r="C34" s="15" t="str">
        <f t="shared" si="1"/>
        <v>56</v>
      </c>
      <c r="D34" s="16" t="s">
        <v>12</v>
      </c>
      <c r="F34" s="5" t="s">
        <v>35</v>
      </c>
      <c r="G34" s="5" t="s">
        <v>36</v>
      </c>
      <c r="H34" s="6" t="s">
        <v>22</v>
      </c>
      <c r="I34" s="5" t="s">
        <v>37</v>
      </c>
      <c r="J34" s="7" t="s">
        <v>18</v>
      </c>
    </row>
    <row r="35" spans="1:10" x14ac:dyDescent="0.25">
      <c r="A35" s="10">
        <v>11</v>
      </c>
      <c r="B35" s="5" t="s">
        <v>0</v>
      </c>
      <c r="C35" s="17">
        <v>46</v>
      </c>
      <c r="D35" s="16" t="s">
        <v>12</v>
      </c>
      <c r="F35" s="5" t="s">
        <v>14</v>
      </c>
      <c r="G35" s="5" t="s">
        <v>15</v>
      </c>
      <c r="H35" s="6" t="s">
        <v>16</v>
      </c>
      <c r="I35" s="5" t="s">
        <v>17</v>
      </c>
      <c r="J35" s="7"/>
    </row>
    <row r="36" spans="1:10" ht="15.75" thickBot="1" x14ac:dyDescent="0.3"/>
    <row r="37" spans="1:10" ht="19.5" thickBot="1" x14ac:dyDescent="0.35">
      <c r="D37" s="12"/>
      <c r="E37" s="13"/>
      <c r="F37" s="13" t="s">
        <v>62</v>
      </c>
      <c r="G37" s="13"/>
      <c r="H37" s="14"/>
    </row>
    <row r="39" spans="1:10" ht="56.25" customHeight="1" thickBot="1" x14ac:dyDescent="0.3">
      <c r="B39" s="18" t="s">
        <v>13</v>
      </c>
      <c r="C39" s="19"/>
      <c r="D39" s="20"/>
      <c r="F39" s="18" t="s">
        <v>43</v>
      </c>
      <c r="G39" s="19"/>
      <c r="H39" s="19"/>
      <c r="I39" s="19"/>
      <c r="J39" s="20"/>
    </row>
    <row r="40" spans="1:10" x14ac:dyDescent="0.25">
      <c r="A40" s="9" t="s">
        <v>44</v>
      </c>
      <c r="B40" s="8" t="s">
        <v>9</v>
      </c>
      <c r="C40" s="4" t="s">
        <v>10</v>
      </c>
      <c r="D40" s="4" t="s">
        <v>11</v>
      </c>
      <c r="F40" s="4" t="s">
        <v>38</v>
      </c>
      <c r="G40" s="4" t="s">
        <v>39</v>
      </c>
      <c r="H40" s="4" t="s">
        <v>40</v>
      </c>
      <c r="I40" s="4" t="s">
        <v>41</v>
      </c>
      <c r="J40" s="4" t="s">
        <v>42</v>
      </c>
    </row>
    <row r="41" spans="1:10" x14ac:dyDescent="0.25">
      <c r="A41" s="29">
        <v>1</v>
      </c>
      <c r="B41" s="24" t="s">
        <v>63</v>
      </c>
      <c r="C41" s="25" t="str">
        <f t="shared" ref="C41:C43" si="2">TEXT(97-MOD((MOD(VALUE(MID((SUBSTITUTE(SUBSTITUTE(B41,"2B","18",1),"2A","19",1)),1,7)),97)*27)+(MOD(VALUE(MID((SUBSTITUTE(SUBSTITUTE(B41,"2B","18",1),"2A","19",1)),8,6)),97)),97),"00")</f>
        <v>81</v>
      </c>
      <c r="D41" s="26" t="s">
        <v>12</v>
      </c>
      <c r="F41" s="24" t="s">
        <v>55</v>
      </c>
      <c r="G41" s="24" t="s">
        <v>64</v>
      </c>
      <c r="H41" s="27" t="s">
        <v>16</v>
      </c>
      <c r="I41" s="24" t="s">
        <v>65</v>
      </c>
      <c r="J41" s="28" t="s">
        <v>18</v>
      </c>
    </row>
    <row r="42" spans="1:10" x14ac:dyDescent="0.25">
      <c r="A42" s="10">
        <v>2</v>
      </c>
      <c r="B42" s="5" t="s">
        <v>1</v>
      </c>
      <c r="C42" s="15" t="str">
        <f t="shared" si="2"/>
        <v>13</v>
      </c>
      <c r="D42" s="16" t="s">
        <v>12</v>
      </c>
      <c r="F42" s="5" t="s">
        <v>19</v>
      </c>
      <c r="G42" s="5" t="s">
        <v>20</v>
      </c>
      <c r="H42" s="6" t="s">
        <v>16</v>
      </c>
      <c r="I42" s="5" t="s">
        <v>21</v>
      </c>
      <c r="J42" s="7" t="s">
        <v>49</v>
      </c>
    </row>
    <row r="43" spans="1:10" x14ac:dyDescent="0.25">
      <c r="A43" s="10">
        <v>3</v>
      </c>
      <c r="B43" s="5" t="s">
        <v>2</v>
      </c>
      <c r="C43" s="15" t="str">
        <f t="shared" si="2"/>
        <v>74</v>
      </c>
      <c r="D43" s="16" t="s">
        <v>12</v>
      </c>
      <c r="F43" s="5" t="s">
        <v>14</v>
      </c>
      <c r="G43" s="5" t="s">
        <v>23</v>
      </c>
      <c r="H43" s="6" t="s">
        <v>22</v>
      </c>
      <c r="I43" s="5" t="s">
        <v>24</v>
      </c>
      <c r="J43" s="7" t="s">
        <v>18</v>
      </c>
    </row>
  </sheetData>
  <mergeCells count="7">
    <mergeCell ref="B39:D39"/>
    <mergeCell ref="F39:J39"/>
    <mergeCell ref="D1:H1"/>
    <mergeCell ref="B5:D5"/>
    <mergeCell ref="F5:J5"/>
    <mergeCell ref="B23:D23"/>
    <mergeCell ref="F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Vérification unitaire</vt:lpstr>
      <vt:lpstr>Vérification en masse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2024-04-05T07:41:24Z</dcterms:modified>
</cp:coreProperties>
</file>