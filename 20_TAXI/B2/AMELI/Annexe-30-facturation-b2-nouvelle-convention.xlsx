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UTURIER-30110\Documents\30 TRANSPORTS ET TAXIS\00 VERSION ACTES TRACEURS\N TRAJETS\"/>
    </mc:Choice>
  </mc:AlternateContent>
  <bookViews>
    <workbookView xWindow="0" yWindow="0" windowWidth="23475" windowHeight="11355" tabRatio="791"/>
  </bookViews>
  <sheets>
    <sheet name="PREAMBULE" sheetId="183" r:id="rId1"/>
    <sheet name="Table matière" sheetId="197" r:id="rId2"/>
    <sheet name="LISTE DES CAS ANNEXE 30" sheetId="202" r:id="rId3"/>
    <sheet name="CONVENTION CAS 1" sheetId="203" r:id="rId4"/>
    <sheet name="CONVENTION CAS 2" sheetId="204" r:id="rId5"/>
    <sheet name="CONVENTION CAS 3" sheetId="206" r:id="rId6"/>
    <sheet name="CONVENTION CAS 4" sheetId="207" r:id="rId7"/>
    <sheet name="CONVENTION CAS 5" sheetId="208" r:id="rId8"/>
    <sheet name="CONVENTION CAS 6" sheetId="209" r:id="rId9"/>
    <sheet name="CONVENTION CAS 7" sheetId="210" r:id="rId10"/>
    <sheet name="CONVENTION CAS 8" sheetId="211" r:id="rId11"/>
    <sheet name="CONVENTION CAS 9" sheetId="212" r:id="rId12"/>
    <sheet name="CONVENTION CAS 10" sheetId="213" r:id="rId13"/>
    <sheet name="CONVENTION CAS 11" sheetId="214" r:id="rId14"/>
    <sheet name="CONVENTION CAS 12" sheetId="215" r:id="rId15"/>
    <sheet name="CONVENTION CAS 13" sheetId="216" r:id="rId16"/>
    <sheet name="CONVENTION CAS 14" sheetId="217" r:id="rId17"/>
    <sheet name="CONVENTION CAS 15" sheetId="220" r:id="rId18"/>
    <sheet name="CONVENTION CAS 16" sheetId="219" r:id="rId19"/>
    <sheet name="CONVENTION CAS 17" sheetId="225" r:id="rId20"/>
    <sheet name="CONVENTION CAS 18" sheetId="231" r:id="rId21"/>
    <sheet name="CONVENTION CAS 19" sheetId="228" r:id="rId22"/>
    <sheet name="CONVENTION CAS 20" sheetId="229" r:id="rId23"/>
    <sheet name="TP CONTRE TP CAS 1" sheetId="221" r:id="rId24"/>
    <sheet name="TP CONTRE TP CAS 2" sheetId="222" r:id="rId25"/>
    <sheet name="TP CONTRE TP CAS 3" sheetId="223" r:id="rId26"/>
    <sheet name="TP CONTRE TP CAS 4" sheetId="224" r:id="rId27"/>
    <sheet name="TABLES PARAMETRES METIERS" sheetId="180" r:id="rId28"/>
    <sheet name="CARACTERISTIQUES SOCIETES TAXI" sheetId="77" r:id="rId29"/>
    <sheet name="METIER FORFAIT TAXI" sheetId="119" r:id="rId30"/>
    <sheet name="LISTE DE PRESCRIPTEURS" sheetId="195" r:id="rId31"/>
    <sheet name="CODES COMMUNE &amp; GRANDES VILLES" sheetId="166" r:id="rId32"/>
    <sheet name="METIER KM TAXI" sheetId="120" r:id="rId33"/>
    <sheet name="METIER %KM ALLER RETOUR A VIDE" sheetId="124" r:id="rId34"/>
    <sheet name="SEUIL N1 KM ALLER RETOUR A VIDE" sheetId="196" r:id="rId35"/>
    <sheet name="METIER SUPPL FORFAITAIRE TAXI" sheetId="121" r:id="rId36"/>
    <sheet name="METIER SUPPLEMENT TPMR" sheetId="176" r:id="rId37"/>
    <sheet name="METIER MAJO Nu Di Jf TAXI" sheetId="122" r:id="rId38"/>
    <sheet name="METIER % ABATT TPARTAGE TAXI" sheetId="123" r:id="rId39"/>
    <sheet name="METIER SEUIL X KM SEUL ABATT" sheetId="177" r:id="rId40"/>
    <sheet name="B2 CODES ACTES NELLE CONVENTION" sheetId="110" r:id="rId41"/>
    <sheet name="B2 CODES ACTES TP TP" sheetId="185" r:id="rId42"/>
  </sheets>
  <externalReferences>
    <externalReference r:id="rId43"/>
  </externalReferences>
  <definedNames>
    <definedName name="_xlnm._FilterDatabase" localSheetId="28" hidden="1">'CARACTERISTIQUES SOCIETES TAXI'!$A$2:$N$4</definedName>
    <definedName name="_xlnm._FilterDatabase" localSheetId="31" hidden="1">'CODES COMMUNE &amp; GRANDES VILLES'!$A$1:$G$5</definedName>
    <definedName name="_xlnm._FilterDatabase" localSheetId="2" hidden="1">'LISTE DES CAS ANNEXE 30'!$A$2:$Z$64</definedName>
    <definedName name="_xlnm._FilterDatabase" localSheetId="33" hidden="1">'METIER %KM ALLER RETOUR A VIDE'!$B$2:$C$2</definedName>
    <definedName name="_xlnm._FilterDatabase" localSheetId="32" hidden="1">'METIER KM TAXI'!$A$1:$C$3</definedName>
    <definedName name="_xlnm._FilterDatabase" localSheetId="39" hidden="1">'METIER SEUIL X KM SEUL ABATT'!$A$1:$C$3</definedName>
    <definedName name="_xlnm._FilterDatabase" localSheetId="35" hidden="1">'METIER SUPPL FORFAITAIRE TAXI'!$A$2:$D$4</definedName>
    <definedName name="_xlnm.Print_Titles" localSheetId="3">'CONVENTION CAS 1'!$1:$8</definedName>
    <definedName name="_xlnm.Print_Titles" localSheetId="12">'CONVENTION CAS 10'!$1:$8</definedName>
    <definedName name="_xlnm.Print_Titles" localSheetId="13">'CONVENTION CAS 11'!$1:$8</definedName>
    <definedName name="_xlnm.Print_Titles" localSheetId="14">'CONVENTION CAS 12'!$1:$8</definedName>
    <definedName name="_xlnm.Print_Titles" localSheetId="15">'CONVENTION CAS 13'!$1:$8</definedName>
    <definedName name="_xlnm.Print_Titles" localSheetId="16">'CONVENTION CAS 14'!$1:$8</definedName>
    <definedName name="_xlnm.Print_Titles" localSheetId="17">'CONVENTION CAS 15'!$1:$10</definedName>
    <definedName name="_xlnm.Print_Titles" localSheetId="18">'CONVENTION CAS 16'!$1:$12</definedName>
    <definedName name="_xlnm.Print_Titles" localSheetId="20">'CONVENTION CAS 18'!$1:$8</definedName>
    <definedName name="_xlnm.Print_Titles" localSheetId="21">'CONVENTION CAS 19'!$1:$8</definedName>
    <definedName name="_xlnm.Print_Titles" localSheetId="4">'CONVENTION CAS 2'!$1:$8</definedName>
    <definedName name="_xlnm.Print_Titles" localSheetId="22">'CONVENTION CAS 20'!$1:$12</definedName>
    <definedName name="_xlnm.Print_Titles" localSheetId="5">'CONVENTION CAS 3'!$1:$8</definedName>
    <definedName name="_xlnm.Print_Titles" localSheetId="6">'CONVENTION CAS 4'!$1:$8</definedName>
    <definedName name="_xlnm.Print_Titles" localSheetId="7">'CONVENTION CAS 5'!$1:$8</definedName>
    <definedName name="_xlnm.Print_Titles" localSheetId="8">'CONVENTION CAS 6'!$1:$8</definedName>
    <definedName name="_xlnm.Print_Titles" localSheetId="9">'CONVENTION CAS 7'!$1:$9</definedName>
    <definedName name="_xlnm.Print_Titles" localSheetId="10">'CONVENTION CAS 8'!$1:$8</definedName>
    <definedName name="_xlnm.Print_Titles" localSheetId="11">'CONVENTION CAS 9'!$1:$8</definedName>
    <definedName name="_xlnm.Print_Titles" localSheetId="2">'LISTE DES CAS ANNEXE 30'!$1:$2</definedName>
    <definedName name="_xlnm.Print_Titles" localSheetId="23">'TP CONTRE TP CAS 1'!$1:$8</definedName>
    <definedName name="_xlnm.Print_Titles" localSheetId="24">'TP CONTRE TP CAS 2'!$1:$8</definedName>
    <definedName name="_xlnm.Print_Titles" localSheetId="25">'TP CONTRE TP CAS 3'!$1:$9</definedName>
    <definedName name="_xlnm.Print_Titles" localSheetId="26">'TP CONTRE TP CAS 4'!$1:$8</definedName>
    <definedName name="liste" localSheetId="20">#REF!</definedName>
    <definedName name="liste" localSheetId="21">#REF!</definedName>
    <definedName name="liste" localSheetId="22">#REF!</definedName>
    <definedName name="liste" localSheetId="2">#REF!</definedName>
    <definedName name="liste">#REF!</definedName>
    <definedName name="Liste_caisses" localSheetId="19">'[1]LISTES POUR SIMULATEUR'!$L$14:$L$141</definedName>
    <definedName name="Liste_caisses" localSheetId="20">#REF!</definedName>
    <definedName name="Liste_caisses" localSheetId="21">#REF!</definedName>
    <definedName name="Liste_caisses" localSheetId="22">#REF!</definedName>
    <definedName name="Liste_caisses" localSheetId="2">#REF!</definedName>
    <definedName name="Liste_caisses">#REF!</definedName>
    <definedName name="Liste_communes" localSheetId="19">'[1]CODES COMMUNE &amp; GRANDES VILLES'!$A$2:$A$5</definedName>
    <definedName name="Liste_communes" localSheetId="2">#REF!</definedName>
    <definedName name="Liste_communes">'CODES COMMUNE &amp; GRANDES VILLES'!$A$2:$A$5</definedName>
    <definedName name="liste_exos" localSheetId="19">'[1]LISTES POUR SIMULATEUR'!$A$28:$A$32</definedName>
    <definedName name="liste_exos" localSheetId="20">#REF!</definedName>
    <definedName name="liste_exos" localSheetId="21">#REF!</definedName>
    <definedName name="liste_exos" localSheetId="22">#REF!</definedName>
    <definedName name="liste_exos" localSheetId="2">#REF!</definedName>
    <definedName name="liste_exos">#REF!</definedName>
    <definedName name="Liste_motifs_exo" localSheetId="20">#REF!</definedName>
    <definedName name="Liste_motifs_exo" localSheetId="21">#REF!</definedName>
    <definedName name="Liste_motifs_exo" localSheetId="22">#REF!</definedName>
    <definedName name="Liste_motifs_exo" localSheetId="2">#REF!</definedName>
    <definedName name="Liste_motifs_exo">#REF!</definedName>
    <definedName name="Liste_nb_malades" localSheetId="19">'[1]LISTES POUR SIMULATEUR'!$L$2:$L$10</definedName>
    <definedName name="Liste_nb_malades" localSheetId="20">#REF!</definedName>
    <definedName name="Liste_nb_malades" localSheetId="21">#REF!</definedName>
    <definedName name="Liste_nb_malades" localSheetId="22">#REF!</definedName>
    <definedName name="Liste_nb_malades" localSheetId="2">#REF!</definedName>
    <definedName name="Liste_nb_malades">#REF!</definedName>
    <definedName name="Liste_prescripteur" localSheetId="41">#REF!</definedName>
    <definedName name="Liste_prescripteur" localSheetId="3">#REF!</definedName>
    <definedName name="Liste_prescripteur" localSheetId="12">#REF!</definedName>
    <definedName name="Liste_prescripteur" localSheetId="13">#REF!</definedName>
    <definedName name="Liste_prescripteur" localSheetId="14">#REF!</definedName>
    <definedName name="Liste_prescripteur" localSheetId="15">#REF!</definedName>
    <definedName name="Liste_prescripteur" localSheetId="16">#REF!</definedName>
    <definedName name="Liste_prescripteur" localSheetId="17">#REF!</definedName>
    <definedName name="Liste_prescripteur" localSheetId="18">#REF!</definedName>
    <definedName name="Liste_prescripteur" localSheetId="19">#REF!</definedName>
    <definedName name="Liste_prescripteur" localSheetId="20">#REF!</definedName>
    <definedName name="Liste_prescripteur" localSheetId="21">#REF!</definedName>
    <definedName name="Liste_prescripteur" localSheetId="4">#REF!</definedName>
    <definedName name="Liste_prescripteur" localSheetId="22">#REF!</definedName>
    <definedName name="Liste_prescripteur" localSheetId="5">#REF!</definedName>
    <definedName name="Liste_prescripteur" localSheetId="6">#REF!</definedName>
    <definedName name="Liste_prescripteur" localSheetId="7">#REF!</definedName>
    <definedName name="Liste_prescripteur" localSheetId="8">#REF!</definedName>
    <definedName name="Liste_prescripteur" localSheetId="9">#REF!</definedName>
    <definedName name="Liste_prescripteur" localSheetId="10">#REF!</definedName>
    <definedName name="Liste_prescripteur" localSheetId="11">#REF!</definedName>
    <definedName name="Liste_prescripteur" localSheetId="30">#REF!</definedName>
    <definedName name="Liste_prescripteur" localSheetId="2">#REF!</definedName>
    <definedName name="Liste_prescripteur" localSheetId="39">#REF!</definedName>
    <definedName name="Liste_prescripteur" localSheetId="34">#REF!</definedName>
    <definedName name="Liste_prescripteur" localSheetId="1">#REF!</definedName>
    <definedName name="Liste_prescripteur" localSheetId="23">#REF!</definedName>
    <definedName name="Liste_prescripteur" localSheetId="24">#REF!</definedName>
    <definedName name="Liste_prescripteur" localSheetId="25">#REF!</definedName>
    <definedName name="Liste_prescripteur" localSheetId="26">#REF!</definedName>
    <definedName name="Liste_prescripteur">#REF!</definedName>
    <definedName name="Liste_prescripteurs" localSheetId="3">#REF!</definedName>
    <definedName name="Liste_prescripteurs" localSheetId="12">#REF!</definedName>
    <definedName name="Liste_prescripteurs" localSheetId="13">#REF!</definedName>
    <definedName name="Liste_prescripteurs" localSheetId="14">#REF!</definedName>
    <definedName name="Liste_prescripteurs" localSheetId="15">#REF!</definedName>
    <definedName name="Liste_prescripteurs" localSheetId="16">#REF!</definedName>
    <definedName name="Liste_prescripteurs" localSheetId="17">#REF!</definedName>
    <definedName name="Liste_prescripteurs" localSheetId="18">#REF!</definedName>
    <definedName name="Liste_prescripteurs" localSheetId="19">'[1]LISTES POUR SIMULATEUR'!#REF!</definedName>
    <definedName name="Liste_prescripteurs" localSheetId="20">#REF!</definedName>
    <definedName name="Liste_prescripteurs" localSheetId="21">#REF!</definedName>
    <definedName name="Liste_prescripteurs" localSheetId="4">#REF!</definedName>
    <definedName name="Liste_prescripteurs" localSheetId="22">#REF!</definedName>
    <definedName name="Liste_prescripteurs" localSheetId="5">#REF!</definedName>
    <definedName name="Liste_prescripteurs" localSheetId="6">#REF!</definedName>
    <definedName name="Liste_prescripteurs" localSheetId="7">#REF!</definedName>
    <definedName name="Liste_prescripteurs" localSheetId="8">#REF!</definedName>
    <definedName name="Liste_prescripteurs" localSheetId="9">#REF!</definedName>
    <definedName name="Liste_prescripteurs" localSheetId="10">#REF!</definedName>
    <definedName name="Liste_prescripteurs" localSheetId="11">#REF!</definedName>
    <definedName name="Liste_prescripteurs" localSheetId="30">#REF!</definedName>
    <definedName name="Liste_prescripteurs" localSheetId="2">#REF!</definedName>
    <definedName name="Liste_prescripteurs" localSheetId="34">#REF!</definedName>
    <definedName name="Liste_prescripteurs" localSheetId="1">#REF!</definedName>
    <definedName name="Liste_prescripteurs" localSheetId="23">#REF!</definedName>
    <definedName name="Liste_prescripteurs" localSheetId="24">#REF!</definedName>
    <definedName name="Liste_prescripteurs" localSheetId="25">#REF!</definedName>
    <definedName name="Liste_prescripteurs" localSheetId="26">#REF!</definedName>
    <definedName name="Liste_prescripteurs">#REF!</definedName>
    <definedName name="Liste_societe" localSheetId="41">#REF!</definedName>
    <definedName name="Liste_societe" localSheetId="3">#REF!</definedName>
    <definedName name="Liste_societe" localSheetId="12">#REF!</definedName>
    <definedName name="Liste_societe" localSheetId="13">#REF!</definedName>
    <definedName name="Liste_societe" localSheetId="14">#REF!</definedName>
    <definedName name="Liste_societe" localSheetId="15">#REF!</definedName>
    <definedName name="Liste_societe" localSheetId="16">#REF!</definedName>
    <definedName name="Liste_societe" localSheetId="17">#REF!</definedName>
    <definedName name="Liste_societe" localSheetId="18">#REF!</definedName>
    <definedName name="Liste_societe" localSheetId="19">#REF!</definedName>
    <definedName name="Liste_societe" localSheetId="20">#REF!</definedName>
    <definedName name="Liste_societe" localSheetId="21">#REF!</definedName>
    <definedName name="Liste_societe" localSheetId="4">#REF!</definedName>
    <definedName name="Liste_societe" localSheetId="22">#REF!</definedName>
    <definedName name="Liste_societe" localSheetId="5">#REF!</definedName>
    <definedName name="Liste_societe" localSheetId="6">#REF!</definedName>
    <definedName name="Liste_societe" localSheetId="7">#REF!</definedName>
    <definedName name="Liste_societe" localSheetId="8">#REF!</definedName>
    <definedName name="Liste_societe" localSheetId="9">#REF!</definedName>
    <definedName name="Liste_societe" localSheetId="10">#REF!</definedName>
    <definedName name="Liste_societe" localSheetId="11">#REF!</definedName>
    <definedName name="Liste_societe" localSheetId="30">#REF!</definedName>
    <definedName name="Liste_societe" localSheetId="2">#REF!</definedName>
    <definedName name="Liste_societe" localSheetId="39">#REF!</definedName>
    <definedName name="Liste_societe" localSheetId="34">#REF!</definedName>
    <definedName name="Liste_societe" localSheetId="1">#REF!</definedName>
    <definedName name="Liste_societe" localSheetId="23">#REF!</definedName>
    <definedName name="Liste_societe" localSheetId="24">#REF!</definedName>
    <definedName name="Liste_societe" localSheetId="25">#REF!</definedName>
    <definedName name="Liste_societe" localSheetId="26">#REF!</definedName>
    <definedName name="Liste_societe">#REF!</definedName>
    <definedName name="Liste_sociétés" localSheetId="20">#REF!</definedName>
    <definedName name="Liste_sociétés" localSheetId="21">#REF!</definedName>
    <definedName name="Liste_sociétés" localSheetId="22">#REF!</definedName>
    <definedName name="Liste_sociétés" localSheetId="2">#REF!</definedName>
    <definedName name="Liste_sociétés">#REF!</definedName>
    <definedName name="Liste_taux" localSheetId="19">'[1]LISTES POUR SIMULATEUR'!$D$8:$D$9</definedName>
    <definedName name="Liste_taux" localSheetId="20">#REF!</definedName>
    <definedName name="Liste_taux" localSheetId="21">#REF!</definedName>
    <definedName name="Liste_taux" localSheetId="22">#REF!</definedName>
    <definedName name="Liste_taux" localSheetId="2">#REF!</definedName>
    <definedName name="Liste_taux">#REF!</definedName>
    <definedName name="sdq" localSheetId="3">#REF!</definedName>
    <definedName name="sdq" localSheetId="12">#REF!</definedName>
    <definedName name="sdq" localSheetId="13">#REF!</definedName>
    <definedName name="sdq" localSheetId="14">#REF!</definedName>
    <definedName name="sdq" localSheetId="15">#REF!</definedName>
    <definedName name="sdq" localSheetId="16">#REF!</definedName>
    <definedName name="sdq" localSheetId="17">#REF!</definedName>
    <definedName name="sdq" localSheetId="18">#REF!</definedName>
    <definedName name="sdq" localSheetId="19">#REF!</definedName>
    <definedName name="sdq" localSheetId="20">#REF!</definedName>
    <definedName name="sdq" localSheetId="21">#REF!</definedName>
    <definedName name="sdq" localSheetId="4">#REF!</definedName>
    <definedName name="sdq" localSheetId="22">#REF!</definedName>
    <definedName name="sdq" localSheetId="5">#REF!</definedName>
    <definedName name="sdq" localSheetId="6">#REF!</definedName>
    <definedName name="sdq" localSheetId="7">#REF!</definedName>
    <definedName name="sdq" localSheetId="8">#REF!</definedName>
    <definedName name="sdq" localSheetId="9">#REF!</definedName>
    <definedName name="sdq" localSheetId="10">#REF!</definedName>
    <definedName name="sdq" localSheetId="11">#REF!</definedName>
    <definedName name="sdq" localSheetId="23">#REF!</definedName>
    <definedName name="sdq" localSheetId="24">#REF!</definedName>
    <definedName name="sdq" localSheetId="25">#REF!</definedName>
    <definedName name="sdq" localSheetId="26">#REF!</definedName>
    <definedName name="sdq">#REF!</definedName>
    <definedName name="_xlnm.Print_Area" localSheetId="28">'CARACTERISTIQUES SOCIETES TAXI'!$A$1:$L$4</definedName>
    <definedName name="_xlnm.Print_Area" localSheetId="3">'CONVENTION CAS 1'!$A$1:$AI$78</definedName>
    <definedName name="_xlnm.Print_Area" localSheetId="12">'CONVENTION CAS 10'!$A$1:$AI$113</definedName>
    <definedName name="_xlnm.Print_Area" localSheetId="13">'CONVENTION CAS 11'!$A$1:$AI$113</definedName>
    <definedName name="_xlnm.Print_Area" localSheetId="14">'CONVENTION CAS 12'!$A$1:$AI$113</definedName>
    <definedName name="_xlnm.Print_Area" localSheetId="15">'CONVENTION CAS 13'!$A$1:$AI$127</definedName>
    <definedName name="_xlnm.Print_Area" localSheetId="16">'CONVENTION CAS 14'!$A$1:$AI$120</definedName>
    <definedName name="_xlnm.Print_Area" localSheetId="17">'CONVENTION CAS 15'!$A$1:$AI$150</definedName>
    <definedName name="_xlnm.Print_Area" localSheetId="18">'CONVENTION CAS 16'!$A$1:$AI$159</definedName>
    <definedName name="_xlnm.Print_Area" localSheetId="19">'CONVENTION CAS 17'!$A$1:$AI$123</definedName>
    <definedName name="_xlnm.Print_Area" localSheetId="20">'CONVENTION CAS 18'!$A$1:$AI$85</definedName>
    <definedName name="_xlnm.Print_Area" localSheetId="21">'CONVENTION CAS 19'!$A$1:$AI$85</definedName>
    <definedName name="_xlnm.Print_Area" localSheetId="4">'CONVENTION CAS 2'!$A$1:$AI$78</definedName>
    <definedName name="_xlnm.Print_Area" localSheetId="22">'CONVENTION CAS 20'!$A$1:$AI$159</definedName>
    <definedName name="_xlnm.Print_Area" localSheetId="5">'CONVENTION CAS 3'!$A$1:$AI$85</definedName>
    <definedName name="_xlnm.Print_Area" localSheetId="6">'CONVENTION CAS 4'!$A$1:$AI$92</definedName>
    <definedName name="_xlnm.Print_Area" localSheetId="7">'CONVENTION CAS 5'!$A$1:$AI$92</definedName>
    <definedName name="_xlnm.Print_Area" localSheetId="8">'CONVENTION CAS 6'!$A$1:$AI$92</definedName>
    <definedName name="_xlnm.Print_Area" localSheetId="9">'CONVENTION CAS 7'!$A$1:$AI$100</definedName>
    <definedName name="_xlnm.Print_Area" localSheetId="10">'CONVENTION CAS 8'!$A$1:$AI$113</definedName>
    <definedName name="_xlnm.Print_Area" localSheetId="11">'CONVENTION CAS 9'!$A$1:$AI$120</definedName>
    <definedName name="_xlnm.Print_Area" localSheetId="38">'METIER % ABATT TPARTAGE TAXI'!$A$1:$C$9</definedName>
    <definedName name="_xlnm.Print_Area" localSheetId="33">'METIER %KM ALLER RETOUR A VIDE'!$A$1:$C$3</definedName>
    <definedName name="_xlnm.Print_Area" localSheetId="29">'METIER FORFAIT TAXI'!$A$1:$C$7</definedName>
    <definedName name="_xlnm.Print_Area" localSheetId="37">'METIER MAJO Nu Di Jf TAXI'!$A$1:$C$3</definedName>
    <definedName name="_xlnm.Print_Area" localSheetId="39">'METIER SEUIL X KM SEUL ABATT'!$A$1:$B$3</definedName>
    <definedName name="_xlnm.Print_Area" localSheetId="36">'METIER SUPPLEMENT TPMR'!$A$1:$B$1</definedName>
    <definedName name="_xlnm.Print_Area" localSheetId="34">'SEUIL N1 KM ALLER RETOUR A VIDE'!$A$1:$B$1</definedName>
    <definedName name="_xlnm.Print_Area" localSheetId="27">'TABLES PARAMETRES METIERS'!$A$1</definedName>
    <definedName name="_xlnm.Print_Area" localSheetId="23">'TP CONTRE TP CAS 1'!$A$1:$AI$92</definedName>
    <definedName name="_xlnm.Print_Area" localSheetId="24">'TP CONTRE TP CAS 2'!$A$1:$AI$120</definedName>
    <definedName name="_xlnm.Print_Area" localSheetId="25">'TP CONTRE TP CAS 3'!$A$1:$AI$135</definedName>
    <definedName name="_xlnm.Print_Area" localSheetId="26">'TP CONTRE TP CAS 4'!$A$1:$AI$85</definedName>
  </definedNames>
  <calcPr calcId="162913"/>
</workbook>
</file>

<file path=xl/calcChain.xml><?xml version="1.0" encoding="utf-8"?>
<calcChain xmlns="http://schemas.openxmlformats.org/spreadsheetml/2006/main">
  <c r="Z35" i="228" l="1"/>
  <c r="X5" i="231"/>
  <c r="W5" i="231"/>
  <c r="V5" i="231"/>
  <c r="U5" i="231"/>
  <c r="T5" i="231"/>
  <c r="S5" i="231"/>
  <c r="R5" i="231"/>
  <c r="Q5" i="231"/>
  <c r="P5" i="231"/>
  <c r="O5" i="231"/>
  <c r="N5" i="231"/>
  <c r="M5" i="231"/>
  <c r="L5" i="231"/>
  <c r="K5" i="231"/>
  <c r="J5" i="231"/>
  <c r="I5" i="231"/>
  <c r="H5" i="231"/>
  <c r="G5" i="231"/>
  <c r="E5" i="231"/>
  <c r="D5" i="231"/>
  <c r="C5" i="231"/>
  <c r="B5" i="231"/>
  <c r="A5" i="231"/>
  <c r="X9" i="229"/>
  <c r="W9" i="229"/>
  <c r="V9" i="229"/>
  <c r="U9" i="229"/>
  <c r="T9" i="229"/>
  <c r="S9" i="229"/>
  <c r="R9" i="229"/>
  <c r="Q9" i="229"/>
  <c r="P9" i="229"/>
  <c r="O9" i="229"/>
  <c r="N9" i="229"/>
  <c r="M9" i="229"/>
  <c r="L9" i="229"/>
  <c r="K9" i="229"/>
  <c r="J9" i="229"/>
  <c r="I9" i="229"/>
  <c r="G9" i="229"/>
  <c r="F9" i="229"/>
  <c r="C9" i="229"/>
  <c r="X8" i="229"/>
  <c r="W8" i="229"/>
  <c r="V8" i="229"/>
  <c r="U8" i="229"/>
  <c r="T8" i="229"/>
  <c r="S8" i="229"/>
  <c r="R8" i="229"/>
  <c r="Q8" i="229"/>
  <c r="P8" i="229"/>
  <c r="O8" i="229"/>
  <c r="N8" i="229"/>
  <c r="M8" i="229"/>
  <c r="L8" i="229"/>
  <c r="K8" i="229"/>
  <c r="J8" i="229"/>
  <c r="I8" i="229"/>
  <c r="G8" i="229"/>
  <c r="F8" i="229"/>
  <c r="C8" i="229"/>
  <c r="X7" i="229"/>
  <c r="W7" i="229"/>
  <c r="V7" i="229"/>
  <c r="U7" i="229"/>
  <c r="T7" i="229"/>
  <c r="S7" i="229"/>
  <c r="R7" i="229"/>
  <c r="Q7" i="229"/>
  <c r="P7" i="229"/>
  <c r="O7" i="229"/>
  <c r="N7" i="229"/>
  <c r="M7" i="229"/>
  <c r="L7" i="229"/>
  <c r="K7" i="229"/>
  <c r="J7" i="229"/>
  <c r="I7" i="229"/>
  <c r="G7" i="229"/>
  <c r="F7" i="229"/>
  <c r="C7" i="229"/>
  <c r="X6" i="229"/>
  <c r="W6" i="229"/>
  <c r="V6" i="229"/>
  <c r="U6" i="229"/>
  <c r="T6" i="229"/>
  <c r="S6" i="229"/>
  <c r="R6" i="229"/>
  <c r="Q6" i="229"/>
  <c r="P6" i="229"/>
  <c r="O6" i="229"/>
  <c r="N6" i="229"/>
  <c r="M6" i="229"/>
  <c r="L6" i="229"/>
  <c r="K6" i="229"/>
  <c r="J6" i="229"/>
  <c r="I6" i="229"/>
  <c r="G6" i="229"/>
  <c r="F6" i="229"/>
  <c r="C6" i="229"/>
  <c r="X5" i="229"/>
  <c r="W5" i="229"/>
  <c r="V5" i="229"/>
  <c r="U5" i="229"/>
  <c r="T5" i="229"/>
  <c r="S5" i="229"/>
  <c r="R5" i="229"/>
  <c r="Q5" i="229"/>
  <c r="P5" i="229"/>
  <c r="O5" i="229"/>
  <c r="N5" i="229"/>
  <c r="M5" i="229"/>
  <c r="L5" i="229"/>
  <c r="K5" i="229"/>
  <c r="J5" i="229"/>
  <c r="I5" i="229"/>
  <c r="H5" i="229"/>
  <c r="G5" i="229"/>
  <c r="F5" i="229"/>
  <c r="E5" i="229"/>
  <c r="D5" i="229"/>
  <c r="C5" i="229"/>
  <c r="B5" i="229"/>
  <c r="A5" i="229"/>
  <c r="F5" i="228"/>
  <c r="X5" i="228"/>
  <c r="W5" i="228"/>
  <c r="V5" i="228"/>
  <c r="U5" i="228"/>
  <c r="T5" i="228"/>
  <c r="S5" i="228"/>
  <c r="R5" i="228"/>
  <c r="Q5" i="228"/>
  <c r="P5" i="228"/>
  <c r="O5" i="228"/>
  <c r="N5" i="228"/>
  <c r="M5" i="228"/>
  <c r="L5" i="228"/>
  <c r="K5" i="228"/>
  <c r="J5" i="228"/>
  <c r="I5" i="228"/>
  <c r="H5" i="228"/>
  <c r="G5" i="228"/>
  <c r="E5" i="228"/>
  <c r="D5" i="228"/>
  <c r="C5" i="228"/>
  <c r="B5" i="228"/>
  <c r="A5" i="228"/>
  <c r="X8" i="225" l="1"/>
  <c r="W8" i="225"/>
  <c r="V8" i="225"/>
  <c r="U8" i="225"/>
  <c r="T8" i="225"/>
  <c r="S8" i="225"/>
  <c r="R8" i="225"/>
  <c r="Q8" i="225"/>
  <c r="P8" i="225"/>
  <c r="O8" i="225"/>
  <c r="N8" i="225"/>
  <c r="M8" i="225"/>
  <c r="L8" i="225"/>
  <c r="K8" i="225"/>
  <c r="J8" i="225"/>
  <c r="I8" i="225"/>
  <c r="G8" i="225"/>
  <c r="F8" i="225"/>
  <c r="C8" i="225"/>
  <c r="X7" i="225"/>
  <c r="W7" i="225"/>
  <c r="V7" i="225"/>
  <c r="U7" i="225"/>
  <c r="T7" i="225"/>
  <c r="S7" i="225"/>
  <c r="R7" i="225"/>
  <c r="Q7" i="225"/>
  <c r="P7" i="225"/>
  <c r="O7" i="225"/>
  <c r="N7" i="225"/>
  <c r="M7" i="225"/>
  <c r="L7" i="225"/>
  <c r="K7" i="225"/>
  <c r="J7" i="225"/>
  <c r="I7" i="225"/>
  <c r="G7" i="225"/>
  <c r="F7" i="225"/>
  <c r="C7" i="225"/>
  <c r="X6" i="225"/>
  <c r="W6" i="225"/>
  <c r="V6" i="225"/>
  <c r="U6" i="225"/>
  <c r="T6" i="225"/>
  <c r="S6" i="225"/>
  <c r="R6" i="225"/>
  <c r="Q6" i="225"/>
  <c r="P6" i="225"/>
  <c r="O6" i="225"/>
  <c r="N6" i="225"/>
  <c r="M6" i="225"/>
  <c r="L6" i="225"/>
  <c r="K6" i="225"/>
  <c r="J6" i="225"/>
  <c r="I6" i="225"/>
  <c r="G6" i="225"/>
  <c r="F6" i="225"/>
  <c r="C6" i="225"/>
  <c r="X5" i="225"/>
  <c r="W5" i="225"/>
  <c r="V5" i="225"/>
  <c r="U5" i="225"/>
  <c r="T5" i="225"/>
  <c r="S5" i="225"/>
  <c r="R5" i="225"/>
  <c r="Q5" i="225"/>
  <c r="P5" i="225"/>
  <c r="O5" i="225"/>
  <c r="N5" i="225"/>
  <c r="M5" i="225"/>
  <c r="L5" i="225"/>
  <c r="K5" i="225"/>
  <c r="J5" i="225"/>
  <c r="I5" i="225"/>
  <c r="H5" i="225"/>
  <c r="G5" i="225"/>
  <c r="F5" i="225"/>
  <c r="E5" i="225"/>
  <c r="D5" i="225"/>
  <c r="C5" i="225"/>
  <c r="B5" i="225"/>
  <c r="A5" i="225"/>
  <c r="R5" i="222" l="1"/>
  <c r="X5" i="217"/>
  <c r="W5" i="217"/>
  <c r="V5" i="217"/>
  <c r="U5" i="217"/>
  <c r="T5" i="217"/>
  <c r="S5" i="217"/>
  <c r="R5" i="217"/>
  <c r="Q5" i="217"/>
  <c r="P5" i="217"/>
  <c r="O5" i="217"/>
  <c r="N5" i="217"/>
  <c r="M5" i="217"/>
  <c r="L5" i="217"/>
  <c r="K5" i="217"/>
  <c r="J5" i="217"/>
  <c r="I5" i="217"/>
  <c r="H5" i="217"/>
  <c r="G5" i="217"/>
  <c r="F5" i="217"/>
  <c r="E5" i="217"/>
  <c r="D5" i="217"/>
  <c r="C5" i="217"/>
  <c r="B5" i="217"/>
  <c r="A5" i="217"/>
  <c r="X5" i="216"/>
  <c r="W5" i="216"/>
  <c r="V5" i="216"/>
  <c r="U5" i="216"/>
  <c r="T5" i="216"/>
  <c r="S5" i="216"/>
  <c r="R5" i="216"/>
  <c r="Q5" i="216"/>
  <c r="P5" i="216"/>
  <c r="O5" i="216"/>
  <c r="N5" i="216"/>
  <c r="M5" i="216"/>
  <c r="L5" i="216"/>
  <c r="K5" i="216"/>
  <c r="J5" i="216"/>
  <c r="I5" i="216"/>
  <c r="H5" i="216"/>
  <c r="G5" i="216"/>
  <c r="F5" i="216"/>
  <c r="E5" i="216"/>
  <c r="D5" i="216"/>
  <c r="C5" i="216"/>
  <c r="B5" i="216"/>
  <c r="A5" i="216"/>
  <c r="X5" i="215"/>
  <c r="W5" i="215"/>
  <c r="V5" i="215"/>
  <c r="U5" i="215"/>
  <c r="T5" i="215"/>
  <c r="S5" i="215"/>
  <c r="R5" i="215"/>
  <c r="Q5" i="215"/>
  <c r="P5" i="215"/>
  <c r="O5" i="215"/>
  <c r="N5" i="215"/>
  <c r="M5" i="215"/>
  <c r="L5" i="215"/>
  <c r="K5" i="215"/>
  <c r="J5" i="215"/>
  <c r="I5" i="215"/>
  <c r="H5" i="215"/>
  <c r="G5" i="215"/>
  <c r="F5" i="215"/>
  <c r="E5" i="215"/>
  <c r="D5" i="215"/>
  <c r="C5" i="215"/>
  <c r="B5" i="215"/>
  <c r="A5" i="215"/>
  <c r="C6" i="223"/>
  <c r="F6" i="223"/>
  <c r="G6" i="223"/>
  <c r="I6" i="223"/>
  <c r="J6" i="223"/>
  <c r="K6" i="223"/>
  <c r="L6" i="223"/>
  <c r="M6" i="223"/>
  <c r="N6" i="223"/>
  <c r="O6" i="223"/>
  <c r="P6" i="223"/>
  <c r="Q6" i="223"/>
  <c r="R6" i="223"/>
  <c r="S6" i="223"/>
  <c r="T6" i="223"/>
  <c r="U6" i="223"/>
  <c r="V6" i="223"/>
  <c r="W6" i="223"/>
  <c r="X6" i="223"/>
  <c r="X5" i="224"/>
  <c r="W5" i="224"/>
  <c r="V5" i="224"/>
  <c r="U5" i="224"/>
  <c r="T5" i="224"/>
  <c r="S5" i="224"/>
  <c r="R5" i="224"/>
  <c r="Q5" i="224"/>
  <c r="P5" i="224"/>
  <c r="O5" i="224"/>
  <c r="N5" i="224"/>
  <c r="M5" i="224"/>
  <c r="L5" i="224"/>
  <c r="K5" i="224"/>
  <c r="J5" i="224"/>
  <c r="I5" i="224"/>
  <c r="H5" i="224"/>
  <c r="G5" i="224"/>
  <c r="F5" i="224"/>
  <c r="E5" i="224"/>
  <c r="D5" i="224"/>
  <c r="C5" i="224"/>
  <c r="B5" i="224"/>
  <c r="A5" i="224"/>
  <c r="X5" i="223"/>
  <c r="W5" i="223"/>
  <c r="V5" i="223"/>
  <c r="U5" i="223"/>
  <c r="T5" i="223"/>
  <c r="S5" i="223"/>
  <c r="R5" i="223"/>
  <c r="Q5" i="223"/>
  <c r="P5" i="223"/>
  <c r="O5" i="223"/>
  <c r="N5" i="223"/>
  <c r="M5" i="223"/>
  <c r="L5" i="223"/>
  <c r="K5" i="223"/>
  <c r="J5" i="223"/>
  <c r="I5" i="223"/>
  <c r="H5" i="223"/>
  <c r="G5" i="223"/>
  <c r="F5" i="223"/>
  <c r="E5" i="223"/>
  <c r="D5" i="223"/>
  <c r="C5" i="223"/>
  <c r="B5" i="223"/>
  <c r="A5" i="223"/>
  <c r="X5" i="222"/>
  <c r="W5" i="222"/>
  <c r="V5" i="222"/>
  <c r="U5" i="222"/>
  <c r="T5" i="222"/>
  <c r="S5" i="222"/>
  <c r="Q5" i="222"/>
  <c r="P5" i="222"/>
  <c r="O5" i="222"/>
  <c r="N5" i="222"/>
  <c r="M5" i="222"/>
  <c r="L5" i="222"/>
  <c r="K5" i="222"/>
  <c r="J5" i="222"/>
  <c r="I5" i="222"/>
  <c r="H5" i="222"/>
  <c r="G5" i="222"/>
  <c r="F5" i="222"/>
  <c r="E5" i="222"/>
  <c r="D5" i="222"/>
  <c r="C5" i="222"/>
  <c r="B5" i="222"/>
  <c r="A5" i="222"/>
  <c r="X5" i="221"/>
  <c r="W5" i="221"/>
  <c r="V5" i="221"/>
  <c r="U5" i="221"/>
  <c r="T5" i="221"/>
  <c r="S5" i="221"/>
  <c r="R5" i="221"/>
  <c r="Q5" i="221"/>
  <c r="P5" i="221"/>
  <c r="O5" i="221"/>
  <c r="N5" i="221"/>
  <c r="M5" i="221"/>
  <c r="L5" i="221"/>
  <c r="K5" i="221"/>
  <c r="J5" i="221"/>
  <c r="I5" i="221"/>
  <c r="H5" i="221"/>
  <c r="G5" i="221"/>
  <c r="F5" i="221"/>
  <c r="E5" i="221"/>
  <c r="D5" i="221"/>
  <c r="C5" i="221"/>
  <c r="B5" i="221"/>
  <c r="A5" i="221"/>
  <c r="J5" i="219"/>
  <c r="K5" i="219"/>
  <c r="L5" i="219"/>
  <c r="M5" i="219"/>
  <c r="N5" i="219"/>
  <c r="O5" i="219"/>
  <c r="P5" i="219"/>
  <c r="Q5" i="219"/>
  <c r="R5" i="219"/>
  <c r="S5" i="219"/>
  <c r="T5" i="219"/>
  <c r="U5" i="219"/>
  <c r="V5" i="219"/>
  <c r="W5" i="219"/>
  <c r="X5" i="219"/>
  <c r="I6" i="219"/>
  <c r="J6" i="219"/>
  <c r="K6" i="219"/>
  <c r="L6" i="219"/>
  <c r="M6" i="219"/>
  <c r="N6" i="219"/>
  <c r="O6" i="219"/>
  <c r="P6" i="219"/>
  <c r="Q6" i="219"/>
  <c r="R6" i="219"/>
  <c r="S6" i="219"/>
  <c r="T6" i="219"/>
  <c r="U6" i="219"/>
  <c r="V6" i="219"/>
  <c r="W6" i="219"/>
  <c r="X6" i="219"/>
  <c r="I7" i="219"/>
  <c r="J7" i="219"/>
  <c r="K7" i="219"/>
  <c r="L7" i="219"/>
  <c r="M7" i="219"/>
  <c r="N7" i="219"/>
  <c r="O7" i="219"/>
  <c r="P7" i="219"/>
  <c r="Q7" i="219"/>
  <c r="R7" i="219"/>
  <c r="S7" i="219"/>
  <c r="T7" i="219"/>
  <c r="U7" i="219"/>
  <c r="V7" i="219"/>
  <c r="W7" i="219"/>
  <c r="X7" i="219"/>
  <c r="I8" i="219"/>
  <c r="J8" i="219"/>
  <c r="K8" i="219"/>
  <c r="L8" i="219"/>
  <c r="M8" i="219"/>
  <c r="N8" i="219"/>
  <c r="O8" i="219"/>
  <c r="P8" i="219"/>
  <c r="Q8" i="219"/>
  <c r="R8" i="219"/>
  <c r="S8" i="219"/>
  <c r="T8" i="219"/>
  <c r="U8" i="219"/>
  <c r="V8" i="219"/>
  <c r="W8" i="219"/>
  <c r="X8" i="219"/>
  <c r="I9" i="219"/>
  <c r="J9" i="219"/>
  <c r="K9" i="219"/>
  <c r="L9" i="219"/>
  <c r="M9" i="219"/>
  <c r="N9" i="219"/>
  <c r="O9" i="219"/>
  <c r="P9" i="219"/>
  <c r="Q9" i="219"/>
  <c r="R9" i="219"/>
  <c r="S9" i="219"/>
  <c r="T9" i="219"/>
  <c r="U9" i="219"/>
  <c r="V9" i="219"/>
  <c r="W9" i="219"/>
  <c r="X9" i="219"/>
  <c r="F6" i="219"/>
  <c r="G6" i="219"/>
  <c r="F7" i="219"/>
  <c r="G7" i="219"/>
  <c r="F8" i="219"/>
  <c r="G8" i="219"/>
  <c r="F9" i="219"/>
  <c r="G9" i="219"/>
  <c r="C6" i="219"/>
  <c r="C7" i="219"/>
  <c r="C8" i="219"/>
  <c r="C9" i="219"/>
  <c r="I5" i="219"/>
  <c r="H5" i="219"/>
  <c r="G5" i="219"/>
  <c r="F5" i="219"/>
  <c r="E5" i="219"/>
  <c r="D5" i="219"/>
  <c r="C5" i="219"/>
  <c r="B5" i="219"/>
  <c r="A5" i="219"/>
  <c r="F6" i="220"/>
  <c r="G6" i="220"/>
  <c r="I6" i="220"/>
  <c r="J6" i="220"/>
  <c r="K6" i="220"/>
  <c r="L6" i="220"/>
  <c r="M6" i="220"/>
  <c r="N6" i="220"/>
  <c r="O6" i="220"/>
  <c r="P6" i="220"/>
  <c r="Q6" i="220"/>
  <c r="R6" i="220"/>
  <c r="S6" i="220"/>
  <c r="T6" i="220"/>
  <c r="U6" i="220"/>
  <c r="V6" i="220"/>
  <c r="W6" i="220"/>
  <c r="X6" i="220"/>
  <c r="F7" i="220"/>
  <c r="G7" i="220"/>
  <c r="I7" i="220"/>
  <c r="J7" i="220"/>
  <c r="K7" i="220"/>
  <c r="L7" i="220"/>
  <c r="M7" i="220"/>
  <c r="N7" i="220"/>
  <c r="O7" i="220"/>
  <c r="P7" i="220"/>
  <c r="Q7" i="220"/>
  <c r="R7" i="220"/>
  <c r="S7" i="220"/>
  <c r="T7" i="220"/>
  <c r="U7" i="220"/>
  <c r="V7" i="220"/>
  <c r="W7" i="220"/>
  <c r="X7" i="220"/>
  <c r="C6" i="220"/>
  <c r="C7" i="220"/>
  <c r="X5" i="220"/>
  <c r="W5" i="220"/>
  <c r="V5" i="220"/>
  <c r="U5" i="220"/>
  <c r="T5" i="220"/>
  <c r="S5" i="220"/>
  <c r="R5" i="220"/>
  <c r="Q5" i="220"/>
  <c r="P5" i="220"/>
  <c r="O5" i="220"/>
  <c r="N5" i="220"/>
  <c r="M5" i="220"/>
  <c r="L5" i="220"/>
  <c r="K5" i="220"/>
  <c r="J5" i="220"/>
  <c r="I5" i="220"/>
  <c r="H5" i="220"/>
  <c r="G5" i="220"/>
  <c r="F5" i="220"/>
  <c r="E5" i="220"/>
  <c r="D5" i="220"/>
  <c r="C5" i="220"/>
  <c r="B5" i="220"/>
  <c r="A5" i="220"/>
  <c r="X5" i="214"/>
  <c r="W5" i="214"/>
  <c r="V5" i="214"/>
  <c r="U5" i="214"/>
  <c r="T5" i="214"/>
  <c r="S5" i="214"/>
  <c r="R5" i="214"/>
  <c r="Q5" i="214"/>
  <c r="P5" i="214"/>
  <c r="O5" i="214"/>
  <c r="N5" i="214"/>
  <c r="M5" i="214"/>
  <c r="L5" i="214"/>
  <c r="K5" i="214"/>
  <c r="J5" i="214"/>
  <c r="I5" i="214"/>
  <c r="H5" i="214"/>
  <c r="G5" i="214"/>
  <c r="F5" i="214"/>
  <c r="E5" i="214"/>
  <c r="D5" i="214"/>
  <c r="C5" i="214"/>
  <c r="B5" i="214"/>
  <c r="A5" i="214"/>
  <c r="X5" i="213"/>
  <c r="W5" i="213"/>
  <c r="V5" i="213"/>
  <c r="U5" i="213"/>
  <c r="T5" i="213"/>
  <c r="S5" i="213"/>
  <c r="R5" i="213"/>
  <c r="Q5" i="213"/>
  <c r="P5" i="213"/>
  <c r="O5" i="213"/>
  <c r="N5" i="213"/>
  <c r="M5" i="213"/>
  <c r="L5" i="213"/>
  <c r="K5" i="213"/>
  <c r="J5" i="213"/>
  <c r="I5" i="213"/>
  <c r="H5" i="213"/>
  <c r="G5" i="213"/>
  <c r="F5" i="213"/>
  <c r="E5" i="213"/>
  <c r="D5" i="213"/>
  <c r="C5" i="213"/>
  <c r="B5" i="213"/>
  <c r="A5" i="213"/>
  <c r="X5" i="212"/>
  <c r="W5" i="212"/>
  <c r="V5" i="212"/>
  <c r="U5" i="212"/>
  <c r="T5" i="212"/>
  <c r="S5" i="212"/>
  <c r="R5" i="212"/>
  <c r="Q5" i="212"/>
  <c r="P5" i="212"/>
  <c r="O5" i="212"/>
  <c r="N5" i="212"/>
  <c r="M5" i="212"/>
  <c r="L5" i="212"/>
  <c r="K5" i="212"/>
  <c r="J5" i="212"/>
  <c r="I5" i="212"/>
  <c r="H5" i="212"/>
  <c r="G5" i="212"/>
  <c r="F5" i="212"/>
  <c r="E5" i="212"/>
  <c r="D5" i="212"/>
  <c r="C5" i="212"/>
  <c r="B5" i="212"/>
  <c r="A5" i="212"/>
  <c r="X5" i="211"/>
  <c r="W5" i="211"/>
  <c r="V5" i="211"/>
  <c r="U5" i="211"/>
  <c r="T5" i="211"/>
  <c r="S5" i="211"/>
  <c r="R5" i="211"/>
  <c r="Q5" i="211"/>
  <c r="P5" i="211"/>
  <c r="O5" i="211"/>
  <c r="N5" i="211"/>
  <c r="M5" i="211"/>
  <c r="L5" i="211"/>
  <c r="K5" i="211"/>
  <c r="J5" i="211"/>
  <c r="I5" i="211"/>
  <c r="H5" i="211"/>
  <c r="G5" i="211"/>
  <c r="F5" i="211"/>
  <c r="E5" i="211"/>
  <c r="D5" i="211"/>
  <c r="C5" i="211"/>
  <c r="B5" i="211"/>
  <c r="A5" i="211"/>
  <c r="G5" i="210"/>
  <c r="G6" i="210"/>
  <c r="C6" i="210"/>
  <c r="X6" i="210"/>
  <c r="V6" i="210"/>
  <c r="U6" i="210"/>
  <c r="T6" i="210"/>
  <c r="S6" i="210"/>
  <c r="R6" i="210"/>
  <c r="Q6" i="210"/>
  <c r="P6" i="210"/>
  <c r="O6" i="210"/>
  <c r="N6" i="210"/>
  <c r="M6" i="210"/>
  <c r="L6" i="210"/>
  <c r="K6" i="210"/>
  <c r="J6" i="210"/>
  <c r="I6" i="210"/>
  <c r="X5" i="210"/>
  <c r="V5" i="210"/>
  <c r="U5" i="210"/>
  <c r="T5" i="210"/>
  <c r="S5" i="210"/>
  <c r="R5" i="210"/>
  <c r="Q5" i="210"/>
  <c r="P5" i="210"/>
  <c r="O5" i="210"/>
  <c r="N5" i="210"/>
  <c r="M5" i="210"/>
  <c r="L5" i="210"/>
  <c r="K5" i="210"/>
  <c r="J5" i="210"/>
  <c r="I5" i="210"/>
  <c r="H5" i="210"/>
  <c r="F5" i="210"/>
  <c r="E5" i="210"/>
  <c r="D5" i="210"/>
  <c r="C5" i="210"/>
  <c r="B5" i="210"/>
  <c r="A5" i="210"/>
  <c r="X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A5" i="209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A5" i="208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A5" i="207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A5" i="206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A5" i="204"/>
  <c r="B5" i="203"/>
  <c r="C5" i="203"/>
  <c r="D5" i="203"/>
  <c r="E5" i="203"/>
  <c r="F5" i="203"/>
  <c r="G5" i="203"/>
  <c r="H5" i="203"/>
  <c r="I5" i="203"/>
  <c r="J5" i="203"/>
  <c r="K5" i="203"/>
  <c r="L5" i="203"/>
  <c r="M5" i="203"/>
  <c r="N5" i="203"/>
  <c r="O5" i="203"/>
  <c r="P5" i="203"/>
  <c r="Q5" i="203"/>
  <c r="R5" i="203"/>
  <c r="S5" i="203"/>
  <c r="T5" i="203"/>
  <c r="U5" i="203"/>
  <c r="V5" i="203"/>
  <c r="W5" i="203"/>
  <c r="X5" i="203"/>
  <c r="A5" i="203"/>
  <c r="V5" i="209" l="1"/>
  <c r="W5" i="209" l="1"/>
  <c r="W5" i="210" l="1"/>
  <c r="W6" i="210" l="1"/>
  <c r="B2" i="195" l="1"/>
</calcChain>
</file>

<file path=xl/sharedStrings.xml><?xml version="1.0" encoding="utf-8"?>
<sst xmlns="http://schemas.openxmlformats.org/spreadsheetml/2006/main" count="51476" uniqueCount="942">
  <si>
    <t>O</t>
  </si>
  <si>
    <t>N</t>
  </si>
  <si>
    <t>Mode de traitement</t>
  </si>
  <si>
    <t>Coefficient</t>
  </si>
  <si>
    <t>F</t>
  </si>
  <si>
    <t>00</t>
  </si>
  <si>
    <t>000</t>
  </si>
  <si>
    <t>Quantité</t>
  </si>
  <si>
    <t xml:space="preserve"> </t>
  </si>
  <si>
    <t xml:space="preserve">   </t>
  </si>
  <si>
    <t>4</t>
  </si>
  <si>
    <t>U</t>
  </si>
  <si>
    <t>Table des matières</t>
  </si>
  <si>
    <t>Type d’enregistrement</t>
  </si>
  <si>
    <t>N° partenaire de santé + clé</t>
  </si>
  <si>
    <t>FILLER</t>
  </si>
  <si>
    <t>N° immatriculation assuré</t>
  </si>
  <si>
    <t>Clé N° immatriculation</t>
  </si>
  <si>
    <t>N° facture</t>
  </si>
  <si>
    <t>Complément du
type</t>
  </si>
  <si>
    <t>Marquage de la
facture</t>
  </si>
  <si>
    <t>Indicateur de
forçage de la
tarification de la
part AMO</t>
  </si>
  <si>
    <t>Nature
d’opération</t>
  </si>
  <si>
    <t>Date de
facturation</t>
  </si>
  <si>
    <t>Top éclatement
des flux par le
PS</t>
  </si>
  <si>
    <t>Type de facture</t>
  </si>
  <si>
    <t>Facture
sécurisée sur un
dispositif portable</t>
  </si>
  <si>
    <t>Code Grand
Régime</t>
  </si>
  <si>
    <t>N° Caisse
gestionnaire</t>
  </si>
  <si>
    <t>N° Centre
gestionnaire</t>
  </si>
  <si>
    <t>Nature de la
pièce justificative
des droits</t>
  </si>
  <si>
    <t>N° prescripteur
+ clé</t>
  </si>
  <si>
    <t>Date de
prescription</t>
  </si>
  <si>
    <t>Régime de
prestation de
l’assuré</t>
  </si>
  <si>
    <t>Nature
d’assurance</t>
  </si>
  <si>
    <t>Justification
d’exonération ou
de modulation du
ticket modérateur</t>
  </si>
  <si>
    <t>Date Maternité</t>
  </si>
  <si>
    <t>Numéro
accident du
travail ou date
d’accident de
droit commun</t>
  </si>
  <si>
    <t>Présence d’une
CPS de
remplaçant pour
sécurisation de
la facture</t>
  </si>
  <si>
    <t>Date de
naissance du
bénéficiaire</t>
  </si>
  <si>
    <t>Rang de
naissance</t>
  </si>
  <si>
    <t>Rang de
bénéficiaire</t>
  </si>
  <si>
    <t>N° d’adhérent</t>
  </si>
  <si>
    <t>Spécialité de
prescripteur</t>
  </si>
  <si>
    <t>Destinataire du
règlement</t>
  </si>
  <si>
    <t>Type de contrat
souscrit auprès
d’un organisme
complémentaire</t>
  </si>
  <si>
    <t>N° d’organisme
complémentaire</t>
  </si>
  <si>
    <t>2-10</t>
  </si>
  <si>
    <t>12-24</t>
  </si>
  <si>
    <t>25-26</t>
  </si>
  <si>
    <t>27-35</t>
  </si>
  <si>
    <t>39</t>
  </si>
  <si>
    <t>40-45</t>
  </si>
  <si>
    <t>49-50</t>
  </si>
  <si>
    <t>51-53</t>
  </si>
  <si>
    <t>54-57</t>
  </si>
  <si>
    <t>59-67</t>
  </si>
  <si>
    <t>68-73</t>
  </si>
  <si>
    <t>74-76</t>
  </si>
  <si>
    <t>77-78</t>
  </si>
  <si>
    <t>80-85</t>
  </si>
  <si>
    <t>86-94</t>
  </si>
  <si>
    <t>96-101</t>
  </si>
  <si>
    <t>103-104</t>
  </si>
  <si>
    <t>105-112</t>
  </si>
  <si>
    <t>113-114</t>
  </si>
  <si>
    <t>115-116</t>
  </si>
  <si>
    <t>117-118</t>
  </si>
  <si>
    <t>119-128</t>
  </si>
  <si>
    <t>A</t>
  </si>
  <si>
    <t>N° de facture</t>
  </si>
  <si>
    <t>Complément de type</t>
  </si>
  <si>
    <t>Séquence</t>
  </si>
  <si>
    <t>Discipline de prestations
(ex DMT)</t>
  </si>
  <si>
    <t>Date de la
demande
d’accord
préalable ou date
d’accord de prise
en charge CMU.</t>
  </si>
  <si>
    <t>Code accord préalable</t>
  </si>
  <si>
    <t>Séquence de
renouvellement</t>
  </si>
  <si>
    <t>Code Participation assuré</t>
  </si>
  <si>
    <t>Justification
d’exonération du
Ticket
Modérateur au
niveau de l’acte</t>
  </si>
  <si>
    <t>N° exécutant +
clé ayant
effectué l’acte ou
fourni le produit</t>
  </si>
  <si>
    <t>Zone tarif de
l’exécutant</t>
  </si>
  <si>
    <t>Spécialité de
l’exécutant</t>
  </si>
  <si>
    <t>Date de l’acte,
de la délivrance
du produit</t>
  </si>
  <si>
    <t>Code acte</t>
  </si>
  <si>
    <t>Quantité d'actes</t>
  </si>
  <si>
    <t>Dénombrement</t>
  </si>
  <si>
    <t>Prix unitaire</t>
  </si>
  <si>
    <t>Base de
remboursement</t>
  </si>
  <si>
    <t>Taux applicable
à la prestation-</t>
  </si>
  <si>
    <t>Montant
remboursable
par l’organisme
d’Assurance
Maladie
Obligatoire</t>
  </si>
  <si>
    <t>Montant des
honoraires ou
de la dépense
(dépassement
compris ou après
remise pour la
norme FR)</t>
  </si>
  <si>
    <t>Qualificatif de la dépense</t>
  </si>
  <si>
    <t>Code lieu</t>
  </si>
  <si>
    <t>Montant
remboursable
par l’organisme
complémentaire</t>
  </si>
  <si>
    <t>37-38</t>
  </si>
  <si>
    <t>39-40</t>
  </si>
  <si>
    <t>41-43</t>
  </si>
  <si>
    <t>44-49</t>
  </si>
  <si>
    <t>50</t>
  </si>
  <si>
    <t>51-52</t>
  </si>
  <si>
    <t>64-65</t>
  </si>
  <si>
    <t>66-67</t>
  </si>
  <si>
    <t>74-78</t>
  </si>
  <si>
    <t>79-80</t>
  </si>
  <si>
    <t>81-86</t>
  </si>
  <si>
    <t>87-88</t>
  </si>
  <si>
    <t>89-95</t>
  </si>
  <si>
    <t>96-102</t>
  </si>
  <si>
    <t>103-105</t>
  </si>
  <si>
    <t>106-112</t>
  </si>
  <si>
    <t>113-119</t>
  </si>
  <si>
    <t>122-128</t>
  </si>
  <si>
    <t>OSIMO</t>
  </si>
  <si>
    <t>Complément du type</t>
  </si>
  <si>
    <t>Filler</t>
  </si>
  <si>
    <t>Série (au sens
du décret du
6/5/88)</t>
  </si>
  <si>
    <t>Transport lié à une hospitalisation</t>
  </si>
  <si>
    <t>Longue distance</t>
  </si>
  <si>
    <t>Forfait type de forfait</t>
  </si>
  <si>
    <t>Prix unitaire du
forfait non majoré</t>
  </si>
  <si>
    <t>Quantité forfaits</t>
  </si>
  <si>
    <t>Quantité forfaits
majoration de
nuit</t>
  </si>
  <si>
    <t>Quantité forfaits
majoration
dimanche ou
fériés</t>
  </si>
  <si>
    <t>Prix unitaire du
kilomètre non
réduit.</t>
  </si>
  <si>
    <t>SANS MAJORATION :
Quantité &lt;ou=150 km</t>
  </si>
  <si>
    <t>Quantité &gt;150 km</t>
  </si>
  <si>
    <t>MAJORATION NUIT :
Quantité &lt;ou=150 km</t>
  </si>
  <si>
    <t>MAJORATION DIMANCHE/FERIE :
Quantité &lt;ou=150 km</t>
  </si>
  <si>
    <t>SUPPLEMENT :
Type supplément</t>
  </si>
  <si>
    <t>Montant</t>
  </si>
  <si>
    <t>PEAGES ET VOIES D'EAU Quantité</t>
  </si>
  <si>
    <t>Montant global des abattements</t>
  </si>
  <si>
    <t>Montant global des majorations pour courte distance</t>
  </si>
  <si>
    <t>11</t>
  </si>
  <si>
    <t>39-45</t>
  </si>
  <si>
    <t>49</t>
  </si>
  <si>
    <t>51-56</t>
  </si>
  <si>
    <t>57-58</t>
  </si>
  <si>
    <t>59-60</t>
  </si>
  <si>
    <t>61-62</t>
  </si>
  <si>
    <t>63-68</t>
  </si>
  <si>
    <t>69-72</t>
  </si>
  <si>
    <t>73-76</t>
  </si>
  <si>
    <t>77-80</t>
  </si>
  <si>
    <t>81-84</t>
  </si>
  <si>
    <t>85-88</t>
  </si>
  <si>
    <t>89-92</t>
  </si>
  <si>
    <t>94-95</t>
  </si>
  <si>
    <t>102-103,</t>
  </si>
  <si>
    <t>104-109</t>
  </si>
  <si>
    <t>110-116</t>
  </si>
  <si>
    <t>117-123</t>
  </si>
  <si>
    <t>142-128</t>
  </si>
  <si>
    <t>Date départ</t>
  </si>
  <si>
    <t>Heure départ</t>
  </si>
  <si>
    <t>Lieu départ département commune</t>
  </si>
  <si>
    <t>N° véhicule</t>
  </si>
  <si>
    <t>Nom conducteur</t>
  </si>
  <si>
    <t>Prénom conducteur</t>
  </si>
  <si>
    <t>Nom accompagnateur</t>
  </si>
  <si>
    <t>Prénom accompagnateur</t>
  </si>
  <si>
    <t>Date arrivée</t>
  </si>
  <si>
    <t>Heure arrivée</t>
  </si>
  <si>
    <t>Lieu d’arrivée</t>
  </si>
  <si>
    <t>Nombre malades</t>
  </si>
  <si>
    <t>% abattement</t>
  </si>
  <si>
    <t>Montant abattement</t>
  </si>
  <si>
    <t>Nombre de km facturés</t>
  </si>
  <si>
    <t>Distance réelle parcourue</t>
  </si>
  <si>
    <t>Utilisation du distancier</t>
  </si>
  <si>
    <t>Niveau de certification</t>
  </si>
  <si>
    <t>Montant de la majoration pour courte distance</t>
  </si>
  <si>
    <t>Indicateur de période de réalisation du trajet</t>
  </si>
  <si>
    <t>39-44</t>
  </si>
  <si>
    <t>45-48</t>
  </si>
  <si>
    <t>49-53</t>
  </si>
  <si>
    <t>54-62</t>
  </si>
  <si>
    <t>63-70</t>
  </si>
  <si>
    <t>71-73</t>
  </si>
  <si>
    <t>74-81</t>
  </si>
  <si>
    <t>82-84</t>
  </si>
  <si>
    <t>85-90</t>
  </si>
  <si>
    <t>95-99</t>
  </si>
  <si>
    <t>101-102</t>
  </si>
  <si>
    <t>103-108</t>
  </si>
  <si>
    <t>109-112</t>
  </si>
  <si>
    <t>113-116</t>
  </si>
  <si>
    <t>119-124</t>
  </si>
  <si>
    <t>126-128</t>
  </si>
  <si>
    <t>P</t>
  </si>
  <si>
    <t>TYPE 4T</t>
  </si>
  <si>
    <t>TYPE 4U</t>
  </si>
  <si>
    <t>SPECIALITE</t>
  </si>
  <si>
    <t>DEPARTEMENT</t>
  </si>
  <si>
    <t>LIBELLE DEPARTEMENTS</t>
  </si>
  <si>
    <t>001</t>
  </si>
  <si>
    <t>042</t>
  </si>
  <si>
    <t>069</t>
  </si>
  <si>
    <t>1500101001001</t>
  </si>
  <si>
    <t>RANG</t>
  </si>
  <si>
    <t>1</t>
  </si>
  <si>
    <t>T</t>
  </si>
  <si>
    <t>01</t>
  </si>
  <si>
    <t>0000</t>
  </si>
  <si>
    <t>2</t>
  </si>
  <si>
    <t>PRESCRIPTEUR</t>
  </si>
  <si>
    <t>0</t>
  </si>
  <si>
    <t>05</t>
  </si>
  <si>
    <t>000000</t>
  </si>
  <si>
    <t>000000000</t>
  </si>
  <si>
    <t xml:space="preserve">  </t>
  </si>
  <si>
    <t xml:space="preserve">        </t>
  </si>
  <si>
    <t>0000000</t>
  </si>
  <si>
    <t xml:space="preserve">       </t>
  </si>
  <si>
    <t>69123</t>
  </si>
  <si>
    <t>Table matière</t>
  </si>
  <si>
    <t>39-41</t>
  </si>
  <si>
    <t>58-65</t>
  </si>
  <si>
    <t>66-73</t>
  </si>
  <si>
    <t>82-89</t>
  </si>
  <si>
    <t>Nombre d’enregistrements
de
Type 4</t>
  </si>
  <si>
    <t>Zone réservée
SESAM</t>
  </si>
  <si>
    <t>Total des montants
facturés</t>
  </si>
  <si>
    <t>Total
remboursable par la
Caisse</t>
  </si>
  <si>
    <t>Total participation
assuré avant
participation de
l’organisme
complémentaire</t>
  </si>
  <si>
    <t>Total
remboursable par
l’organisme
complémentaire</t>
  </si>
  <si>
    <t>Top éclatement
des flux par l’OCT</t>
  </si>
  <si>
    <t>Liste d’opposition</t>
  </si>
  <si>
    <t>Zone de
certification</t>
  </si>
  <si>
    <t>36-38</t>
  </si>
  <si>
    <t>42-57</t>
  </si>
  <si>
    <t>91-93</t>
  </si>
  <si>
    <t>95-96</t>
  </si>
  <si>
    <t>97-128</t>
  </si>
  <si>
    <t xml:space="preserve">                </t>
  </si>
  <si>
    <t xml:space="preserve">                                </t>
  </si>
  <si>
    <t>DATE D'EFFET</t>
  </si>
  <si>
    <t xml:space="preserve">CODE NATURE DE PRESTATION </t>
  </si>
  <si>
    <t>LIBELLE</t>
  </si>
  <si>
    <t xml:space="preserve">AB2  </t>
  </si>
  <si>
    <t xml:space="preserve">AB3  </t>
  </si>
  <si>
    <t xml:space="preserve">AB4  </t>
  </si>
  <si>
    <t xml:space="preserve">FX1  </t>
  </si>
  <si>
    <t xml:space="preserve">SX1  </t>
  </si>
  <si>
    <t xml:space="preserve">NXN  </t>
  </si>
  <si>
    <t xml:space="preserve">NXF  </t>
  </si>
  <si>
    <t xml:space="preserve">AB0  </t>
  </si>
  <si>
    <t xml:space="preserve">PEA  </t>
  </si>
  <si>
    <t>METIER FORFAIT TAXI</t>
  </si>
  <si>
    <t>METIER KM TAXI</t>
  </si>
  <si>
    <t>METIER MAJO Nu Di Jf TAXI</t>
  </si>
  <si>
    <t>Département</t>
  </si>
  <si>
    <t>Région</t>
  </si>
  <si>
    <t>Lyon</t>
  </si>
  <si>
    <t>84</t>
  </si>
  <si>
    <t>69</t>
  </si>
  <si>
    <t>69266</t>
  </si>
  <si>
    <t>Villeurbanne</t>
  </si>
  <si>
    <t>15</t>
  </si>
  <si>
    <t>42</t>
  </si>
  <si>
    <t>Saint-Étienne</t>
  </si>
  <si>
    <t>Montbrison</t>
  </si>
  <si>
    <t>42147</t>
  </si>
  <si>
    <t>42218</t>
  </si>
  <si>
    <t>CAISSE</t>
  </si>
  <si>
    <t>NATURE D'ASSURANCE</t>
  </si>
  <si>
    <t>PRE</t>
  </si>
  <si>
    <t>OUI</t>
  </si>
  <si>
    <t>NON</t>
  </si>
  <si>
    <t>250701</t>
  </si>
  <si>
    <t>42-Montbrison</t>
  </si>
  <si>
    <t>42-Saint-Étienne</t>
  </si>
  <si>
    <t>69-Lyon</t>
  </si>
  <si>
    <t>69-Villeurbanne</t>
  </si>
  <si>
    <t>422</t>
  </si>
  <si>
    <t>691</t>
  </si>
  <si>
    <t>NOMBRE DE MALADES</t>
  </si>
  <si>
    <t>N°AM PRESCRIPTEUR</t>
  </si>
  <si>
    <t xml:space="preserve">FX2  </t>
  </si>
  <si>
    <t xml:space="preserve">TMR  </t>
  </si>
  <si>
    <t xml:space="preserve">RX1  </t>
  </si>
  <si>
    <t>Type
d’émetteur</t>
  </si>
  <si>
    <t>Numéro
d’émetteur</t>
  </si>
  <si>
    <t>Type de
destinataire</t>
  </si>
  <si>
    <t>N° de
destinataire</t>
  </si>
  <si>
    <t>Date de
réception du flux
sur le frontal</t>
  </si>
  <si>
    <t>Application</t>
  </si>
  <si>
    <t>Identification du
fichier</t>
  </si>
  <si>
    <t>Date de
création du
fichier</t>
  </si>
  <si>
    <t>Norme</t>
  </si>
  <si>
    <t>Version de
Norme</t>
  </si>
  <si>
    <t>Longueur
d’enregistrement</t>
  </si>
  <si>
    <t>Zone message</t>
  </si>
  <si>
    <t>1-3</t>
  </si>
  <si>
    <t>4-5</t>
  </si>
  <si>
    <t>6-19</t>
  </si>
  <si>
    <t>20-25</t>
  </si>
  <si>
    <t>26-27</t>
  </si>
  <si>
    <t>28-41</t>
  </si>
  <si>
    <t>42-47</t>
  </si>
  <si>
    <t>48-49</t>
  </si>
  <si>
    <t>50-55</t>
  </si>
  <si>
    <t>56-61</t>
  </si>
  <si>
    <t>62-65</t>
  </si>
  <si>
    <t>68</t>
  </si>
  <si>
    <t>70-72</t>
  </si>
  <si>
    <t>73-82</t>
  </si>
  <si>
    <t>83-85</t>
  </si>
  <si>
    <t>86-91</t>
  </si>
  <si>
    <t>92-128</t>
  </si>
  <si>
    <t>Origine du fichier</t>
  </si>
  <si>
    <t>N° d’organisme
destinataire</t>
  </si>
  <si>
    <t>N° de lot</t>
  </si>
  <si>
    <t>Catégorie</t>
  </si>
  <si>
    <t>Statut juridique</t>
  </si>
  <si>
    <t>Mode de
fixation des tarifs</t>
  </si>
  <si>
    <t>Nom ou raison
sociale du partenaire
de santé</t>
  </si>
  <si>
    <t>Version de
norme utilisée</t>
  </si>
  <si>
    <t>Date de                                                                                                                                                                                                                                                           création du lot</t>
  </si>
  <si>
    <t>Code norme</t>
  </si>
  <si>
    <t>Top certification
du lot</t>
  </si>
  <si>
    <t>Numéro de
version de norme</t>
  </si>
  <si>
    <t>Unité monétaire
de facturation</t>
  </si>
  <si>
    <t>N° de la caisse
pivot ou de la
caisse de
paiement unique</t>
  </si>
  <si>
    <t>Indication de
dispositif Caisse
Centralisatrice
des Paiements
ou de dispositif
Caisse de
Paiement Unique</t>
  </si>
  <si>
    <t>11-16</t>
  </si>
  <si>
    <t>17-19</t>
  </si>
  <si>
    <t>20-22</t>
  </si>
  <si>
    <t>23-25</t>
  </si>
  <si>
    <t>28-29</t>
  </si>
  <si>
    <t>30-69</t>
  </si>
  <si>
    <t>70-71</t>
  </si>
  <si>
    <t>72-77</t>
  </si>
  <si>
    <t>78</t>
  </si>
  <si>
    <t>82-87</t>
  </si>
  <si>
    <t>88</t>
  </si>
  <si>
    <t>89-90</t>
  </si>
  <si>
    <t>94</t>
  </si>
  <si>
    <t>95-128</t>
  </si>
  <si>
    <t>Nombre de
factures</t>
  </si>
  <si>
    <t>Montant total
général du lot
prestations
facturées</t>
  </si>
  <si>
    <t>indicateur de
marquage des
factures du lot.</t>
  </si>
  <si>
    <t>N° agrément du
dispositif portable</t>
  </si>
  <si>
    <t>N°
d’identification du
PS remplaçant</t>
  </si>
  <si>
    <t>11-13</t>
  </si>
  <si>
    <t>14-17</t>
  </si>
  <si>
    <t>18-21</t>
  </si>
  <si>
    <t>22-24</t>
  </si>
  <si>
    <t>25-33</t>
  </si>
  <si>
    <t>34-42</t>
  </si>
  <si>
    <t>43-51</t>
  </si>
  <si>
    <t>52-54</t>
  </si>
  <si>
    <t>55</t>
  </si>
  <si>
    <t>56</t>
  </si>
  <si>
    <t>57-60</t>
  </si>
  <si>
    <t>61-72</t>
  </si>
  <si>
    <t>73-84</t>
  </si>
  <si>
    <t>85-87</t>
  </si>
  <si>
    <t>88-96</t>
  </si>
  <si>
    <t>TYPE 2
DEBUT
FACTURE</t>
  </si>
  <si>
    <t>TYPE 5
FIN FACTURE</t>
  </si>
  <si>
    <t>TYPE 6
FIN LOT</t>
  </si>
  <si>
    <t>TYPE 1
DEBUT
LOT</t>
  </si>
  <si>
    <t>Type émetteur</t>
  </si>
  <si>
    <t>Numéro
émetteur</t>
  </si>
  <si>
    <t>Numéro de
destinataire</t>
  </si>
  <si>
    <t>Volume du
fichier</t>
  </si>
  <si>
    <t>Nombre de lots</t>
  </si>
  <si>
    <t>56-63</t>
  </si>
  <si>
    <t>64-82</t>
  </si>
  <si>
    <t>86-128</t>
  </si>
  <si>
    <t>TYPE 999
FIN
FICHIER</t>
  </si>
  <si>
    <t>TYPE 000
DEBUT
FICHIER</t>
  </si>
  <si>
    <t>TP</t>
  </si>
  <si>
    <t xml:space="preserve">      </t>
  </si>
  <si>
    <t>CT</t>
  </si>
  <si>
    <t>TR</t>
  </si>
  <si>
    <t>TESTB2</t>
  </si>
  <si>
    <t>TA</t>
  </si>
  <si>
    <t>B2</t>
  </si>
  <si>
    <t xml:space="preserve">          </t>
  </si>
  <si>
    <t xml:space="preserve">                                     </t>
  </si>
  <si>
    <t xml:space="preserve">TA  </t>
  </si>
  <si>
    <t xml:space="preserve">SIMULATEUR B2 NOUVELLE CONVENTION TAXI  </t>
  </si>
  <si>
    <t>062007</t>
  </si>
  <si>
    <t xml:space="preserve">                                  </t>
  </si>
  <si>
    <t>0001</t>
  </si>
  <si>
    <t xml:space="preserve">    </t>
  </si>
  <si>
    <t xml:space="preserve">            </t>
  </si>
  <si>
    <t xml:space="preserve">         </t>
  </si>
  <si>
    <t xml:space="preserve">                   </t>
  </si>
  <si>
    <t xml:space="preserve">                                           </t>
  </si>
  <si>
    <t>B2 CODES ACTES NELLE CONVENTION</t>
  </si>
  <si>
    <t>TABLES PARAMETRES</t>
  </si>
  <si>
    <t>TYPE 4A
COMPOSANTE FORFAIT</t>
  </si>
  <si>
    <t xml:space="preserve">KXN  </t>
  </si>
  <si>
    <t>PREAMBULE</t>
  </si>
  <si>
    <t>9</t>
  </si>
  <si>
    <t>DISTANCE PARCOURUE</t>
  </si>
  <si>
    <t>CONTEXTE : J, N , F</t>
  </si>
  <si>
    <t xml:space="preserve">SI T PARTAGE : TRAJET SEUL &gt; X KM ? : O/N </t>
  </si>
  <si>
    <t>N°CAS</t>
  </si>
  <si>
    <t>NOMBRE DE TRAJETS FACTURES</t>
  </si>
  <si>
    <t>CARACTERISTIQUES TRAJETS</t>
  </si>
  <si>
    <t>SUPPLEMENT FORFAITAIRE ? : O / N</t>
  </si>
  <si>
    <t>TPMR ? : O / N</t>
  </si>
  <si>
    <t>TRAJET N° :</t>
  </si>
  <si>
    <t>CARACTERISTIQUE PATIENT</t>
  </si>
  <si>
    <t>TAUX</t>
  </si>
  <si>
    <t>C2S ? : O/N</t>
  </si>
  <si>
    <t>MALADIE</t>
  </si>
  <si>
    <t>MATERNITE</t>
  </si>
  <si>
    <t>CARACTERISTIQUES FACTURE</t>
  </si>
  <si>
    <t>TIERS PAYANT</t>
  </si>
  <si>
    <t>05 - TP AMO SEUL</t>
  </si>
  <si>
    <t>REFUS TRANSPORT PARTAGE</t>
  </si>
  <si>
    <t>B2 CODES ACTES TP TP</t>
  </si>
  <si>
    <t>NCONDUCA</t>
  </si>
  <si>
    <r>
      <t xml:space="preserve">Acte traceur « </t>
    </r>
    <r>
      <rPr>
        <b/>
        <i/>
        <sz val="11"/>
        <color rgb="FF0070C0"/>
        <rFont val="Calibri"/>
        <family val="2"/>
        <scheme val="minor"/>
      </rPr>
      <t xml:space="preserve">Trajet  taxi réalisé de nuit </t>
    </r>
    <r>
      <rPr>
        <b/>
        <sz val="11"/>
        <color rgb="FF000000"/>
        <rFont val="Calibri"/>
        <family val="2"/>
        <scheme val="minor"/>
      </rPr>
      <t>»</t>
    </r>
  </si>
  <si>
    <r>
      <t xml:space="preserve">Acte traceur «  </t>
    </r>
    <r>
      <rPr>
        <b/>
        <i/>
        <sz val="11"/>
        <color rgb="FF0070C0"/>
        <rFont val="Calibri"/>
        <family val="2"/>
        <scheme val="minor"/>
      </rPr>
      <t xml:space="preserve">Trajet taxi réalisé un dimanche ou un jour férié </t>
    </r>
    <r>
      <rPr>
        <b/>
        <sz val="11"/>
        <color rgb="FF000000"/>
        <rFont val="Calibri"/>
        <family val="2"/>
        <scheme val="minor"/>
      </rPr>
      <t>»</t>
    </r>
  </si>
  <si>
    <r>
      <t xml:space="preserve">Acte traceur « </t>
    </r>
    <r>
      <rPr>
        <b/>
        <i/>
        <sz val="11"/>
        <color rgb="FF0070C0"/>
        <rFont val="Calibri"/>
        <family val="2"/>
        <scheme val="minor"/>
      </rPr>
      <t xml:space="preserve">Transport partagé  taxi avec trajet seul ≥ seuil de X km </t>
    </r>
    <r>
      <rPr>
        <b/>
        <sz val="11"/>
        <color rgb="FF000000"/>
        <rFont val="Calibri"/>
        <family val="2"/>
        <scheme val="minor"/>
      </rPr>
      <t>»</t>
    </r>
  </si>
  <si>
    <r>
      <t xml:space="preserve">Acte traceur « </t>
    </r>
    <r>
      <rPr>
        <b/>
        <i/>
        <sz val="11"/>
        <color rgb="FF0070C0"/>
        <rFont val="Calibri"/>
        <family val="2"/>
        <scheme val="minor"/>
      </rPr>
      <t xml:space="preserve">Transport partagé  taxi avec 2 personnes </t>
    </r>
    <r>
      <rPr>
        <b/>
        <sz val="11"/>
        <color rgb="FF000000"/>
        <rFont val="Calibri"/>
        <family val="2"/>
        <scheme val="minor"/>
      </rPr>
      <t>»</t>
    </r>
  </si>
  <si>
    <r>
      <t xml:space="preserve">Acte traceur « </t>
    </r>
    <r>
      <rPr>
        <b/>
        <i/>
        <sz val="11"/>
        <color rgb="FF0070C0"/>
        <rFont val="Calibri"/>
        <family val="2"/>
        <scheme val="minor"/>
      </rPr>
      <t xml:space="preserve"> Transport partagé  taxi avec 3 personnes </t>
    </r>
    <r>
      <rPr>
        <b/>
        <sz val="11"/>
        <color rgb="FF000000"/>
        <rFont val="Calibri"/>
        <family val="2"/>
        <scheme val="minor"/>
      </rPr>
      <t>»</t>
    </r>
  </si>
  <si>
    <r>
      <t xml:space="preserve">Acte traceur «  </t>
    </r>
    <r>
      <rPr>
        <b/>
        <i/>
        <sz val="11"/>
        <color rgb="FF0070C0"/>
        <rFont val="Calibri"/>
        <family val="2"/>
        <scheme val="minor"/>
      </rPr>
      <t xml:space="preserve">Transport partagé  taxi avec 4 personnes  ou plus </t>
    </r>
    <r>
      <rPr>
        <b/>
        <sz val="11"/>
        <color rgb="FF000000"/>
        <rFont val="Calibri"/>
        <family val="2"/>
        <scheme val="minor"/>
      </rPr>
      <t>»</t>
    </r>
  </si>
  <si>
    <r>
      <t xml:space="preserve">Acte tarifant « </t>
    </r>
    <r>
      <rPr>
        <b/>
        <i/>
        <sz val="11"/>
        <color rgb="FF0070C0"/>
        <rFont val="Calibri"/>
        <family val="2"/>
        <scheme val="minor"/>
      </rPr>
      <t xml:space="preserve">MONTANT KM TAXI </t>
    </r>
    <r>
      <rPr>
        <b/>
        <sz val="11"/>
        <color theme="1"/>
        <rFont val="Calibri"/>
        <family val="2"/>
        <scheme val="minor"/>
      </rPr>
      <t>»</t>
    </r>
  </si>
  <si>
    <r>
      <t>Acte tarifant « </t>
    </r>
    <r>
      <rPr>
        <b/>
        <i/>
        <sz val="11"/>
        <color rgb="FF0070C0"/>
        <rFont val="Calibri"/>
        <family val="2"/>
        <scheme val="minor"/>
      </rPr>
      <t>FORFAIT TAXI PRISE EN CHARGE ET ACCOMPAGNEMENT</t>
    </r>
    <r>
      <rPr>
        <b/>
        <sz val="11"/>
        <color theme="1"/>
        <rFont val="Calibri"/>
        <family val="2"/>
        <scheme val="minor"/>
      </rPr>
      <t xml:space="preserve"> »</t>
    </r>
  </si>
  <si>
    <r>
      <t xml:space="preserve">Acte tarifant « </t>
    </r>
    <r>
      <rPr>
        <b/>
        <i/>
        <sz val="11"/>
        <color rgb="FF0070C0"/>
        <rFont val="Calibri"/>
        <family val="2"/>
        <scheme val="minor"/>
      </rPr>
      <t>SUPPLEMENT FORFAITAIRE TAXI</t>
    </r>
    <r>
      <rPr>
        <b/>
        <sz val="11"/>
        <color theme="1"/>
        <rFont val="Calibri"/>
        <family val="2"/>
        <scheme val="minor"/>
      </rPr>
      <t xml:space="preserve"> »</t>
    </r>
  </si>
  <si>
    <r>
      <t xml:space="preserve">Acte tarifant « </t>
    </r>
    <r>
      <rPr>
        <b/>
        <i/>
        <sz val="11"/>
        <color rgb="FF0070C0"/>
        <rFont val="Calibri"/>
        <family val="2"/>
        <scheme val="minor"/>
      </rPr>
      <t xml:space="preserve">SUPPLEMENT TPMR </t>
    </r>
    <r>
      <rPr>
        <b/>
        <sz val="11"/>
        <color theme="1"/>
        <rFont val="Calibri"/>
        <family val="2"/>
        <scheme val="minor"/>
      </rPr>
      <t>»</t>
    </r>
  </si>
  <si>
    <t xml:space="preserve">     </t>
  </si>
  <si>
    <t>Identfifiant RPPS du prescripteur</t>
  </si>
  <si>
    <t>N° de la
structure dans
laquelle le PS a
exécuté l’acte</t>
  </si>
  <si>
    <t>E</t>
  </si>
  <si>
    <t xml:space="preserve">              </t>
  </si>
  <si>
    <t xml:space="preserve">TPR  </t>
  </si>
  <si>
    <t>LIEU DEPART</t>
  </si>
  <si>
    <t>LIEU ARRIVEE</t>
  </si>
  <si>
    <t>DATE / HEURE DEPART</t>
  </si>
  <si>
    <t>DATE / HEURE ARRIVEE</t>
  </si>
  <si>
    <t>00 - HTP</t>
  </si>
  <si>
    <t>CLEF DE LUHN</t>
  </si>
  <si>
    <t>N°RPPS PRESCRIPTEUR</t>
  </si>
  <si>
    <t>NUMERO AM SANS CLEF PRESCRIPTEUR</t>
  </si>
  <si>
    <t>NUMERO RPPS SANS CLEF PRESCRIPTEUR</t>
  </si>
  <si>
    <t>37-47</t>
  </si>
  <si>
    <t>48-61</t>
  </si>
  <si>
    <t>62-128</t>
  </si>
  <si>
    <t xml:space="preserve">                                                                   </t>
  </si>
  <si>
    <t xml:space="preserve">TYPE 2E
RPPS PRESCRIPTEUR
</t>
  </si>
  <si>
    <r>
      <t xml:space="preserve">[COEFFICIENT DE MAJORATION] </t>
    </r>
    <r>
      <rPr>
        <b/>
        <vertAlign val="subscript"/>
        <sz val="11"/>
        <color theme="0"/>
        <rFont val="Calibri"/>
        <family val="2"/>
        <scheme val="minor"/>
      </rPr>
      <t>NU ou DI/JF</t>
    </r>
  </si>
  <si>
    <r>
      <t>"</t>
    </r>
    <r>
      <rPr>
        <b/>
        <i/>
        <sz val="11"/>
        <color theme="0"/>
        <rFont val="Calibri"/>
        <family val="2"/>
        <scheme val="minor"/>
      </rPr>
      <t>DIMANCHE / JOUR FERIE</t>
    </r>
    <r>
      <rPr>
        <b/>
        <sz val="11"/>
        <color theme="0"/>
        <rFont val="Calibri"/>
        <family val="2"/>
        <scheme val="minor"/>
      </rPr>
      <t>"</t>
    </r>
  </si>
  <si>
    <r>
      <t>"</t>
    </r>
    <r>
      <rPr>
        <b/>
        <i/>
        <sz val="11"/>
        <color theme="0"/>
        <rFont val="Calibri"/>
        <family val="2"/>
        <scheme val="minor"/>
      </rPr>
      <t>NUIT</t>
    </r>
    <r>
      <rPr>
        <b/>
        <sz val="11"/>
        <color theme="0"/>
        <rFont val="Calibri"/>
        <family val="2"/>
        <scheme val="minor"/>
      </rPr>
      <t>"</t>
    </r>
  </si>
  <si>
    <r>
      <t xml:space="preserve">[PERIODE DE REALISATION] </t>
    </r>
    <r>
      <rPr>
        <b/>
        <vertAlign val="subscript"/>
        <sz val="14"/>
        <color theme="0"/>
        <rFont val="Calibri"/>
        <family val="2"/>
        <scheme val="minor"/>
      </rPr>
      <t>TRAJET</t>
    </r>
  </si>
  <si>
    <t>SEUIL KILOMETRIQUE DE TRAJET SEUL</t>
  </si>
  <si>
    <t>[TARIF SUPPLEMENT TPMR]</t>
  </si>
  <si>
    <r>
      <t xml:space="preserve">[TYPE] </t>
    </r>
    <r>
      <rPr>
        <b/>
        <vertAlign val="subscript"/>
        <sz val="16"/>
        <color theme="0"/>
        <rFont val="Calibri"/>
        <family val="2"/>
        <scheme val="minor"/>
      </rPr>
      <t>Forfait</t>
    </r>
  </si>
  <si>
    <r>
      <t xml:space="preserve">[TARIF] </t>
    </r>
    <r>
      <rPr>
        <b/>
        <vertAlign val="subscript"/>
        <sz val="14"/>
        <color theme="0"/>
        <rFont val="Calibri"/>
        <family val="2"/>
        <scheme val="minor"/>
      </rPr>
      <t>Forfait</t>
    </r>
  </si>
  <si>
    <t>"PRISE EN CHARGE ET ACCOMPAGNEMENT"</t>
  </si>
  <si>
    <r>
      <t xml:space="preserve">[DISTANCE MINIMALE COUVERTE]  </t>
    </r>
    <r>
      <rPr>
        <b/>
        <vertAlign val="subscript"/>
        <sz val="14"/>
        <color theme="0"/>
        <rFont val="Calibri"/>
        <family val="2"/>
        <scheme val="minor"/>
      </rPr>
      <t xml:space="preserve">Forfait </t>
    </r>
  </si>
  <si>
    <r>
      <rPr>
        <b/>
        <u/>
        <sz val="11"/>
        <color theme="0"/>
        <rFont val="Calibri"/>
        <family val="2"/>
        <scheme val="minor"/>
      </rPr>
      <t xml:space="preserve">Hors cas </t>
    </r>
    <r>
      <rPr>
        <b/>
        <sz val="11"/>
        <color theme="0"/>
        <rFont val="Calibri"/>
        <family val="2"/>
        <scheme val="minor"/>
      </rPr>
      <t xml:space="preserve">de trajet seul </t>
    </r>
    <r>
      <rPr>
        <b/>
        <sz val="11"/>
        <color theme="0"/>
        <rFont val="Calibri"/>
        <family val="2"/>
      </rPr>
      <t>≥ [</t>
    </r>
    <r>
      <rPr>
        <b/>
        <sz val="11"/>
        <color theme="0"/>
        <rFont val="Calibri"/>
        <family val="2"/>
        <scheme val="minor"/>
      </rPr>
      <t>SEUIL KILOMETRIQUE DE TRAJET SEUL]</t>
    </r>
  </si>
  <si>
    <t>[NOMBRE DE MALADES] TRANSPORTES</t>
  </si>
  <si>
    <t xml:space="preserve">[COEFFICIENT D'ABATTEMENT] </t>
  </si>
  <si>
    <t>[Distance réelle parcourue]</t>
  </si>
  <si>
    <t>[DEPARTEMENT D'ADS]</t>
  </si>
  <si>
    <t>[CAISSE DE RATTACHEMENT]</t>
  </si>
  <si>
    <r>
      <rPr>
        <b/>
        <u/>
        <sz val="11"/>
        <color theme="0"/>
        <rFont val="Calibri"/>
        <family val="2"/>
        <scheme val="minor"/>
      </rPr>
      <t xml:space="preserve">En cas </t>
    </r>
    <r>
      <rPr>
        <b/>
        <sz val="11"/>
        <color theme="0"/>
        <rFont val="Calibri"/>
        <family val="2"/>
        <scheme val="minor"/>
      </rPr>
      <t>de trajet seul ≥ [SEUIL KILOMETRIQUE DE TRAJET SEUL]</t>
    </r>
  </si>
  <si>
    <t>Grand régime de la caisse pivot ou de la caisse de paiement unique privés, ou pour les établissements publics et privés antérieurement sous DG</t>
  </si>
  <si>
    <t>Date de la demande d’accord préalable ou date d’accord de prise en charge CMU.</t>
  </si>
  <si>
    <t>Justification d’exonération du Ticket Modérateur au niveau de l’acte</t>
  </si>
  <si>
    <t>N° exécutant + clé ayant effectué l’acte ou fourni le produit</t>
  </si>
  <si>
    <t>Nombre de lignes actes</t>
  </si>
  <si>
    <t>Comptabilisation des enregistrements des types 2</t>
  </si>
  <si>
    <t>Total de tous les enregistrements de type 5</t>
  </si>
  <si>
    <t>Montant total général du lot prestations remboursables par les organismes complémentaires</t>
  </si>
  <si>
    <t>Montant total général du lot prestations remboursables par l’organisme d’Ass. Maladie</t>
  </si>
  <si>
    <t>N° agrément progiciel de santé ou n° de certificat pour les logiciels établissements ou raison sociale éditeur</t>
  </si>
  <si>
    <t>TABLES PARAMETRES METIERS</t>
  </si>
  <si>
    <t>CARACTERISTIQUES SOCIETES TAXI</t>
  </si>
  <si>
    <t>METIER SUPPL FORFAITAIRE TAXI</t>
  </si>
  <si>
    <t>METIER SUPPLEMENT TPMR</t>
  </si>
  <si>
    <t>METIER % ABATT TPARTAGE TAXI</t>
  </si>
  <si>
    <t>METIER SEUIL X KM SEUL ABATT</t>
  </si>
  <si>
    <t>LISTE DE PRESCRIPTEURS</t>
  </si>
  <si>
    <t>251231</t>
  </si>
  <si>
    <t>PRA</t>
  </si>
  <si>
    <t>NCONDUCB</t>
  </si>
  <si>
    <t>PRB</t>
  </si>
  <si>
    <t>NCONDUCC</t>
  </si>
  <si>
    <t>PRC</t>
  </si>
  <si>
    <t>NCONDUCD</t>
  </si>
  <si>
    <t>PRD</t>
  </si>
  <si>
    <t>NCONDUCE</t>
  </si>
  <si>
    <t>500101</t>
  </si>
  <si>
    <t xml:space="preserve">[Coefficient aller ou retour à vide] </t>
  </si>
  <si>
    <r>
      <t xml:space="preserve">Acte traceur «  </t>
    </r>
    <r>
      <rPr>
        <b/>
        <i/>
        <sz val="11"/>
        <color rgb="FF0070C0"/>
        <rFont val="Calibri"/>
        <family val="2"/>
        <scheme val="minor"/>
      </rPr>
      <t xml:space="preserve">Aller ou retour à vide  taxi en lien avec une hospitalisation </t>
    </r>
    <r>
      <rPr>
        <b/>
        <sz val="11"/>
        <color rgb="FF000000"/>
        <rFont val="Calibri"/>
        <family val="2"/>
        <scheme val="minor"/>
      </rPr>
      <t>»</t>
    </r>
  </si>
  <si>
    <r>
      <t xml:space="preserve">Acte traceur «   </t>
    </r>
    <r>
      <rPr>
        <b/>
        <i/>
        <sz val="11"/>
        <color rgb="FF0070C0"/>
        <rFont val="Calibri"/>
        <family val="2"/>
        <scheme val="minor"/>
      </rPr>
      <t>Refus du Transport Partagé</t>
    </r>
    <r>
      <rPr>
        <b/>
        <sz val="11"/>
        <color theme="1"/>
        <rFont val="Calibri"/>
        <family val="2"/>
        <scheme val="minor"/>
      </rPr>
      <t xml:space="preserve"> »</t>
    </r>
  </si>
  <si>
    <r>
      <t xml:space="preserve">Acte tarifant « </t>
    </r>
    <r>
      <rPr>
        <b/>
        <i/>
        <sz val="11"/>
        <color rgb="FF0070C0"/>
        <rFont val="Calibri"/>
        <family val="2"/>
        <scheme val="minor"/>
      </rPr>
      <t>SUPPLEMENT TAXI PEAGE</t>
    </r>
    <r>
      <rPr>
        <b/>
        <sz val="11"/>
        <color theme="1"/>
        <rFont val="Calibri"/>
        <family val="2"/>
        <scheme val="minor"/>
      </rPr>
      <t xml:space="preserve"> »</t>
    </r>
  </si>
  <si>
    <t xml:space="preserve">Loire  </t>
  </si>
  <si>
    <t xml:space="preserve">Rhône  </t>
  </si>
  <si>
    <t>G</t>
  </si>
  <si>
    <t>Entre [Distance minimale couverte par le forfait] et strictement inférieur à [Seuil n°1 km aller ou retour à vide]</t>
  </si>
  <si>
    <t>"Supérieure ou égale à [Seuil n°1 km aller ou retour à vide] "</t>
  </si>
  <si>
    <t xml:space="preserve">[Seuil n°1 km aller ou retour à vide] en km </t>
  </si>
  <si>
    <t>Code INSEE COMMUNE</t>
  </si>
  <si>
    <t>Libellé INSEE COMMUNE</t>
  </si>
  <si>
    <t>NON ELIGIBLE FORFAIT GRANDE VILLE</t>
  </si>
  <si>
    <t>ELIGIBLE FORFAIT GRANDE VILLE</t>
  </si>
  <si>
    <r>
      <t>Acte tarifant «</t>
    </r>
    <r>
      <rPr>
        <b/>
        <i/>
        <sz val="11"/>
        <color rgb="FF0070C0"/>
        <rFont val="Calibri"/>
        <family val="2"/>
        <scheme val="minor"/>
      </rPr>
      <t xml:space="preserve"> FORFAIT TAXI PRISE EN CHARGE ET ACCOMPAGNEMENT ET GRANDE VILLE</t>
    </r>
    <r>
      <rPr>
        <b/>
        <sz val="11"/>
        <color theme="1"/>
        <rFont val="Calibri"/>
        <family val="2"/>
        <scheme val="minor"/>
      </rPr>
      <t>»</t>
    </r>
  </si>
  <si>
    <t>"PRISE EN CHARGE ET ACCOMPAGNEMENT ET GRANDE VILLE"</t>
  </si>
  <si>
    <t>COMMUNE DE DEPART OU D'ARRIVEE :
- "ELIGIBLE FORFAIT GRANDE VILLE"
- "NON ELIGIBLE FORFAIT GRANDE VILLE"</t>
  </si>
  <si>
    <t>TARIF KM DE BASE
(HORS ALLER OU RETOUR A VIDE)</t>
  </si>
  <si>
    <t>PEAGES ? : O / N</t>
  </si>
  <si>
    <t>128</t>
  </si>
  <si>
    <t>[ORGANISME LOCAL D'AM] DE L'ADS</t>
  </si>
  <si>
    <t>[VEHICULE]</t>
  </si>
  <si>
    <t>[SOCIETE DE TAXIS]</t>
  </si>
  <si>
    <t>[N°AM]</t>
  </si>
  <si>
    <t>[SPECIALITE]</t>
  </si>
  <si>
    <t>[NUMERO D'ADS]</t>
  </si>
  <si>
    <t>[NUMERO D'IMMATRICULATION]</t>
  </si>
  <si>
    <t>[CODE  CAISSE]</t>
  </si>
  <si>
    <t>[AUTORISATION DE STATIONNEMENT (ADS)]</t>
  </si>
  <si>
    <t>0002</t>
  </si>
  <si>
    <t>0003</t>
  </si>
  <si>
    <t>[CODE COMMUNE D'ADS]</t>
  </si>
  <si>
    <r>
      <t xml:space="preserve">[CODE CAISSE] </t>
    </r>
    <r>
      <rPr>
        <b/>
        <vertAlign val="subscript"/>
        <sz val="11"/>
        <color theme="0"/>
        <rFont val="Calibri"/>
        <family val="2"/>
        <scheme val="minor"/>
      </rPr>
      <t>ORGANISME LOCAL D'AM DE L'ADS</t>
    </r>
  </si>
  <si>
    <r>
      <t xml:space="preserve">[CODE DEPARTEMENT] </t>
    </r>
    <r>
      <rPr>
        <b/>
        <vertAlign val="subscript"/>
        <sz val="11"/>
        <color theme="0"/>
        <rFont val="Calibri"/>
        <family val="2"/>
        <scheme val="minor"/>
      </rPr>
      <t>de l'Autorisation De Stationnement (ADS)</t>
    </r>
  </si>
  <si>
    <t>LIBELLE COMMUNE</t>
  </si>
  <si>
    <t>69-LYON</t>
  </si>
  <si>
    <t>N° IMMATRICULATION VEHICULE</t>
  </si>
  <si>
    <t>DEPARTEMENT D'ADS</t>
  </si>
  <si>
    <t>ORGANISME LOCAL D'ADS</t>
  </si>
  <si>
    <t>COMMUNE D'ADS</t>
  </si>
  <si>
    <t>15 - TP AMO &amp; TP AMC</t>
  </si>
  <si>
    <t>CODES COMMUNE &amp; GRANDES VILLES</t>
  </si>
  <si>
    <t>METIER %KM ALLER RETOUR A VIDE</t>
  </si>
  <si>
    <t>SEUIL N1 KM ALLER RETOUR A VIDE</t>
  </si>
  <si>
    <t>27/12/2025 à 20h00</t>
  </si>
  <si>
    <t>10/11/2025 à 20H00</t>
  </si>
  <si>
    <t>11/11/2025 à 16H00</t>
  </si>
  <si>
    <t>69-VILLEURBANNE</t>
  </si>
  <si>
    <t>42-MONTBRISON</t>
  </si>
  <si>
    <t>42-SAINT-ETIENNE</t>
  </si>
  <si>
    <t>AA-001-BB</t>
  </si>
  <si>
    <t>EE-003-FF</t>
  </si>
  <si>
    <t>422500009</t>
  </si>
  <si>
    <t>42100000</t>
  </si>
  <si>
    <t>421000001</t>
  </si>
  <si>
    <t>TRAJET EN LIEN AVEC HOSPITALISATION ET RETOUR A VIDE ? : O/N</t>
  </si>
  <si>
    <t>01/12/2025 à 10H00</t>
  </si>
  <si>
    <t>01/12/2025 à 10H11</t>
  </si>
  <si>
    <t>42218 
(SAINT-ETIENNE)</t>
  </si>
  <si>
    <t>422 - CPAM DE LA LOIRE</t>
  </si>
  <si>
    <t>69123
(LYON)</t>
  </si>
  <si>
    <t xml:space="preserve">691 - CPAM DU RHONE </t>
  </si>
  <si>
    <t>01/12/2025 à 11h15</t>
  </si>
  <si>
    <t>01/12/2025 à 10h50</t>
  </si>
  <si>
    <t>01/12/2025 à 10h40</t>
  </si>
  <si>
    <t>01/12/2025 à 20h00</t>
  </si>
  <si>
    <t>01/12/2025 à 20h40</t>
  </si>
  <si>
    <t>11/11/2025 à 10h00</t>
  </si>
  <si>
    <t>11/11/10/2025 à 10h40</t>
  </si>
  <si>
    <t>11/11/2025 à 10H00</t>
  </si>
  <si>
    <t>01/12/2025 à 20H00</t>
  </si>
  <si>
    <t>01/12/2025 à 20h50</t>
  </si>
  <si>
    <t>25/12/2025 à 10H00</t>
  </si>
  <si>
    <t>25/12/2025 à 10h50</t>
  </si>
  <si>
    <t>10/11/2025 à 10H00</t>
  </si>
  <si>
    <t>10/11/2025 à 11h15</t>
  </si>
  <si>
    <t>11/11/2025 à 11h00</t>
  </si>
  <si>
    <t>11/11/2025 à 12h15</t>
  </si>
  <si>
    <t>25/12/2025 à 11h15</t>
  </si>
  <si>
    <t>26/12/2025 à 09H00</t>
  </si>
  <si>
    <t>26/12/2025 à 10H15</t>
  </si>
  <si>
    <t>27/12/2025 à 21h15</t>
  </si>
  <si>
    <t>01/12/2025 à 11H15</t>
  </si>
  <si>
    <t>10/11/2025 à 21H15</t>
  </si>
  <si>
    <t>11/11/2025 à 17H15</t>
  </si>
  <si>
    <t>01/12/2025 à 13H00</t>
  </si>
  <si>
    <t>01/12/2025 à 13h50</t>
  </si>
  <si>
    <t>1350</t>
  </si>
  <si>
    <t>11/11/2025 à 11h15</t>
  </si>
  <si>
    <t>251201</t>
  </si>
  <si>
    <t>1000</t>
  </si>
  <si>
    <t>1011</t>
  </si>
  <si>
    <t>00000422500009</t>
  </si>
  <si>
    <t>00000001000422</t>
  </si>
  <si>
    <t/>
  </si>
  <si>
    <t>10</t>
  </si>
  <si>
    <t>11111110118</t>
  </si>
  <si>
    <t>LIGNE A GENERER</t>
  </si>
  <si>
    <t>000100</t>
  </si>
  <si>
    <t>0001300</t>
  </si>
  <si>
    <t>055</t>
  </si>
  <si>
    <t>0000715</t>
  </si>
  <si>
    <t>0003000</t>
  </si>
  <si>
    <t>0000002</t>
  </si>
  <si>
    <t>00001300</t>
  </si>
  <si>
    <t>00000715</t>
  </si>
  <si>
    <t>00000585</t>
  </si>
  <si>
    <t>00000000</t>
  </si>
  <si>
    <t>000001300</t>
  </si>
  <si>
    <t>000000715</t>
  </si>
  <si>
    <t>0002800</t>
  </si>
  <si>
    <t>0001540</t>
  </si>
  <si>
    <t>00002800</t>
  </si>
  <si>
    <t>00001540</t>
  </si>
  <si>
    <t>00001260</t>
  </si>
  <si>
    <t>000002800</t>
  </si>
  <si>
    <t>000001540</t>
  </si>
  <si>
    <t>1115</t>
  </si>
  <si>
    <t>0063</t>
  </si>
  <si>
    <t>0006313</t>
  </si>
  <si>
    <t>0003472</t>
  </si>
  <si>
    <t>00009113</t>
  </si>
  <si>
    <t>00005012</t>
  </si>
  <si>
    <t>00004101</t>
  </si>
  <si>
    <t>000009113</t>
  </si>
  <si>
    <t>000005012</t>
  </si>
  <si>
    <t>0009558</t>
  </si>
  <si>
    <t>0005257</t>
  </si>
  <si>
    <t>003</t>
  </si>
  <si>
    <t>00012358</t>
  </si>
  <si>
    <t>00006797</t>
  </si>
  <si>
    <t>00005561</t>
  </si>
  <si>
    <t>000012358</t>
  </si>
  <si>
    <t>000006797</t>
  </si>
  <si>
    <t>1050</t>
  </si>
  <si>
    <t>0040</t>
  </si>
  <si>
    <t>0003888</t>
  </si>
  <si>
    <t>0002138</t>
  </si>
  <si>
    <t>0000800</t>
  </si>
  <si>
    <t>0000440</t>
  </si>
  <si>
    <t>00005988</t>
  </si>
  <si>
    <t>00003293</t>
  </si>
  <si>
    <t>00002695</t>
  </si>
  <si>
    <t>000005988</t>
  </si>
  <si>
    <t>000003293</t>
  </si>
  <si>
    <t>1040</t>
  </si>
  <si>
    <t>0043</t>
  </si>
  <si>
    <t>0004212</t>
  </si>
  <si>
    <t>0002317</t>
  </si>
  <si>
    <t>0000120</t>
  </si>
  <si>
    <t>0000066</t>
  </si>
  <si>
    <t>00005632</t>
  </si>
  <si>
    <t>00003098</t>
  </si>
  <si>
    <t>00002534</t>
  </si>
  <si>
    <t>000005632</t>
  </si>
  <si>
    <t>000003098</t>
  </si>
  <si>
    <t>1300</t>
  </si>
  <si>
    <t>02</t>
  </si>
  <si>
    <t>0002600</t>
  </si>
  <si>
    <t>0001430</t>
  </si>
  <si>
    <t>0007776</t>
  </si>
  <si>
    <t>0004277</t>
  </si>
  <si>
    <t>0006000</t>
  </si>
  <si>
    <t>0003300</t>
  </si>
  <si>
    <t>00016376</t>
  </si>
  <si>
    <t>00009007</t>
  </si>
  <si>
    <t>00007369</t>
  </si>
  <si>
    <t>000016376</t>
  </si>
  <si>
    <t>000009007</t>
  </si>
  <si>
    <t>2000</t>
  </si>
  <si>
    <t>2040</t>
  </si>
  <si>
    <t>0001950</t>
  </si>
  <si>
    <t>0001073</t>
  </si>
  <si>
    <t>0006318</t>
  </si>
  <si>
    <t>0003475</t>
  </si>
  <si>
    <t>0001650</t>
  </si>
  <si>
    <t>006</t>
  </si>
  <si>
    <t>00012188</t>
  </si>
  <si>
    <t>00006704</t>
  </si>
  <si>
    <t>00005484</t>
  </si>
  <si>
    <t>0006</t>
  </si>
  <si>
    <t>000012188</t>
  </si>
  <si>
    <t>000006704</t>
  </si>
  <si>
    <t>00000012</t>
  </si>
  <si>
    <t>251111</t>
  </si>
  <si>
    <t>0007917</t>
  </si>
  <si>
    <t>0004354</t>
  </si>
  <si>
    <t>00013787</t>
  </si>
  <si>
    <t>00007583</t>
  </si>
  <si>
    <t>00006204</t>
  </si>
  <si>
    <t>0007</t>
  </si>
  <si>
    <t>000013787</t>
  </si>
  <si>
    <t>000007583</t>
  </si>
  <si>
    <t>00000013</t>
  </si>
  <si>
    <t>0001001</t>
  </si>
  <si>
    <t>0000551</t>
  </si>
  <si>
    <t>0003243</t>
  </si>
  <si>
    <t>0001784</t>
  </si>
  <si>
    <t>0000231</t>
  </si>
  <si>
    <t>0000127</t>
  </si>
  <si>
    <t>0000060</t>
  </si>
  <si>
    <t>0000033</t>
  </si>
  <si>
    <t>00007535</t>
  </si>
  <si>
    <t>00004145</t>
  </si>
  <si>
    <t>00003390</t>
  </si>
  <si>
    <t>000007535</t>
  </si>
  <si>
    <t>000004145</t>
  </si>
  <si>
    <t>0001764</t>
  </si>
  <si>
    <t>0000970</t>
  </si>
  <si>
    <t>0005984</t>
  </si>
  <si>
    <t>0003291</t>
  </si>
  <si>
    <t>0000378</t>
  </si>
  <si>
    <t>0000208</t>
  </si>
  <si>
    <t>00011126</t>
  </si>
  <si>
    <t>00006119</t>
  </si>
  <si>
    <t>00005007</t>
  </si>
  <si>
    <t>000011126</t>
  </si>
  <si>
    <t>000006119</t>
  </si>
  <si>
    <t>0001235</t>
  </si>
  <si>
    <t>0000679</t>
  </si>
  <si>
    <t>0004001</t>
  </si>
  <si>
    <t>0002201</t>
  </si>
  <si>
    <t>0000285</t>
  </si>
  <si>
    <t>0000157</t>
  </si>
  <si>
    <t>0000040</t>
  </si>
  <si>
    <t>0000022</t>
  </si>
  <si>
    <t>00008561</t>
  </si>
  <si>
    <t>00004709</t>
  </si>
  <si>
    <t>00003852</t>
  </si>
  <si>
    <t>000008561</t>
  </si>
  <si>
    <t>000004709</t>
  </si>
  <si>
    <t>0001268</t>
  </si>
  <si>
    <t>0000697</t>
  </si>
  <si>
    <t>0005146</t>
  </si>
  <si>
    <t>0002830</t>
  </si>
  <si>
    <t>0000195</t>
  </si>
  <si>
    <t>0000107</t>
  </si>
  <si>
    <t>008</t>
  </si>
  <si>
    <t>00009649</t>
  </si>
  <si>
    <t>00005306</t>
  </si>
  <si>
    <t>00004343</t>
  </si>
  <si>
    <t>0008</t>
  </si>
  <si>
    <t>000009649</t>
  </si>
  <si>
    <t>000005306</t>
  </si>
  <si>
    <t>0003990</t>
  </si>
  <si>
    <t>0002195</t>
  </si>
  <si>
    <t>0013564</t>
  </si>
  <si>
    <t>0007460</t>
  </si>
  <si>
    <t>0000570</t>
  </si>
  <si>
    <t>0000314</t>
  </si>
  <si>
    <t>00021124</t>
  </si>
  <si>
    <t>00011619</t>
  </si>
  <si>
    <t>00009505</t>
  </si>
  <si>
    <t>000021124</t>
  </si>
  <si>
    <t>000011619</t>
  </si>
  <si>
    <t>2050</t>
  </si>
  <si>
    <t>251225</t>
  </si>
  <si>
    <t>03</t>
  </si>
  <si>
    <t>0009000</t>
  </si>
  <si>
    <t>0004950</t>
  </si>
  <si>
    <t>009</t>
  </si>
  <si>
    <t>0009</t>
  </si>
  <si>
    <t>00000015</t>
  </si>
  <si>
    <t>251015</t>
  </si>
  <si>
    <t>251110</t>
  </si>
  <si>
    <t>1100</t>
  </si>
  <si>
    <t>1215</t>
  </si>
  <si>
    <t>251226</t>
  </si>
  <si>
    <t>0900</t>
  </si>
  <si>
    <t>1015</t>
  </si>
  <si>
    <t>251227</t>
  </si>
  <si>
    <t>2115</t>
  </si>
  <si>
    <t>30</t>
  </si>
  <si>
    <t>0015988</t>
  </si>
  <si>
    <t>100</t>
  </si>
  <si>
    <t>04</t>
  </si>
  <si>
    <t>0044682</t>
  </si>
  <si>
    <t>0003262</t>
  </si>
  <si>
    <t>0000004</t>
  </si>
  <si>
    <t>00063932</t>
  </si>
  <si>
    <t>000063932</t>
  </si>
  <si>
    <t>89</t>
  </si>
  <si>
    <t>000000000M</t>
  </si>
  <si>
    <t>0003797</t>
  </si>
  <si>
    <t>0002088</t>
  </si>
  <si>
    <t>0012283</t>
  </si>
  <si>
    <t>0006756</t>
  </si>
  <si>
    <t>0001509</t>
  </si>
  <si>
    <t>0000830</t>
  </si>
  <si>
    <t>00026589</t>
  </si>
  <si>
    <t>00014624</t>
  </si>
  <si>
    <t>00011965</t>
  </si>
  <si>
    <t>000026589</t>
  </si>
  <si>
    <t>000014624</t>
  </si>
  <si>
    <t>0004200</t>
  </si>
  <si>
    <t>0002310</t>
  </si>
  <si>
    <t>0014337</t>
  </si>
  <si>
    <t>0007885</t>
  </si>
  <si>
    <t>0000300</t>
  </si>
  <si>
    <t>0000165</t>
  </si>
  <si>
    <t>00021837</t>
  </si>
  <si>
    <t>00012010</t>
  </si>
  <si>
    <t>00009827</t>
  </si>
  <si>
    <t>000021837</t>
  </si>
  <si>
    <t>000012010</t>
  </si>
  <si>
    <t>01/12/2025 à 21H15</t>
  </si>
  <si>
    <t>1600</t>
  </si>
  <si>
    <t>1715</t>
  </si>
  <si>
    <t>0008400</t>
  </si>
  <si>
    <t>0004620</t>
  </si>
  <si>
    <t>0023777</t>
  </si>
  <si>
    <t>0013077</t>
  </si>
  <si>
    <t>0000600</t>
  </si>
  <si>
    <t>0000330</t>
  </si>
  <si>
    <t>00038777</t>
  </si>
  <si>
    <t>00021327</t>
  </si>
  <si>
    <t>00017450</t>
  </si>
  <si>
    <t>000038777</t>
  </si>
  <si>
    <t>000021327</t>
  </si>
  <si>
    <t>0006372</t>
  </si>
  <si>
    <t>0003505</t>
  </si>
  <si>
    <t>00009172</t>
  </si>
  <si>
    <t>00005045</t>
  </si>
  <si>
    <t>00004127</t>
  </si>
  <si>
    <t>000009172</t>
  </si>
  <si>
    <t>000005045</t>
  </si>
  <si>
    <t>CARACTERISTIQUES METIERS DU OU DES TRAJETS FACTURES</t>
  </si>
  <si>
    <t>FACTURE B2 CORRESPONDANT</t>
  </si>
  <si>
    <t>NIR</t>
  </si>
  <si>
    <t>DATE DE NAISSANCE</t>
  </si>
  <si>
    <t>REGIME</t>
  </si>
  <si>
    <t>CENTRE</t>
  </si>
  <si>
    <t>N°AM</t>
  </si>
  <si>
    <t>NN°RPPS</t>
  </si>
  <si>
    <t>ASSURE</t>
  </si>
  <si>
    <r>
      <t xml:space="preserve">SOCIETE DE TAXI DE N° AM : </t>
    </r>
    <r>
      <rPr>
        <b/>
        <sz val="12"/>
        <color theme="9" tint="-0.249977111117893"/>
        <rFont val="Calibri"/>
        <family val="2"/>
        <scheme val="minor"/>
      </rPr>
      <t>422500009 SPECIALITE : 56</t>
    </r>
  </si>
  <si>
    <t>CONVENTION CAS 1</t>
  </si>
  <si>
    <t>CONVENTION CAS 2</t>
  </si>
  <si>
    <t>CONVENTION CAS 3</t>
  </si>
  <si>
    <t>CONVENTION CAS 4</t>
  </si>
  <si>
    <t>CONVENTION CAS 5</t>
  </si>
  <si>
    <t>CONVENTION CAS 6</t>
  </si>
  <si>
    <t>CONVENTION CAS 7</t>
  </si>
  <si>
    <t>CONVENTION CAS 8</t>
  </si>
  <si>
    <t>CONVENTION CAS 9</t>
  </si>
  <si>
    <t>CONVENTION CAS 10</t>
  </si>
  <si>
    <t>CONVENTION CAS 11</t>
  </si>
  <si>
    <t>CONVENTION CAS 12</t>
  </si>
  <si>
    <t>CONVENTION CAS 13</t>
  </si>
  <si>
    <t>CONVENTION CAS 14</t>
  </si>
  <si>
    <t>CONVENTION CAS 15</t>
  </si>
  <si>
    <t>CONVENTION CAS 16</t>
  </si>
  <si>
    <t>TP CONTRE TP CAS 1</t>
  </si>
  <si>
    <t>TP CONTRE TP CAS 2</t>
  </si>
  <si>
    <t>TP CONTRE TP CAS 4</t>
  </si>
  <si>
    <t>TP CONTRE TP CAS 3</t>
  </si>
  <si>
    <t>LISTE COMMUNES</t>
  </si>
  <si>
    <t>LISTE DES CAS ANNEXE 30</t>
  </si>
  <si>
    <t>JOUR</t>
  </si>
  <si>
    <t>DIM / J FERIE</t>
  </si>
  <si>
    <t>NUIT</t>
  </si>
  <si>
    <t>OUI 
(TYPES 1 &amp; 2)</t>
  </si>
  <si>
    <t>OUI
(à 1,20€)</t>
  </si>
  <si>
    <t>OUI  
(TYPES 1 &amp; 2)</t>
  </si>
  <si>
    <t>OUI 
(TYPE 1)</t>
  </si>
  <si>
    <t>OUI 
(à 0,40€)</t>
  </si>
  <si>
    <t>OUI 
(à 0,60€)</t>
  </si>
  <si>
    <t>OUI 
(TYPES 1  &amp; 2 &amp; 3)</t>
  </si>
  <si>
    <t>OUI 
(TYPE 2)</t>
  </si>
  <si>
    <t>Sans objet</t>
  </si>
  <si>
    <t>SOCIETE DE TAXI DE N° AM : 422500009 SPECIALITE : 56</t>
  </si>
  <si>
    <t>0001709</t>
  </si>
  <si>
    <t>0005527</t>
  </si>
  <si>
    <t>000011965</t>
  </si>
  <si>
    <t>LE PRESENT FICHIER CONSTITUE L'ANNEXE 30 A LA NORME B2 POUR ILLUSTRER LES MODALITES DE FACTURATION EN NORME B2 VERS L'ASSURANCE MALADIE PAR LES SOCIETES DE TAXIS DANS LE CADRE DE LA NOUVELLE CONVENTION TAXIS 2025 - 2029 ET DU DECRET TIERS PAYANT CONTRE TRANSPORT PARTAGE
CE DOCUMENT VIENT EN COMPLEMENT DU CAHIER DES CHARGES A L’ATTENTION DES EDITEURS DE LOGICIELS DE FACTURATION B2 TAXIS PUBLIE SUR AMELI.FR
LES DONNEES ET VALEURS MENTIONNEES VISENT A ILLUSTRER LES MODALITES DE FACTURATION. IL CONVIENT DONC DE SE REFERER A LA CONVENTION ET A SES ANNEXES POUR DISPOSER DES VALEURS REELLES A APPLIQUER</t>
  </si>
  <si>
    <t>251206</t>
  </si>
  <si>
    <t>0016800</t>
  </si>
  <si>
    <t>0009240</t>
  </si>
  <si>
    <t>0007560</t>
  </si>
  <si>
    <t>1900</t>
  </si>
  <si>
    <t>2015</t>
  </si>
  <si>
    <t>251213</t>
  </si>
  <si>
    <t>1930</t>
  </si>
  <si>
    <t>2045</t>
  </si>
  <si>
    <t>251221</t>
  </si>
  <si>
    <t>0700</t>
  </si>
  <si>
    <t>0815</t>
  </si>
  <si>
    <t>251228</t>
  </si>
  <si>
    <t>0730</t>
  </si>
  <si>
    <t>0845</t>
  </si>
  <si>
    <t>0037996</t>
  </si>
  <si>
    <t>0020898</t>
  </si>
  <si>
    <t>0017098</t>
  </si>
  <si>
    <t>004</t>
  </si>
  <si>
    <t>00054796</t>
  </si>
  <si>
    <t>00030138</t>
  </si>
  <si>
    <t>00024658</t>
  </si>
  <si>
    <t>0004</t>
  </si>
  <si>
    <t>000054796</t>
  </si>
  <si>
    <t>000030138</t>
  </si>
  <si>
    <t>000024658</t>
  </si>
  <si>
    <t>00000010</t>
  </si>
  <si>
    <t>CONVENTION CAS 17</t>
  </si>
  <si>
    <t>so</t>
  </si>
  <si>
    <t>Samedi 06/12/2025 à 19h00</t>
  </si>
  <si>
    <t>Samedi 06/12/2025 à 20h15</t>
  </si>
  <si>
    <t>Samedi 13/12/2025 à 19h30</t>
  </si>
  <si>
    <t>Samedi 13/12/2025 à 20h45</t>
  </si>
  <si>
    <t>Dimanche 21/12/2025 à 7h00</t>
  </si>
  <si>
    <t>Dimanche 21/12/2025 à 8h15</t>
  </si>
  <si>
    <t>Dimanche 28/12/2025 à 7h30</t>
  </si>
  <si>
    <t>Dimanche 28/12/2025 à 8h45</t>
  </si>
  <si>
    <t>005</t>
  </si>
  <si>
    <t>010</t>
  </si>
  <si>
    <t>014</t>
  </si>
  <si>
    <t>011</t>
  </si>
  <si>
    <t>00000011</t>
  </si>
  <si>
    <t>00000016</t>
  </si>
  <si>
    <t>00000017</t>
  </si>
  <si>
    <t>00000021</t>
  </si>
  <si>
    <t>00000018</t>
  </si>
  <si>
    <t>55-63</t>
  </si>
  <si>
    <t>TYPE 4
COMPOSANTE "KM"</t>
  </si>
  <si>
    <t>TYPE 4
COMPOSANTE "SUPPLEMENT"</t>
  </si>
  <si>
    <t>TYPE 4
COMPOSANTE "TPMR"</t>
  </si>
  <si>
    <t>TYPE 4
TRACEUR NUIT</t>
  </si>
  <si>
    <t>TYPE 4
TRACEUR DI JF</t>
  </si>
  <si>
    <t>TYPE 4
TRACEUR RETOUR A VIDE</t>
  </si>
  <si>
    <t>TYPE 4
TRACEUR TP  CONTRE TP</t>
  </si>
  <si>
    <t>TYPE 4
TRACEUR ABATEMENT SI TRAJET SEUL &gt; X KM</t>
  </si>
  <si>
    <t>TYPE 4 
TRACEUR
2 PERSONNES</t>
  </si>
  <si>
    <t>TYPE 4
TRACEUR 3 PERSONNES</t>
  </si>
  <si>
    <t>TYPE 4
TRACEUR  4 PERSONNES OU PLUS</t>
  </si>
  <si>
    <t>TYPE 4
COMPOSANTE "PEAGE"</t>
  </si>
  <si>
    <t>AME ? : O/N</t>
  </si>
  <si>
    <t>RLAM ? O/N</t>
  </si>
  <si>
    <t>CARACTERISTIQUES PATIENT</t>
  </si>
  <si>
    <t>CONVENTION CAS 18</t>
  </si>
  <si>
    <t>CONVENTION CAS 19</t>
  </si>
  <si>
    <t>CONVENTION CAS 20</t>
  </si>
  <si>
    <t>AT / MP</t>
  </si>
  <si>
    <t>NUMERO SUPPLEMENT FORFAITAIRE TAXI :</t>
  </si>
  <si>
    <t>MALADIE RLAM</t>
  </si>
  <si>
    <t>13</t>
  </si>
  <si>
    <t>0075500017</t>
  </si>
  <si>
    <t>41</t>
  </si>
  <si>
    <t>250901001</t>
  </si>
  <si>
    <t>91-94</t>
  </si>
  <si>
    <t>DATE DE DERNIERE MISE A JOUR : 26/09/2025</t>
  </si>
  <si>
    <t>AAZZ2501BC12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</si>
</sst>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#,##0\ &quot;€&quot;;[Red]\-#,##0\ &quot;€&quot;"/>
    <numFmt numFmtId="164" formatCode="_-* #,##0.00\ [$€]_-;\-* #,##0.00\ [$€]_-;_-* &quot;-&quot;??\ [$€]_-;_-@_-"/>
    <numFmt numFmtId="165" formatCode="#,##0.00\ &quot;€&quot;"/>
  </numFmts>
  <fonts count="4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3" tint="0.59999389629810485"/>
      <name val="Calibri"/>
      <family val="2"/>
      <scheme val="minor"/>
    </font>
    <font>
      <b/>
      <sz val="26"/>
      <color theme="9" tint="-0.2499465926084170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7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vertAlign val="subscript"/>
      <sz val="14"/>
      <color theme="0"/>
      <name val="Calibri"/>
      <family val="2"/>
      <scheme val="minor"/>
    </font>
    <font>
      <b/>
      <vertAlign val="subscript"/>
      <sz val="16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4"/>
      <color theme="0"/>
      <name val="Arial"/>
      <family val="2"/>
    </font>
    <font>
      <b/>
      <sz val="2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u/>
      <sz val="18"/>
      <color rgb="FF0000FF"/>
      <name val="Calibri"/>
      <family val="2"/>
      <scheme val="minor"/>
    </font>
    <font>
      <b/>
      <sz val="18"/>
      <color rgb="FF0000FF"/>
      <name val="Calibri"/>
      <family val="2"/>
      <scheme val="minor"/>
    </font>
    <font>
      <b/>
      <u/>
      <sz val="18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0E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E6AF00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1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1"/>
      </right>
      <top style="medium">
        <color theme="0"/>
      </top>
      <bottom/>
      <diagonal/>
    </border>
    <border>
      <left style="medium">
        <color theme="0"/>
      </left>
      <right style="thin">
        <color theme="1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medium">
        <color theme="0"/>
      </top>
      <bottom/>
      <diagonal/>
    </border>
    <border>
      <left style="thin">
        <color theme="1"/>
      </left>
      <right style="thin">
        <color theme="1"/>
      </right>
      <top/>
      <bottom style="medium">
        <color theme="0"/>
      </bottom>
      <diagonal/>
    </border>
    <border>
      <left style="thin">
        <color theme="1"/>
      </left>
      <right style="medium">
        <color theme="0"/>
      </right>
      <top style="medium">
        <color theme="0"/>
      </top>
      <bottom/>
      <diagonal/>
    </border>
    <border>
      <left style="thin">
        <color theme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1"/>
      </right>
      <top style="medium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0"/>
      </top>
      <bottom style="thin">
        <color theme="1"/>
      </bottom>
      <diagonal/>
    </border>
    <border>
      <left style="thin">
        <color theme="1"/>
      </left>
      <right style="medium">
        <color theme="0"/>
      </right>
      <top style="medium">
        <color theme="0"/>
      </top>
      <bottom style="thin">
        <color theme="1"/>
      </bottom>
      <diagonal/>
    </border>
    <border>
      <left style="medium">
        <color theme="0"/>
      </left>
      <right style="thin">
        <color theme="1"/>
      </right>
      <top style="thin">
        <color theme="1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0"/>
      </bottom>
      <diagonal/>
    </border>
    <border>
      <left style="thin">
        <color theme="1"/>
      </left>
      <right style="medium">
        <color theme="0"/>
      </right>
      <top style="thin">
        <color theme="1"/>
      </top>
      <bottom style="medium">
        <color theme="0"/>
      </bottom>
      <diagonal/>
    </border>
    <border>
      <left style="medium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0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0"/>
      </left>
      <right style="thin">
        <color theme="1"/>
      </right>
      <top/>
      <bottom/>
      <diagonal/>
    </border>
    <border>
      <left style="thin">
        <color theme="1"/>
      </left>
      <right/>
      <top style="medium">
        <color theme="0"/>
      </top>
      <bottom/>
      <diagonal/>
    </border>
    <border>
      <left style="thin">
        <color theme="1"/>
      </left>
      <right/>
      <top/>
      <bottom style="medium">
        <color theme="0"/>
      </bottom>
      <diagonal/>
    </border>
    <border>
      <left style="thin">
        <color theme="1"/>
      </left>
      <right style="medium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9" fillId="0" borderId="0"/>
    <xf numFmtId="0" fontId="9" fillId="0" borderId="0"/>
  </cellStyleXfs>
  <cellXfs count="694">
    <xf numFmtId="0" fontId="0" fillId="0" borderId="0" xfId="0"/>
    <xf numFmtId="0" fontId="0" fillId="0" borderId="0" xfId="0"/>
    <xf numFmtId="0" fontId="0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9" fillId="6" borderId="1" xfId="6" applyFont="1" applyFill="1" applyBorder="1"/>
    <xf numFmtId="16" fontId="9" fillId="6" borderId="1" xfId="6" quotePrefix="1" applyNumberFormat="1" applyFont="1" applyFill="1" applyBorder="1"/>
    <xf numFmtId="49" fontId="9" fillId="6" borderId="1" xfId="6" quotePrefix="1" applyNumberFormat="1" applyFont="1" applyFill="1" applyBorder="1"/>
    <xf numFmtId="0" fontId="9" fillId="6" borderId="1" xfId="6" quotePrefix="1" applyFont="1" applyFill="1" applyBorder="1"/>
    <xf numFmtId="14" fontId="9" fillId="6" borderId="1" xfId="6" quotePrefix="1" applyNumberFormat="1" applyFont="1" applyFill="1" applyBorder="1"/>
    <xf numFmtId="49" fontId="9" fillId="6" borderId="1" xfId="6" applyNumberFormat="1" applyFont="1" applyFill="1" applyBorder="1"/>
    <xf numFmtId="0" fontId="9" fillId="6" borderId="1" xfId="6" applyNumberFormat="1" applyFont="1" applyFill="1" applyBorder="1"/>
    <xf numFmtId="14" fontId="9" fillId="6" borderId="1" xfId="6" applyNumberFormat="1" applyFont="1" applyFill="1" applyBorder="1" applyAlignment="1">
      <alignment wrapText="1"/>
    </xf>
    <xf numFmtId="14" fontId="9" fillId="6" borderId="1" xfId="6" applyNumberFormat="1" applyFont="1" applyFill="1" applyBorder="1"/>
    <xf numFmtId="0" fontId="9" fillId="6" borderId="1" xfId="6" applyFont="1" applyFill="1" applyBorder="1" applyAlignment="1">
      <alignment wrapText="1"/>
    </xf>
    <xf numFmtId="0" fontId="9" fillId="8" borderId="1" xfId="6" quotePrefix="1" applyFont="1" applyFill="1" applyBorder="1"/>
    <xf numFmtId="0" fontId="9" fillId="8" borderId="1" xfId="6" applyFont="1" applyFill="1" applyBorder="1"/>
    <xf numFmtId="0" fontId="9" fillId="9" borderId="1" xfId="6" applyFont="1" applyFill="1" applyBorder="1"/>
    <xf numFmtId="0" fontId="5" fillId="8" borderId="5" xfId="6" applyFont="1" applyFill="1" applyBorder="1" applyAlignment="1">
      <alignment vertical="center" wrapText="1"/>
    </xf>
    <xf numFmtId="49" fontId="5" fillId="8" borderId="5" xfId="6" applyNumberFormat="1" applyFont="1" applyFill="1" applyBorder="1" applyAlignment="1">
      <alignment vertical="center" wrapText="1"/>
    </xf>
    <xf numFmtId="0" fontId="5" fillId="8" borderId="6" xfId="6" applyFont="1" applyFill="1" applyBorder="1" applyAlignment="1">
      <alignment vertical="center" wrapText="1"/>
    </xf>
    <xf numFmtId="0" fontId="5" fillId="9" borderId="5" xfId="6" applyFont="1" applyFill="1" applyBorder="1" applyAlignment="1">
      <alignment vertical="center" wrapText="1"/>
    </xf>
    <xf numFmtId="49" fontId="5" fillId="9" borderId="5" xfId="6" applyNumberFormat="1" applyFont="1" applyFill="1" applyBorder="1" applyAlignment="1">
      <alignment vertical="center" wrapText="1"/>
    </xf>
    <xf numFmtId="0" fontId="5" fillId="9" borderId="6" xfId="6" applyFont="1" applyFill="1" applyBorder="1" applyAlignment="1">
      <alignment vertical="center" wrapText="1"/>
    </xf>
    <xf numFmtId="0" fontId="9" fillId="9" borderId="9" xfId="6" applyFont="1" applyFill="1" applyBorder="1"/>
    <xf numFmtId="0" fontId="5" fillId="6" borderId="5" xfId="6" applyFont="1" applyFill="1" applyBorder="1" applyAlignment="1">
      <alignment vertical="center" wrapText="1"/>
    </xf>
    <xf numFmtId="49" fontId="5" fillId="6" borderId="5" xfId="6" applyNumberFormat="1" applyFont="1" applyFill="1" applyBorder="1" applyAlignment="1">
      <alignment vertical="center" wrapText="1"/>
    </xf>
    <xf numFmtId="14" fontId="5" fillId="6" borderId="5" xfId="6" applyNumberFormat="1" applyFont="1" applyFill="1" applyBorder="1" applyAlignment="1">
      <alignment vertical="center" wrapText="1"/>
    </xf>
    <xf numFmtId="0" fontId="5" fillId="6" borderId="6" xfId="6" applyFont="1" applyFill="1" applyBorder="1" applyAlignment="1">
      <alignment vertical="center" wrapText="1"/>
    </xf>
    <xf numFmtId="0" fontId="9" fillId="6" borderId="9" xfId="6" quotePrefix="1" applyFont="1" applyFill="1" applyBorder="1"/>
    <xf numFmtId="0" fontId="9" fillId="6" borderId="9" xfId="6" applyFont="1" applyFill="1" applyBorder="1"/>
    <xf numFmtId="165" fontId="4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0" fillId="2" borderId="11" xfId="0" applyNumberFormat="1" applyFont="1" applyFill="1" applyBorder="1" applyAlignment="1">
      <alignment vertical="center" wrapText="1"/>
    </xf>
    <xf numFmtId="0" fontId="10" fillId="4" borderId="0" xfId="0" applyFont="1" applyFill="1"/>
    <xf numFmtId="49" fontId="4" fillId="4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4" fillId="12" borderId="2" xfId="0" applyFont="1" applyFill="1" applyBorder="1" applyAlignment="1">
      <alignment horizontal="center" vertical="center" wrapText="1"/>
    </xf>
    <xf numFmtId="0" fontId="5" fillId="7" borderId="5" xfId="6" applyFont="1" applyFill="1" applyBorder="1" applyAlignment="1">
      <alignment vertical="center" wrapText="1"/>
    </xf>
    <xf numFmtId="49" fontId="5" fillId="7" borderId="5" xfId="6" applyNumberFormat="1" applyFont="1" applyFill="1" applyBorder="1" applyAlignment="1">
      <alignment vertical="center" wrapText="1"/>
    </xf>
    <xf numFmtId="14" fontId="5" fillId="7" borderId="5" xfId="6" applyNumberFormat="1" applyFont="1" applyFill="1" applyBorder="1" applyAlignment="1">
      <alignment vertical="center" wrapText="1"/>
    </xf>
    <xf numFmtId="0" fontId="5" fillId="7" borderId="6" xfId="6" applyFont="1" applyFill="1" applyBorder="1" applyAlignment="1">
      <alignment vertical="center" wrapText="1"/>
    </xf>
    <xf numFmtId="16" fontId="9" fillId="7" borderId="1" xfId="6" quotePrefix="1" applyNumberFormat="1" applyFont="1" applyFill="1" applyBorder="1"/>
    <xf numFmtId="0" fontId="9" fillId="7" borderId="1" xfId="6" applyFont="1" applyFill="1" applyBorder="1"/>
    <xf numFmtId="49" fontId="9" fillId="7" borderId="1" xfId="6" quotePrefix="1" applyNumberFormat="1" applyFont="1" applyFill="1" applyBorder="1"/>
    <xf numFmtId="0" fontId="9" fillId="7" borderId="1" xfId="6" quotePrefix="1" applyFont="1" applyFill="1" applyBorder="1"/>
    <xf numFmtId="14" fontId="9" fillId="7" borderId="1" xfId="6" quotePrefix="1" applyNumberFormat="1" applyFont="1" applyFill="1" applyBorder="1"/>
    <xf numFmtId="0" fontId="9" fillId="7" borderId="9" xfId="6" applyFont="1" applyFill="1" applyBorder="1"/>
    <xf numFmtId="49" fontId="9" fillId="7" borderId="1" xfId="6" applyNumberFormat="1" applyFont="1" applyFill="1" applyBorder="1"/>
    <xf numFmtId="0" fontId="9" fillId="7" borderId="1" xfId="6" applyNumberFormat="1" applyFont="1" applyFill="1" applyBorder="1"/>
    <xf numFmtId="14" fontId="9" fillId="7" borderId="1" xfId="6" applyNumberFormat="1" applyFont="1" applyFill="1" applyBorder="1"/>
    <xf numFmtId="0" fontId="9" fillId="7" borderId="1" xfId="6" applyFont="1" applyFill="1" applyBorder="1" applyAlignment="1">
      <alignment wrapText="1"/>
    </xf>
    <xf numFmtId="0" fontId="9" fillId="2" borderId="11" xfId="0" applyNumberFormat="1" applyFont="1" applyFill="1" applyBorder="1" applyAlignment="1">
      <alignment vertical="center" wrapText="1"/>
    </xf>
    <xf numFmtId="49" fontId="9" fillId="2" borderId="11" xfId="0" applyNumberFormat="1" applyFont="1" applyFill="1" applyBorder="1" applyAlignment="1">
      <alignment vertical="center" wrapText="1"/>
    </xf>
    <xf numFmtId="0" fontId="9" fillId="2" borderId="11" xfId="0" applyFont="1" applyFill="1" applyBorder="1" applyAlignment="1">
      <alignment vertical="center"/>
    </xf>
    <xf numFmtId="0" fontId="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6" fillId="13" borderId="4" xfId="0" applyFont="1" applyFill="1" applyBorder="1" applyAlignment="1">
      <alignment vertical="center" wrapText="1"/>
    </xf>
    <xf numFmtId="0" fontId="5" fillId="13" borderId="5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vertical="center" wrapText="1"/>
    </xf>
    <xf numFmtId="0" fontId="16" fillId="14" borderId="14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right" vertical="center" wrapText="1"/>
    </xf>
    <xf numFmtId="165" fontId="11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/>
    <xf numFmtId="6" fontId="0" fillId="0" borderId="19" xfId="0" applyNumberFormat="1" applyBorder="1"/>
    <xf numFmtId="10" fontId="12" fillId="2" borderId="1" xfId="0" applyNumberFormat="1" applyFont="1" applyFill="1" applyBorder="1" applyAlignment="1">
      <alignment horizontal="center" vertical="center" wrapText="1"/>
    </xf>
    <xf numFmtId="10" fontId="11" fillId="2" borderId="1" xfId="0" applyNumberFormat="1" applyFont="1" applyFill="1" applyBorder="1" applyAlignment="1">
      <alignment horizontal="center" vertical="center" wrapText="1"/>
    </xf>
    <xf numFmtId="10" fontId="13" fillId="2" borderId="1" xfId="0" applyNumberFormat="1" applyFont="1" applyFill="1" applyBorder="1" applyAlignment="1">
      <alignment vertical="center"/>
    </xf>
    <xf numFmtId="49" fontId="18" fillId="4" borderId="2" xfId="1" applyNumberFormat="1" applyFont="1" applyFill="1" applyBorder="1" applyAlignment="1">
      <alignment horizontal="center" vertical="center" wrapText="1"/>
    </xf>
    <xf numFmtId="0" fontId="19" fillId="3" borderId="0" xfId="0" applyFont="1" applyFill="1"/>
    <xf numFmtId="49" fontId="5" fillId="3" borderId="0" xfId="0" applyNumberFormat="1" applyFont="1" applyFill="1" applyAlignment="1">
      <alignment vertical="center" wrapText="1"/>
    </xf>
    <xf numFmtId="0" fontId="9" fillId="3" borderId="0" xfId="0" applyFont="1" applyFill="1"/>
    <xf numFmtId="14" fontId="1" fillId="3" borderId="0" xfId="1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vertical="center" wrapText="1"/>
    </xf>
    <xf numFmtId="49" fontId="5" fillId="2" borderId="11" xfId="0" applyNumberFormat="1" applyFont="1" applyFill="1" applyBorder="1" applyAlignment="1">
      <alignment horizontal="left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0" fontId="9" fillId="2" borderId="12" xfId="0" applyNumberFormat="1" applyFont="1" applyFill="1" applyBorder="1" applyAlignment="1">
      <alignment vertical="center" wrapText="1"/>
    </xf>
    <xf numFmtId="16" fontId="9" fillId="8" borderId="1" xfId="6" quotePrefix="1" applyNumberFormat="1" applyFont="1" applyFill="1" applyBorder="1"/>
    <xf numFmtId="49" fontId="9" fillId="8" borderId="1" xfId="6" quotePrefix="1" applyNumberFormat="1" applyFont="1" applyFill="1" applyBorder="1"/>
    <xf numFmtId="0" fontId="9" fillId="8" borderId="9" xfId="6" quotePrefix="1" applyFont="1" applyFill="1" applyBorder="1"/>
    <xf numFmtId="49" fontId="9" fillId="8" borderId="1" xfId="6" applyNumberFormat="1" applyFont="1" applyFill="1" applyBorder="1"/>
    <xf numFmtId="0" fontId="9" fillId="8" borderId="9" xfId="6" applyFont="1" applyFill="1" applyBorder="1"/>
    <xf numFmtId="0" fontId="9" fillId="10" borderId="1" xfId="6" applyFont="1" applyFill="1" applyBorder="1"/>
    <xf numFmtId="49" fontId="9" fillId="2" borderId="12" xfId="0" applyNumberFormat="1" applyFont="1" applyFill="1" applyBorder="1" applyAlignment="1">
      <alignment vertical="center" wrapText="1"/>
    </xf>
    <xf numFmtId="16" fontId="9" fillId="9" borderId="1" xfId="6" quotePrefix="1" applyNumberFormat="1" applyFont="1" applyFill="1" applyBorder="1"/>
    <xf numFmtId="49" fontId="9" fillId="9" borderId="1" xfId="6" quotePrefix="1" applyNumberFormat="1" applyFont="1" applyFill="1" applyBorder="1"/>
    <xf numFmtId="0" fontId="9" fillId="9" borderId="1" xfId="6" quotePrefix="1" applyFont="1" applyFill="1" applyBorder="1"/>
    <xf numFmtId="0" fontId="9" fillId="9" borderId="9" xfId="6" quotePrefix="1" applyFont="1" applyFill="1" applyBorder="1"/>
    <xf numFmtId="49" fontId="9" fillId="9" borderId="1" xfId="6" applyNumberFormat="1" applyFont="1" applyFill="1" applyBorder="1"/>
    <xf numFmtId="49" fontId="9" fillId="0" borderId="11" xfId="0" applyNumberFormat="1" applyFont="1" applyFill="1" applyBorder="1" applyAlignment="1">
      <alignment vertical="center" wrapText="1"/>
    </xf>
    <xf numFmtId="0" fontId="9" fillId="0" borderId="11" xfId="0" applyNumberFormat="1" applyFont="1" applyFill="1" applyBorder="1" applyAlignment="1">
      <alignment vertical="center" wrapText="1"/>
    </xf>
    <xf numFmtId="9" fontId="9" fillId="0" borderId="11" xfId="0" applyNumberFormat="1" applyFont="1" applyFill="1" applyBorder="1" applyAlignment="1">
      <alignment vertical="center" wrapText="1"/>
    </xf>
    <xf numFmtId="49" fontId="9" fillId="2" borderId="11" xfId="0" applyNumberFormat="1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17" borderId="19" xfId="6" applyFont="1" applyFill="1" applyBorder="1"/>
    <xf numFmtId="0" fontId="9" fillId="19" borderId="1" xfId="6" applyFont="1" applyFill="1" applyBorder="1"/>
    <xf numFmtId="16" fontId="9" fillId="19" borderId="1" xfId="6" quotePrefix="1" applyNumberFormat="1" applyFont="1" applyFill="1" applyBorder="1"/>
    <xf numFmtId="0" fontId="9" fillId="19" borderId="1" xfId="6" quotePrefix="1" applyFont="1" applyFill="1" applyBorder="1"/>
    <xf numFmtId="49" fontId="9" fillId="19" borderId="1" xfId="6" quotePrefix="1" applyNumberFormat="1" applyFont="1" applyFill="1" applyBorder="1"/>
    <xf numFmtId="14" fontId="9" fillId="19" borderId="1" xfId="6" quotePrefix="1" applyNumberFormat="1" applyFont="1" applyFill="1" applyBorder="1"/>
    <xf numFmtId="49" fontId="9" fillId="19" borderId="1" xfId="6" applyNumberFormat="1" applyFont="1" applyFill="1" applyBorder="1"/>
    <xf numFmtId="0" fontId="9" fillId="19" borderId="1" xfId="6" applyNumberFormat="1" applyFont="1" applyFill="1" applyBorder="1"/>
    <xf numFmtId="14" fontId="9" fillId="19" borderId="1" xfId="6" applyNumberFormat="1" applyFont="1" applyFill="1" applyBorder="1"/>
    <xf numFmtId="0" fontId="9" fillId="17" borderId="1" xfId="6" applyFont="1" applyFill="1" applyBorder="1"/>
    <xf numFmtId="16" fontId="9" fillId="17" borderId="1" xfId="6" quotePrefix="1" applyNumberFormat="1" applyFont="1" applyFill="1" applyBorder="1"/>
    <xf numFmtId="0" fontId="9" fillId="17" borderId="1" xfId="6" quotePrefix="1" applyFont="1" applyFill="1" applyBorder="1"/>
    <xf numFmtId="49" fontId="9" fillId="17" borderId="1" xfId="6" quotePrefix="1" applyNumberFormat="1" applyFont="1" applyFill="1" applyBorder="1"/>
    <xf numFmtId="14" fontId="9" fillId="17" borderId="1" xfId="6" quotePrefix="1" applyNumberFormat="1" applyFont="1" applyFill="1" applyBorder="1"/>
    <xf numFmtId="49" fontId="9" fillId="17" borderId="1" xfId="6" applyNumberFormat="1" applyFont="1" applyFill="1" applyBorder="1"/>
    <xf numFmtId="0" fontId="9" fillId="17" borderId="1" xfId="6" applyNumberFormat="1" applyFont="1" applyFill="1" applyBorder="1"/>
    <xf numFmtId="14" fontId="9" fillId="17" borderId="1" xfId="6" applyNumberFormat="1" applyFont="1" applyFill="1" applyBorder="1"/>
    <xf numFmtId="0" fontId="5" fillId="17" borderId="5" xfId="6" applyFont="1" applyFill="1" applyBorder="1" applyAlignment="1">
      <alignment vertical="center" wrapText="1"/>
    </xf>
    <xf numFmtId="49" fontId="5" fillId="17" borderId="5" xfId="6" applyNumberFormat="1" applyFont="1" applyFill="1" applyBorder="1" applyAlignment="1">
      <alignment vertical="center" wrapText="1"/>
    </xf>
    <xf numFmtId="14" fontId="5" fillId="17" borderId="5" xfId="6" applyNumberFormat="1" applyFont="1" applyFill="1" applyBorder="1" applyAlignment="1">
      <alignment vertical="center" wrapText="1"/>
    </xf>
    <xf numFmtId="0" fontId="5" fillId="17" borderId="6" xfId="6" applyFont="1" applyFill="1" applyBorder="1" applyAlignment="1">
      <alignment vertical="center" wrapText="1"/>
    </xf>
    <xf numFmtId="0" fontId="9" fillId="17" borderId="9" xfId="6" quotePrefix="1" applyFont="1" applyFill="1" applyBorder="1"/>
    <xf numFmtId="0" fontId="9" fillId="17" borderId="9" xfId="6" applyFont="1" applyFill="1" applyBorder="1"/>
    <xf numFmtId="16" fontId="9" fillId="17" borderId="19" xfId="6" quotePrefix="1" applyNumberFormat="1" applyFont="1" applyFill="1" applyBorder="1"/>
    <xf numFmtId="0" fontId="9" fillId="17" borderId="19" xfId="6" quotePrefix="1" applyFont="1" applyFill="1" applyBorder="1"/>
    <xf numFmtId="14" fontId="9" fillId="17" borderId="19" xfId="6" quotePrefix="1" applyNumberFormat="1" applyFont="1" applyFill="1" applyBorder="1"/>
    <xf numFmtId="0" fontId="9" fillId="17" borderId="19" xfId="6" applyNumberFormat="1" applyFont="1" applyFill="1" applyBorder="1"/>
    <xf numFmtId="0" fontId="9" fillId="17" borderId="19" xfId="6" applyFont="1" applyFill="1" applyBorder="1" applyAlignment="1">
      <alignment wrapText="1"/>
    </xf>
    <xf numFmtId="14" fontId="9" fillId="17" borderId="19" xfId="6" applyNumberFormat="1" applyFont="1" applyFill="1" applyBorder="1"/>
    <xf numFmtId="0" fontId="5" fillId="19" borderId="26" xfId="6" applyFont="1" applyFill="1" applyBorder="1" applyAlignment="1">
      <alignment vertical="center" wrapText="1"/>
    </xf>
    <xf numFmtId="49" fontId="5" fillId="19" borderId="26" xfId="6" applyNumberFormat="1" applyFont="1" applyFill="1" applyBorder="1" applyAlignment="1">
      <alignment vertical="center" wrapText="1"/>
    </xf>
    <xf numFmtId="14" fontId="5" fillId="19" borderId="26" xfId="6" applyNumberFormat="1" applyFont="1" applyFill="1" applyBorder="1" applyAlignment="1">
      <alignment vertical="center" wrapText="1"/>
    </xf>
    <xf numFmtId="0" fontId="5" fillId="19" borderId="27" xfId="6" applyFont="1" applyFill="1" applyBorder="1" applyAlignment="1">
      <alignment vertical="center" wrapText="1"/>
    </xf>
    <xf numFmtId="16" fontId="9" fillId="19" borderId="19" xfId="6" quotePrefix="1" applyNumberFormat="1" applyFont="1" applyFill="1" applyBorder="1"/>
    <xf numFmtId="0" fontId="9" fillId="19" borderId="19" xfId="6" quotePrefix="1" applyFont="1" applyFill="1" applyBorder="1"/>
    <xf numFmtId="49" fontId="9" fillId="19" borderId="19" xfId="6" quotePrefix="1" applyNumberFormat="1" applyFont="1" applyFill="1" applyBorder="1"/>
    <xf numFmtId="14" fontId="9" fillId="19" borderId="19" xfId="6" quotePrefix="1" applyNumberFormat="1" applyFont="1" applyFill="1" applyBorder="1"/>
    <xf numFmtId="0" fontId="9" fillId="19" borderId="19" xfId="6" applyFont="1" applyFill="1" applyBorder="1"/>
    <xf numFmtId="0" fontId="9" fillId="19" borderId="28" xfId="6" quotePrefix="1" applyFont="1" applyFill="1" applyBorder="1"/>
    <xf numFmtId="49" fontId="9" fillId="19" borderId="19" xfId="6" applyNumberFormat="1" applyFont="1" applyFill="1" applyBorder="1"/>
    <xf numFmtId="0" fontId="9" fillId="19" borderId="19" xfId="6" applyNumberFormat="1" applyFont="1" applyFill="1" applyBorder="1"/>
    <xf numFmtId="0" fontId="9" fillId="19" borderId="28" xfId="6" applyFont="1" applyFill="1" applyBorder="1"/>
    <xf numFmtId="14" fontId="9" fillId="19" borderId="19" xfId="6" applyNumberFormat="1" applyFont="1" applyFill="1" applyBorder="1"/>
    <xf numFmtId="0" fontId="0" fillId="9" borderId="1" xfId="6" applyFont="1" applyFill="1" applyBorder="1"/>
    <xf numFmtId="0" fontId="9" fillId="3" borderId="0" xfId="0" applyFont="1" applyFill="1" applyAlignment="1">
      <alignment horizontal="left"/>
    </xf>
    <xf numFmtId="0" fontId="5" fillId="19" borderId="30" xfId="6" applyFont="1" applyFill="1" applyBorder="1" applyAlignment="1">
      <alignment horizontal="left" vertical="center" wrapText="1"/>
    </xf>
    <xf numFmtId="0" fontId="9" fillId="19" borderId="25" xfId="6" applyFont="1" applyFill="1" applyBorder="1" applyAlignment="1">
      <alignment horizontal="left"/>
    </xf>
    <xf numFmtId="0" fontId="5" fillId="6" borderId="4" xfId="6" applyFont="1" applyFill="1" applyBorder="1" applyAlignment="1">
      <alignment horizontal="left" vertical="center" wrapText="1"/>
    </xf>
    <xf numFmtId="0" fontId="9" fillId="6" borderId="8" xfId="6" applyFont="1" applyFill="1" applyBorder="1" applyAlignment="1">
      <alignment horizontal="left"/>
    </xf>
    <xf numFmtId="49" fontId="9" fillId="2" borderId="14" xfId="0" applyNumberFormat="1" applyFont="1" applyFill="1" applyBorder="1" applyAlignment="1">
      <alignment horizontal="left" vertical="center" wrapText="1"/>
    </xf>
    <xf numFmtId="0" fontId="19" fillId="3" borderId="0" xfId="0" applyFont="1" applyFill="1" applyAlignment="1">
      <alignment horizontal="left"/>
    </xf>
    <xf numFmtId="0" fontId="5" fillId="7" borderId="4" xfId="6" applyFont="1" applyFill="1" applyBorder="1" applyAlignment="1">
      <alignment horizontal="left" vertical="center" wrapText="1"/>
    </xf>
    <xf numFmtId="0" fontId="9" fillId="7" borderId="8" xfId="6" applyFont="1" applyFill="1" applyBorder="1" applyAlignment="1">
      <alignment horizontal="left"/>
    </xf>
    <xf numFmtId="0" fontId="5" fillId="8" borderId="4" xfId="6" applyFont="1" applyFill="1" applyBorder="1" applyAlignment="1">
      <alignment horizontal="left" vertical="center" wrapText="1"/>
    </xf>
    <xf numFmtId="0" fontId="9" fillId="8" borderId="8" xfId="6" applyFont="1" applyFill="1" applyBorder="1" applyAlignment="1">
      <alignment horizontal="left"/>
    </xf>
    <xf numFmtId="0" fontId="5" fillId="9" borderId="4" xfId="6" applyFont="1" applyFill="1" applyBorder="1" applyAlignment="1">
      <alignment horizontal="left" vertical="center" wrapText="1"/>
    </xf>
    <xf numFmtId="0" fontId="9" fillId="9" borderId="8" xfId="6" applyFont="1" applyFill="1" applyBorder="1" applyAlignment="1">
      <alignment horizontal="left"/>
    </xf>
    <xf numFmtId="0" fontId="9" fillId="2" borderId="14" xfId="0" applyFont="1" applyFill="1" applyBorder="1" applyAlignment="1">
      <alignment horizontal="left" vertical="center"/>
    </xf>
    <xf numFmtId="0" fontId="9" fillId="19" borderId="8" xfId="6" applyFont="1" applyFill="1" applyBorder="1" applyAlignment="1">
      <alignment horizontal="left"/>
    </xf>
    <xf numFmtId="0" fontId="5" fillId="17" borderId="4" xfId="6" applyFont="1" applyFill="1" applyBorder="1" applyAlignment="1">
      <alignment horizontal="left" vertical="center" wrapText="1"/>
    </xf>
    <xf numFmtId="0" fontId="9" fillId="17" borderId="8" xfId="6" applyFont="1" applyFill="1" applyBorder="1" applyAlignment="1">
      <alignment horizontal="left"/>
    </xf>
    <xf numFmtId="49" fontId="0" fillId="2" borderId="29" xfId="0" applyNumberFormat="1" applyFont="1" applyFill="1" applyBorder="1" applyAlignment="1">
      <alignment vertical="center"/>
    </xf>
    <xf numFmtId="0" fontId="0" fillId="2" borderId="29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5" fillId="17" borderId="38" xfId="6" applyFont="1" applyFill="1" applyBorder="1" applyAlignment="1">
      <alignment horizontal="left" vertical="center" wrapText="1"/>
    </xf>
    <xf numFmtId="0" fontId="5" fillId="17" borderId="39" xfId="6" applyFont="1" applyFill="1" applyBorder="1" applyAlignment="1">
      <alignment vertical="center" wrapText="1"/>
    </xf>
    <xf numFmtId="14" fontId="5" fillId="17" borderId="39" xfId="6" applyNumberFormat="1" applyFont="1" applyFill="1" applyBorder="1" applyAlignment="1">
      <alignment vertical="center" wrapText="1"/>
    </xf>
    <xf numFmtId="0" fontId="5" fillId="17" borderId="40" xfId="6" applyFont="1" applyFill="1" applyBorder="1" applyAlignment="1">
      <alignment vertical="center" wrapText="1"/>
    </xf>
    <xf numFmtId="16" fontId="9" fillId="17" borderId="41" xfId="6" quotePrefix="1" applyNumberFormat="1" applyFont="1" applyFill="1" applyBorder="1" applyAlignment="1">
      <alignment horizontal="left"/>
    </xf>
    <xf numFmtId="0" fontId="9" fillId="17" borderId="42" xfId="6" quotePrefix="1" applyFont="1" applyFill="1" applyBorder="1"/>
    <xf numFmtId="0" fontId="9" fillId="17" borderId="41" xfId="6" applyFont="1" applyFill="1" applyBorder="1" applyAlignment="1">
      <alignment horizontal="left"/>
    </xf>
    <xf numFmtId="0" fontId="9" fillId="17" borderId="42" xfId="6" applyFont="1" applyFill="1" applyBorder="1"/>
    <xf numFmtId="49" fontId="0" fillId="2" borderId="43" xfId="0" applyNumberFormat="1" applyFont="1" applyFill="1" applyBorder="1" applyAlignment="1">
      <alignment horizontal="left" vertical="center"/>
    </xf>
    <xf numFmtId="14" fontId="0" fillId="2" borderId="44" xfId="1" applyNumberFormat="1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vertical="center"/>
    </xf>
    <xf numFmtId="49" fontId="0" fillId="2" borderId="44" xfId="0" applyNumberFormat="1" applyFont="1" applyFill="1" applyBorder="1" applyAlignment="1">
      <alignment vertical="center"/>
    </xf>
    <xf numFmtId="0" fontId="0" fillId="2" borderId="44" xfId="0" applyFont="1" applyFill="1" applyBorder="1" applyAlignment="1">
      <alignment vertical="center"/>
    </xf>
    <xf numFmtId="49" fontId="0" fillId="2" borderId="45" xfId="0" applyNumberFormat="1" applyFont="1" applyFill="1" applyBorder="1" applyAlignment="1">
      <alignment vertical="center"/>
    </xf>
    <xf numFmtId="0" fontId="9" fillId="2" borderId="31" xfId="0" applyFont="1" applyFill="1" applyBorder="1" applyAlignment="1">
      <alignment horizontal="left" vertical="center"/>
    </xf>
    <xf numFmtId="49" fontId="9" fillId="2" borderId="29" xfId="0" applyNumberFormat="1" applyFont="1" applyFill="1" applyBorder="1" applyAlignment="1">
      <alignment vertical="center"/>
    </xf>
    <xf numFmtId="0" fontId="9" fillId="19" borderId="25" xfId="6" applyNumberFormat="1" applyFont="1" applyFill="1" applyBorder="1" applyAlignment="1">
      <alignment horizontal="left"/>
    </xf>
    <xf numFmtId="0" fontId="9" fillId="19" borderId="19" xfId="6" applyNumberFormat="1" applyFont="1" applyFill="1" applyBorder="1" applyAlignment="1">
      <alignment horizontal="left"/>
    </xf>
    <xf numFmtId="0" fontId="9" fillId="19" borderId="28" xfId="6" applyNumberFormat="1" applyFont="1" applyFill="1" applyBorder="1"/>
    <xf numFmtId="0" fontId="9" fillId="2" borderId="14" xfId="7" applyFont="1" applyFill="1" applyBorder="1" applyAlignment="1">
      <alignment horizontal="left" vertical="center"/>
    </xf>
    <xf numFmtId="0" fontId="9" fillId="2" borderId="11" xfId="7" applyFont="1" applyFill="1" applyBorder="1" applyAlignment="1">
      <alignment vertical="center"/>
    </xf>
    <xf numFmtId="49" fontId="0" fillId="2" borderId="11" xfId="7" applyNumberFormat="1" applyFont="1" applyFill="1" applyBorder="1" applyAlignment="1">
      <alignment vertical="center"/>
    </xf>
    <xf numFmtId="0" fontId="0" fillId="2" borderId="11" xfId="7" applyFont="1" applyFill="1" applyBorder="1" applyAlignment="1">
      <alignment vertical="center"/>
    </xf>
    <xf numFmtId="0" fontId="0" fillId="2" borderId="12" xfId="7" applyFont="1" applyFill="1" applyBorder="1" applyAlignment="1">
      <alignment vertical="center"/>
    </xf>
    <xf numFmtId="0" fontId="20" fillId="3" borderId="0" xfId="0" applyNumberFormat="1" applyFont="1" applyFill="1" applyAlignment="1">
      <alignment vertical="center" wrapText="1"/>
    </xf>
    <xf numFmtId="0" fontId="15" fillId="3" borderId="0" xfId="0" applyFont="1" applyFill="1"/>
    <xf numFmtId="49" fontId="20" fillId="11" borderId="0" xfId="0" applyNumberFormat="1" applyFont="1" applyFill="1" applyAlignment="1">
      <alignment vertical="center" wrapText="1"/>
    </xf>
    <xf numFmtId="49" fontId="20" fillId="3" borderId="0" xfId="0" applyNumberFormat="1" applyFont="1" applyFill="1" applyAlignment="1">
      <alignment vertical="center" wrapText="1"/>
    </xf>
    <xf numFmtId="0" fontId="0" fillId="2" borderId="0" xfId="0" applyFill="1"/>
    <xf numFmtId="49" fontId="0" fillId="2" borderId="11" xfId="0" applyNumberFormat="1" applyFont="1" applyFill="1" applyBorder="1" applyAlignment="1">
      <alignment vertical="center" wrapText="1"/>
    </xf>
    <xf numFmtId="0" fontId="0" fillId="0" borderId="11" xfId="0" applyNumberFormat="1" applyFont="1" applyFill="1" applyBorder="1" applyAlignment="1">
      <alignment vertical="center" wrapText="1"/>
    </xf>
    <xf numFmtId="0" fontId="0" fillId="2" borderId="12" xfId="0" applyNumberFormat="1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19" borderId="1" xfId="6" applyFont="1" applyFill="1" applyBorder="1" applyAlignment="1">
      <alignment wrapText="1"/>
    </xf>
    <xf numFmtId="16" fontId="0" fillId="17" borderId="8" xfId="6" quotePrefix="1" applyNumberFormat="1" applyFont="1" applyFill="1" applyBorder="1" applyAlignment="1">
      <alignment horizontal="left"/>
    </xf>
    <xf numFmtId="9" fontId="0" fillId="2" borderId="11" xfId="0" applyNumberFormat="1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65" fontId="0" fillId="2" borderId="0" xfId="0" applyNumberFormat="1" applyFill="1" applyAlignment="1">
      <alignment horizontal="right"/>
    </xf>
    <xf numFmtId="0" fontId="4" fillId="0" borderId="0" xfId="0" applyFont="1" applyFill="1"/>
    <xf numFmtId="0" fontId="5" fillId="23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9" fontId="5" fillId="28" borderId="1" xfId="0" applyNumberFormat="1" applyFont="1" applyFill="1" applyBorder="1" applyAlignment="1">
      <alignment horizontal="center" vertical="center" wrapText="1"/>
    </xf>
    <xf numFmtId="0" fontId="27" fillId="7" borderId="53" xfId="0" applyFont="1" applyFill="1" applyBorder="1" applyAlignment="1">
      <alignment horizontal="center" vertical="center"/>
    </xf>
    <xf numFmtId="0" fontId="16" fillId="25" borderId="4" xfId="0" applyFont="1" applyFill="1" applyBorder="1" applyAlignment="1">
      <alignment horizontal="left" vertical="center" wrapText="1"/>
    </xf>
    <xf numFmtId="0" fontId="28" fillId="25" borderId="6" xfId="0" applyFont="1" applyFill="1" applyBorder="1" applyAlignment="1">
      <alignment horizontal="left" vertical="center" wrapText="1"/>
    </xf>
    <xf numFmtId="0" fontId="16" fillId="25" borderId="8" xfId="0" applyFont="1" applyFill="1" applyBorder="1" applyAlignment="1">
      <alignment horizontal="left" vertical="center" wrapText="1"/>
    </xf>
    <xf numFmtId="0" fontId="28" fillId="25" borderId="9" xfId="0" applyFont="1" applyFill="1" applyBorder="1" applyAlignment="1">
      <alignment horizontal="left" vertical="center" wrapText="1"/>
    </xf>
    <xf numFmtId="0" fontId="16" fillId="25" borderId="14" xfId="0" applyFont="1" applyFill="1" applyBorder="1" applyAlignment="1">
      <alignment horizontal="left" vertical="center" wrapText="1"/>
    </xf>
    <xf numFmtId="0" fontId="28" fillId="25" borderId="12" xfId="0" applyFont="1" applyFill="1" applyBorder="1" applyAlignment="1">
      <alignment horizontal="left" vertical="center" wrapText="1"/>
    </xf>
    <xf numFmtId="0" fontId="5" fillId="14" borderId="6" xfId="0" applyFont="1" applyFill="1" applyBorder="1" applyAlignment="1">
      <alignment vertical="center" wrapText="1"/>
    </xf>
    <xf numFmtId="0" fontId="16" fillId="14" borderId="8" xfId="0" applyFont="1" applyFill="1" applyBorder="1" applyAlignment="1">
      <alignment vertical="center" wrapText="1"/>
    </xf>
    <xf numFmtId="0" fontId="5" fillId="14" borderId="9" xfId="0" applyFont="1" applyFill="1" applyBorder="1" applyAlignment="1">
      <alignment vertical="center" wrapText="1"/>
    </xf>
    <xf numFmtId="0" fontId="5" fillId="14" borderId="12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0" fillId="8" borderId="9" xfId="6" applyFont="1" applyFill="1" applyBorder="1"/>
    <xf numFmtId="49" fontId="0" fillId="2" borderId="12" xfId="0" applyNumberFormat="1" applyFont="1" applyFill="1" applyBorder="1" applyAlignment="1">
      <alignment vertical="center" wrapText="1"/>
    </xf>
    <xf numFmtId="0" fontId="0" fillId="9" borderId="9" xfId="6" applyFont="1" applyFill="1" applyBorder="1"/>
    <xf numFmtId="0" fontId="16" fillId="0" borderId="11" xfId="0" applyNumberFormat="1" applyFont="1" applyFill="1" applyBorder="1" applyAlignment="1">
      <alignment vertical="center" wrapText="1"/>
    </xf>
    <xf numFmtId="0" fontId="0" fillId="2" borderId="11" xfId="0" quotePrefix="1" applyNumberFormat="1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6" fillId="5" borderId="15" xfId="0" quotePrefix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6" fillId="5" borderId="1" xfId="0" applyNumberFormat="1" applyFont="1" applyFill="1" applyBorder="1" applyAlignment="1">
      <alignment vertical="center" wrapText="1"/>
    </xf>
    <xf numFmtId="0" fontId="0" fillId="0" borderId="0" xfId="0" applyBorder="1"/>
    <xf numFmtId="0" fontId="6" fillId="5" borderId="1" xfId="0" quotePrefix="1" applyFont="1" applyFill="1" applyBorder="1" applyAlignment="1">
      <alignment vertical="center" wrapText="1"/>
    </xf>
    <xf numFmtId="0" fontId="6" fillId="5" borderId="1" xfId="0" quotePrefix="1" applyFont="1" applyFill="1" applyBorder="1" applyAlignment="1">
      <alignment horizontal="right" vertical="center" wrapText="1"/>
    </xf>
    <xf numFmtId="0" fontId="5" fillId="24" borderId="4" xfId="6" applyFont="1" applyFill="1" applyBorder="1" applyAlignment="1">
      <alignment horizontal="left" vertical="center" wrapText="1"/>
    </xf>
    <xf numFmtId="0" fontId="5" fillId="24" borderId="5" xfId="6" applyFont="1" applyFill="1" applyBorder="1" applyAlignment="1">
      <alignment vertical="center" wrapText="1"/>
    </xf>
    <xf numFmtId="49" fontId="5" fillId="24" borderId="5" xfId="6" applyNumberFormat="1" applyFont="1" applyFill="1" applyBorder="1" applyAlignment="1">
      <alignment vertical="center" wrapText="1"/>
    </xf>
    <xf numFmtId="14" fontId="5" fillId="24" borderId="5" xfId="6" applyNumberFormat="1" applyFont="1" applyFill="1" applyBorder="1" applyAlignment="1">
      <alignment vertical="center" wrapText="1"/>
    </xf>
    <xf numFmtId="0" fontId="9" fillId="24" borderId="8" xfId="6" applyFont="1" applyFill="1" applyBorder="1" applyAlignment="1">
      <alignment horizontal="left"/>
    </xf>
    <xf numFmtId="16" fontId="9" fillId="24" borderId="1" xfId="6" quotePrefix="1" applyNumberFormat="1" applyFont="1" applyFill="1" applyBorder="1"/>
    <xf numFmtId="0" fontId="9" fillId="24" borderId="1" xfId="6" applyFont="1" applyFill="1" applyBorder="1"/>
    <xf numFmtId="49" fontId="9" fillId="24" borderId="1" xfId="6" quotePrefix="1" applyNumberFormat="1" applyFont="1" applyFill="1" applyBorder="1"/>
    <xf numFmtId="0" fontId="9" fillId="24" borderId="1" xfId="6" quotePrefix="1" applyFont="1" applyFill="1" applyBorder="1"/>
    <xf numFmtId="0" fontId="0" fillId="24" borderId="1" xfId="6" quotePrefix="1" applyFont="1" applyFill="1" applyBorder="1"/>
    <xf numFmtId="14" fontId="0" fillId="24" borderId="1" xfId="6" quotePrefix="1" applyNumberFormat="1" applyFont="1" applyFill="1" applyBorder="1"/>
    <xf numFmtId="49" fontId="9" fillId="24" borderId="1" xfId="6" applyNumberFormat="1" applyFont="1" applyFill="1" applyBorder="1"/>
    <xf numFmtId="0" fontId="9" fillId="24" borderId="1" xfId="6" applyNumberFormat="1" applyFont="1" applyFill="1" applyBorder="1"/>
    <xf numFmtId="14" fontId="9" fillId="24" borderId="1" xfId="6" applyNumberFormat="1" applyFont="1" applyFill="1" applyBorder="1"/>
    <xf numFmtId="14" fontId="5" fillId="24" borderId="6" xfId="6" applyNumberFormat="1" applyFont="1" applyFill="1" applyBorder="1" applyAlignment="1">
      <alignment vertical="center" wrapText="1"/>
    </xf>
    <xf numFmtId="14" fontId="0" fillId="24" borderId="9" xfId="6" quotePrefix="1" applyNumberFormat="1" applyFont="1" applyFill="1" applyBorder="1"/>
    <xf numFmtId="0" fontId="9" fillId="24" borderId="9" xfId="6" applyNumberFormat="1" applyFont="1" applyFill="1" applyBorder="1"/>
    <xf numFmtId="14" fontId="0" fillId="24" borderId="9" xfId="6" applyNumberFormat="1" applyFont="1" applyFill="1" applyBorder="1"/>
    <xf numFmtId="49" fontId="0" fillId="2" borderId="14" xfId="0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" fontId="0" fillId="0" borderId="1" xfId="0" applyNumberFormat="1" applyBorder="1" applyAlignment="1">
      <alignment horizontal="right" vertical="center"/>
    </xf>
    <xf numFmtId="0" fontId="0" fillId="0" borderId="0" xfId="0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4" borderId="57" xfId="0" applyFont="1" applyFill="1" applyBorder="1"/>
    <xf numFmtId="14" fontId="0" fillId="0" borderId="13" xfId="0" applyNumberFormat="1" applyBorder="1"/>
    <xf numFmtId="0" fontId="14" fillId="2" borderId="46" xfId="0" applyFont="1" applyFill="1" applyBorder="1" applyAlignment="1">
      <alignment horizontal="center" wrapText="1"/>
    </xf>
    <xf numFmtId="0" fontId="14" fillId="15" borderId="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9" fontId="5" fillId="0" borderId="1" xfId="0" applyNumberFormat="1" applyFont="1" applyBorder="1" applyAlignment="1">
      <alignment vertical="center"/>
    </xf>
    <xf numFmtId="49" fontId="9" fillId="2" borderId="44" xfId="0" applyNumberFormat="1" applyFont="1" applyFill="1" applyBorder="1" applyAlignment="1">
      <alignment vertical="center"/>
    </xf>
    <xf numFmtId="49" fontId="9" fillId="2" borderId="11" xfId="0" applyNumberFormat="1" applyFont="1" applyFill="1" applyBorder="1" applyAlignment="1">
      <alignment horizontal="right" vertical="center" wrapText="1"/>
    </xf>
    <xf numFmtId="0" fontId="9" fillId="3" borderId="0" xfId="0" applyFont="1" applyFill="1" applyAlignment="1">
      <alignment horizontal="right"/>
    </xf>
    <xf numFmtId="49" fontId="5" fillId="17" borderId="39" xfId="6" applyNumberFormat="1" applyFont="1" applyFill="1" applyBorder="1" applyAlignment="1">
      <alignment horizontal="right" vertical="center" wrapText="1"/>
    </xf>
    <xf numFmtId="49" fontId="9" fillId="17" borderId="19" xfId="6" quotePrefix="1" applyNumberFormat="1" applyFont="1" applyFill="1" applyBorder="1" applyAlignment="1">
      <alignment horizontal="right"/>
    </xf>
    <xf numFmtId="49" fontId="9" fillId="17" borderId="19" xfId="6" applyNumberFormat="1" applyFont="1" applyFill="1" applyBorder="1" applyAlignment="1">
      <alignment horizontal="right"/>
    </xf>
    <xf numFmtId="0" fontId="0" fillId="2" borderId="44" xfId="0" applyFont="1" applyFill="1" applyBorder="1" applyAlignment="1">
      <alignment horizontal="right" vertical="center"/>
    </xf>
    <xf numFmtId="0" fontId="19" fillId="3" borderId="0" xfId="0" applyFont="1" applyFill="1" applyAlignment="1">
      <alignment horizontal="right"/>
    </xf>
    <xf numFmtId="0" fontId="5" fillId="19" borderId="26" xfId="6" applyFont="1" applyFill="1" applyBorder="1" applyAlignment="1">
      <alignment horizontal="right" vertical="center" wrapText="1"/>
    </xf>
    <xf numFmtId="0" fontId="9" fillId="19" borderId="19" xfId="6" quotePrefix="1" applyFont="1" applyFill="1" applyBorder="1" applyAlignment="1">
      <alignment horizontal="right"/>
    </xf>
    <xf numFmtId="0" fontId="9" fillId="19" borderId="19" xfId="6" applyNumberFormat="1" applyFont="1" applyFill="1" applyBorder="1" applyAlignment="1">
      <alignment horizontal="right"/>
    </xf>
    <xf numFmtId="0" fontId="9" fillId="19" borderId="19" xfId="6" applyFont="1" applyFill="1" applyBorder="1" applyAlignment="1">
      <alignment horizontal="right"/>
    </xf>
    <xf numFmtId="0" fontId="9" fillId="2" borderId="29" xfId="0" applyFont="1" applyFill="1" applyBorder="1" applyAlignment="1">
      <alignment horizontal="right" vertical="center"/>
    </xf>
    <xf numFmtId="0" fontId="5" fillId="6" borderId="5" xfId="6" applyFont="1" applyFill="1" applyBorder="1" applyAlignment="1">
      <alignment horizontal="right" vertical="center" wrapText="1"/>
    </xf>
    <xf numFmtId="0" fontId="9" fillId="6" borderId="1" xfId="6" quotePrefix="1" applyFont="1" applyFill="1" applyBorder="1" applyAlignment="1">
      <alignment horizontal="right"/>
    </xf>
    <xf numFmtId="0" fontId="9" fillId="6" borderId="1" xfId="6" applyFont="1" applyFill="1" applyBorder="1" applyAlignment="1">
      <alignment horizontal="right"/>
    </xf>
    <xf numFmtId="0" fontId="5" fillId="24" borderId="5" xfId="6" applyFont="1" applyFill="1" applyBorder="1" applyAlignment="1">
      <alignment horizontal="right" vertical="center" wrapText="1"/>
    </xf>
    <xf numFmtId="0" fontId="9" fillId="24" borderId="1" xfId="6" quotePrefix="1" applyFont="1" applyFill="1" applyBorder="1" applyAlignment="1">
      <alignment horizontal="right"/>
    </xf>
    <xf numFmtId="0" fontId="9" fillId="24" borderId="1" xfId="6" applyFont="1" applyFill="1" applyBorder="1" applyAlignment="1">
      <alignment horizontal="right"/>
    </xf>
    <xf numFmtId="0" fontId="9" fillId="2" borderId="11" xfId="0" applyNumberFormat="1" applyFont="1" applyFill="1" applyBorder="1" applyAlignment="1">
      <alignment horizontal="right" vertical="center" wrapText="1"/>
    </xf>
    <xf numFmtId="0" fontId="5" fillId="7" borderId="5" xfId="6" applyFont="1" applyFill="1" applyBorder="1" applyAlignment="1">
      <alignment horizontal="right" vertical="center" wrapText="1"/>
    </xf>
    <xf numFmtId="0" fontId="9" fillId="7" borderId="1" xfId="6" quotePrefix="1" applyFont="1" applyFill="1" applyBorder="1" applyAlignment="1">
      <alignment horizontal="right"/>
    </xf>
    <xf numFmtId="0" fontId="9" fillId="7" borderId="1" xfId="6" applyFont="1" applyFill="1" applyBorder="1" applyAlignment="1">
      <alignment horizontal="right"/>
    </xf>
    <xf numFmtId="0" fontId="5" fillId="8" borderId="5" xfId="6" applyFont="1" applyFill="1" applyBorder="1" applyAlignment="1">
      <alignment horizontal="right" vertical="center" wrapText="1"/>
    </xf>
    <xf numFmtId="0" fontId="9" fillId="8" borderId="1" xfId="6" quotePrefix="1" applyFont="1" applyFill="1" applyBorder="1" applyAlignment="1">
      <alignment horizontal="right"/>
    </xf>
    <xf numFmtId="0" fontId="9" fillId="8" borderId="1" xfId="6" applyFont="1" applyFill="1" applyBorder="1" applyAlignment="1">
      <alignment horizontal="right"/>
    </xf>
    <xf numFmtId="0" fontId="5" fillId="9" borderId="5" xfId="6" applyFont="1" applyFill="1" applyBorder="1" applyAlignment="1">
      <alignment horizontal="right" vertical="center" wrapText="1"/>
    </xf>
    <xf numFmtId="0" fontId="9" fillId="9" borderId="1" xfId="6" quotePrefix="1" applyFont="1" applyFill="1" applyBorder="1" applyAlignment="1">
      <alignment horizontal="right"/>
    </xf>
    <xf numFmtId="0" fontId="9" fillId="9" borderId="1" xfId="6" applyFont="1" applyFill="1" applyBorder="1" applyAlignment="1">
      <alignment horizontal="right"/>
    </xf>
    <xf numFmtId="0" fontId="9" fillId="19" borderId="1" xfId="6" quotePrefix="1" applyFont="1" applyFill="1" applyBorder="1" applyAlignment="1">
      <alignment horizontal="right"/>
    </xf>
    <xf numFmtId="0" fontId="9" fillId="19" borderId="1" xfId="6" applyFont="1" applyFill="1" applyBorder="1" applyAlignment="1">
      <alignment horizontal="right"/>
    </xf>
    <xf numFmtId="0" fontId="5" fillId="17" borderId="5" xfId="6" applyFont="1" applyFill="1" applyBorder="1" applyAlignment="1">
      <alignment horizontal="right" vertical="center" wrapText="1"/>
    </xf>
    <xf numFmtId="0" fontId="9" fillId="17" borderId="1" xfId="6" quotePrefix="1" applyFont="1" applyFill="1" applyBorder="1" applyAlignment="1">
      <alignment horizontal="right"/>
    </xf>
    <xf numFmtId="0" fontId="9" fillId="17" borderId="1" xfId="6" applyFont="1" applyFill="1" applyBorder="1" applyAlignment="1">
      <alignment horizontal="right"/>
    </xf>
    <xf numFmtId="0" fontId="0" fillId="2" borderId="11" xfId="7" applyFont="1" applyFill="1" applyBorder="1" applyAlignment="1">
      <alignment horizontal="right" vertical="center"/>
    </xf>
    <xf numFmtId="0" fontId="18" fillId="4" borderId="0" xfId="1" applyFont="1" applyFill="1" applyAlignment="1">
      <alignment horizontal="left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15" borderId="15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4" fillId="12" borderId="52" xfId="0" applyFont="1" applyFill="1" applyBorder="1" applyAlignment="1">
      <alignment horizontal="center" vertical="center" wrapText="1"/>
    </xf>
    <xf numFmtId="0" fontId="6" fillId="12" borderId="52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4" fillId="12" borderId="2" xfId="0" applyFont="1" applyFill="1" applyBorder="1" applyAlignment="1">
      <alignment horizontal="center" vertical="center" wrapText="1"/>
    </xf>
    <xf numFmtId="0" fontId="34" fillId="4" borderId="51" xfId="0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Alignment="1">
      <alignment horizontal="right"/>
    </xf>
    <xf numFmtId="0" fontId="26" fillId="21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12" borderId="0" xfId="0" applyFont="1" applyFill="1" applyBorder="1"/>
    <xf numFmtId="165" fontId="5" fillId="0" borderId="1" xfId="0" applyNumberFormat="1" applyFont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/>
    </xf>
    <xf numFmtId="165" fontId="5" fillId="0" borderId="1" xfId="0" applyNumberFormat="1" applyFont="1" applyBorder="1" applyAlignment="1">
      <alignment horizontal="right" vertical="center" wrapText="1"/>
    </xf>
    <xf numFmtId="165" fontId="35" fillId="34" borderId="1" xfId="0" applyNumberFormat="1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19" borderId="4" xfId="6" applyFont="1" applyFill="1" applyBorder="1" applyAlignment="1">
      <alignment horizontal="left" vertical="center" wrapText="1"/>
    </xf>
    <xf numFmtId="0" fontId="5" fillId="19" borderId="5" xfId="6" applyFont="1" applyFill="1" applyBorder="1" applyAlignment="1">
      <alignment vertical="center" wrapText="1"/>
    </xf>
    <xf numFmtId="49" fontId="5" fillId="19" borderId="5" xfId="6" applyNumberFormat="1" applyFont="1" applyFill="1" applyBorder="1" applyAlignment="1">
      <alignment vertical="center" wrapText="1"/>
    </xf>
    <xf numFmtId="0" fontId="5" fillId="19" borderId="5" xfId="6" applyFont="1" applyFill="1" applyBorder="1" applyAlignment="1">
      <alignment horizontal="right" vertical="center" wrapText="1"/>
    </xf>
    <xf numFmtId="14" fontId="5" fillId="19" borderId="5" xfId="6" applyNumberFormat="1" applyFont="1" applyFill="1" applyBorder="1" applyAlignment="1">
      <alignment vertical="center" wrapText="1"/>
    </xf>
    <xf numFmtId="0" fontId="5" fillId="19" borderId="6" xfId="6" applyFont="1" applyFill="1" applyBorder="1" applyAlignment="1">
      <alignment vertical="center" wrapText="1"/>
    </xf>
    <xf numFmtId="0" fontId="9" fillId="19" borderId="9" xfId="6" quotePrefix="1" applyFont="1" applyFill="1" applyBorder="1"/>
    <xf numFmtId="0" fontId="9" fillId="19" borderId="9" xfId="6" applyFont="1" applyFill="1" applyBorder="1"/>
    <xf numFmtId="0" fontId="9" fillId="2" borderId="11" xfId="0" applyNumberFormat="1" applyFont="1" applyFill="1" applyBorder="1" applyAlignment="1">
      <alignment vertical="center"/>
    </xf>
    <xf numFmtId="0" fontId="0" fillId="2" borderId="11" xfId="7" applyNumberFormat="1" applyFont="1" applyFill="1" applyBorder="1" applyAlignment="1">
      <alignment vertical="center"/>
    </xf>
    <xf numFmtId="49" fontId="0" fillId="2" borderId="11" xfId="7" applyNumberFormat="1" applyFont="1" applyFill="1" applyBorder="1" applyAlignment="1">
      <alignment horizontal="right" vertical="center"/>
    </xf>
    <xf numFmtId="0" fontId="4" fillId="15" borderId="5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4" fillId="15" borderId="61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4" fillId="4" borderId="61" xfId="0" applyFont="1" applyFill="1" applyBorder="1" applyAlignment="1">
      <alignment horizontal="center" vertical="center" wrapText="1"/>
    </xf>
    <xf numFmtId="0" fontId="4" fillId="4" borderId="60" xfId="0" applyFont="1" applyFill="1" applyBorder="1" applyAlignment="1">
      <alignment horizontal="center" vertical="center" wrapText="1"/>
    </xf>
    <xf numFmtId="0" fontId="5" fillId="17" borderId="65" xfId="0" applyFont="1" applyFill="1" applyBorder="1" applyAlignment="1">
      <alignment horizontal="center" vertical="center" wrapText="1"/>
    </xf>
    <xf numFmtId="0" fontId="5" fillId="17" borderId="68" xfId="0" applyFont="1" applyFill="1" applyBorder="1" applyAlignment="1">
      <alignment horizontal="center" vertical="center" wrapText="1"/>
    </xf>
    <xf numFmtId="0" fontId="5" fillId="23" borderId="63" xfId="0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71" xfId="0" applyFont="1" applyFill="1" applyBorder="1" applyAlignment="1">
      <alignment horizontal="center" vertical="center" wrapText="1"/>
    </xf>
    <xf numFmtId="0" fontId="4" fillId="15" borderId="69" xfId="0" applyFont="1" applyFill="1" applyBorder="1" applyAlignment="1">
      <alignment horizontal="center" vertical="center" wrapText="1"/>
    </xf>
    <xf numFmtId="0" fontId="4" fillId="15" borderId="70" xfId="0" applyFont="1" applyFill="1" applyBorder="1" applyAlignment="1">
      <alignment horizontal="center" vertical="center" wrapText="1"/>
    </xf>
    <xf numFmtId="0" fontId="4" fillId="15" borderId="71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5" fillId="9" borderId="72" xfId="0" applyFont="1" applyFill="1" applyBorder="1" applyAlignment="1">
      <alignment horizontal="center" vertical="center" wrapText="1"/>
    </xf>
    <xf numFmtId="0" fontId="5" fillId="9" borderId="73" xfId="0" applyFont="1" applyFill="1" applyBorder="1" applyAlignment="1">
      <alignment horizontal="center" vertical="center" wrapText="1"/>
    </xf>
    <xf numFmtId="0" fontId="5" fillId="23" borderId="73" xfId="0" applyFont="1" applyFill="1" applyBorder="1" applyAlignment="1">
      <alignment horizontal="center" vertical="center" wrapText="1"/>
    </xf>
    <xf numFmtId="0" fontId="5" fillId="22" borderId="73" xfId="0" applyFont="1" applyFill="1" applyBorder="1" applyAlignment="1">
      <alignment horizontal="center" vertical="center" wrapText="1"/>
    </xf>
    <xf numFmtId="0" fontId="5" fillId="21" borderId="73" xfId="0" applyFont="1" applyFill="1" applyBorder="1" applyAlignment="1">
      <alignment horizontal="center" vertical="center" wrapText="1"/>
    </xf>
    <xf numFmtId="0" fontId="5" fillId="14" borderId="73" xfId="0" applyFont="1" applyFill="1" applyBorder="1" applyAlignment="1">
      <alignment horizontal="center" vertical="center" wrapText="1"/>
    </xf>
    <xf numFmtId="0" fontId="5" fillId="28" borderId="73" xfId="0" applyFont="1" applyFill="1" applyBorder="1" applyAlignment="1">
      <alignment horizontal="center" vertical="center" wrapText="1"/>
    </xf>
    <xf numFmtId="0" fontId="5" fillId="23" borderId="74" xfId="0" applyFont="1" applyFill="1" applyBorder="1" applyAlignment="1">
      <alignment horizontal="center" vertical="center" wrapText="1"/>
    </xf>
    <xf numFmtId="0" fontId="4" fillId="15" borderId="72" xfId="0" applyFont="1" applyFill="1" applyBorder="1" applyAlignment="1">
      <alignment horizontal="center" vertical="center" wrapText="1"/>
    </xf>
    <xf numFmtId="0" fontId="4" fillId="15" borderId="73" xfId="0" applyFont="1" applyFill="1" applyBorder="1" applyAlignment="1">
      <alignment horizontal="center" vertical="center" wrapText="1"/>
    </xf>
    <xf numFmtId="0" fontId="4" fillId="15" borderId="74" xfId="0" applyFont="1" applyFill="1" applyBorder="1" applyAlignment="1">
      <alignment horizontal="center" vertical="center" wrapText="1"/>
    </xf>
    <xf numFmtId="0" fontId="5" fillId="23" borderId="72" xfId="0" applyFont="1" applyFill="1" applyBorder="1" applyAlignment="1">
      <alignment horizontal="center" vertical="center" wrapText="1"/>
    </xf>
    <xf numFmtId="0" fontId="5" fillId="29" borderId="74" xfId="0" applyFont="1" applyFill="1" applyBorder="1" applyAlignment="1">
      <alignment horizontal="center" vertical="center" wrapText="1"/>
    </xf>
    <xf numFmtId="0" fontId="5" fillId="27" borderId="72" xfId="0" applyFont="1" applyFill="1" applyBorder="1" applyAlignment="1">
      <alignment horizontal="center" vertical="center" wrapText="1"/>
    </xf>
    <xf numFmtId="10" fontId="5" fillId="27" borderId="73" xfId="0" applyNumberFormat="1" applyFont="1" applyFill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 wrapText="1"/>
    </xf>
    <xf numFmtId="0" fontId="5" fillId="2" borderId="74" xfId="0" applyFont="1" applyFill="1" applyBorder="1" applyAlignment="1">
      <alignment horizontal="center" vertical="center" wrapText="1"/>
    </xf>
    <xf numFmtId="0" fontId="9" fillId="35" borderId="0" xfId="0" applyFont="1" applyFill="1" applyAlignment="1"/>
    <xf numFmtId="0" fontId="9" fillId="35" borderId="0" xfId="0" applyFont="1" applyFill="1" applyAlignment="1">
      <alignment horizontal="left"/>
    </xf>
    <xf numFmtId="14" fontId="1" fillId="35" borderId="0" xfId="1" applyNumberFormat="1" applyFont="1" applyFill="1" applyBorder="1" applyAlignment="1">
      <alignment horizontal="center" vertical="center"/>
    </xf>
    <xf numFmtId="0" fontId="9" fillId="35" borderId="0" xfId="0" applyFont="1" applyFill="1" applyAlignment="1">
      <alignment horizontal="right"/>
    </xf>
    <xf numFmtId="0" fontId="9" fillId="3" borderId="0" xfId="0" applyFont="1" applyFill="1" applyAlignment="1">
      <alignment vertical="center" wrapText="1"/>
    </xf>
    <xf numFmtId="0" fontId="5" fillId="2" borderId="72" xfId="0" quotePrefix="1" applyFont="1" applyFill="1" applyBorder="1" applyAlignment="1">
      <alignment horizontal="center" vertical="center" wrapText="1"/>
    </xf>
    <xf numFmtId="0" fontId="5" fillId="2" borderId="73" xfId="0" quotePrefix="1" applyFont="1" applyFill="1" applyBorder="1" applyAlignment="1">
      <alignment horizontal="center" vertical="center" wrapText="1"/>
    </xf>
    <xf numFmtId="0" fontId="5" fillId="2" borderId="74" xfId="0" quotePrefix="1" applyFont="1" applyFill="1" applyBorder="1" applyAlignment="1">
      <alignment horizontal="center" vertical="center" wrapText="1"/>
    </xf>
    <xf numFmtId="0" fontId="39" fillId="2" borderId="72" xfId="0" applyFont="1" applyFill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5" fillId="23" borderId="19" xfId="0" applyFont="1" applyFill="1" applyBorder="1" applyAlignment="1">
      <alignment horizontal="center" vertical="center" wrapText="1"/>
    </xf>
    <xf numFmtId="0" fontId="5" fillId="17" borderId="81" xfId="0" applyFont="1" applyFill="1" applyBorder="1" applyAlignment="1">
      <alignment horizontal="center" vertical="center" wrapText="1"/>
    </xf>
    <xf numFmtId="0" fontId="5" fillId="17" borderId="72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0" fontId="5" fillId="21" borderId="19" xfId="0" applyFont="1" applyFill="1" applyBorder="1" applyAlignment="1">
      <alignment horizontal="center" vertical="center" wrapText="1"/>
    </xf>
    <xf numFmtId="0" fontId="5" fillId="14" borderId="19" xfId="0" applyFont="1" applyFill="1" applyBorder="1" applyAlignment="1">
      <alignment horizontal="center" vertical="center" wrapText="1"/>
    </xf>
    <xf numFmtId="0" fontId="5" fillId="17" borderId="84" xfId="0" applyFont="1" applyFill="1" applyBorder="1" applyAlignment="1">
      <alignment horizontal="center" vertical="center" wrapText="1"/>
    </xf>
    <xf numFmtId="0" fontId="5" fillId="9" borderId="81" xfId="0" applyFont="1" applyFill="1" applyBorder="1" applyAlignment="1">
      <alignment horizontal="center" vertical="center" wrapText="1"/>
    </xf>
    <xf numFmtId="0" fontId="5" fillId="9" borderId="82" xfId="0" applyFont="1" applyFill="1" applyBorder="1" applyAlignment="1">
      <alignment horizontal="center" vertical="center" wrapText="1"/>
    </xf>
    <xf numFmtId="0" fontId="5" fillId="23" borderId="82" xfId="0" applyFont="1" applyFill="1" applyBorder="1" applyAlignment="1">
      <alignment horizontal="center" vertical="center" wrapText="1"/>
    </xf>
    <xf numFmtId="0" fontId="5" fillId="22" borderId="82" xfId="0" applyFont="1" applyFill="1" applyBorder="1" applyAlignment="1">
      <alignment horizontal="center" vertical="center" wrapText="1"/>
    </xf>
    <xf numFmtId="0" fontId="5" fillId="21" borderId="82" xfId="0" applyFont="1" applyFill="1" applyBorder="1" applyAlignment="1">
      <alignment horizontal="center" vertical="center" wrapText="1"/>
    </xf>
    <xf numFmtId="0" fontId="5" fillId="14" borderId="82" xfId="0" applyFont="1" applyFill="1" applyBorder="1" applyAlignment="1">
      <alignment horizontal="center" vertical="center" wrapText="1"/>
    </xf>
    <xf numFmtId="0" fontId="5" fillId="28" borderId="82" xfId="0" applyFont="1" applyFill="1" applyBorder="1" applyAlignment="1">
      <alignment horizontal="center" vertical="center" wrapText="1"/>
    </xf>
    <xf numFmtId="0" fontId="5" fillId="23" borderId="83" xfId="0" applyFont="1" applyFill="1" applyBorder="1" applyAlignment="1">
      <alignment horizontal="center" vertical="center" wrapText="1"/>
    </xf>
    <xf numFmtId="0" fontId="5" fillId="9" borderId="84" xfId="0" applyFont="1" applyFill="1" applyBorder="1" applyAlignment="1">
      <alignment horizontal="center" vertical="center" wrapText="1"/>
    </xf>
    <xf numFmtId="0" fontId="5" fillId="9" borderId="85" xfId="0" applyFont="1" applyFill="1" applyBorder="1" applyAlignment="1">
      <alignment horizontal="center" vertical="center" wrapText="1"/>
    </xf>
    <xf numFmtId="0" fontId="5" fillId="23" borderId="85" xfId="0" applyFont="1" applyFill="1" applyBorder="1" applyAlignment="1">
      <alignment horizontal="center" vertical="center" wrapText="1"/>
    </xf>
    <xf numFmtId="0" fontId="5" fillId="22" borderId="85" xfId="0" applyFont="1" applyFill="1" applyBorder="1" applyAlignment="1">
      <alignment horizontal="center" vertical="center" wrapText="1"/>
    </xf>
    <xf numFmtId="0" fontId="5" fillId="21" borderId="85" xfId="0" applyFont="1" applyFill="1" applyBorder="1" applyAlignment="1">
      <alignment horizontal="center" vertical="center" wrapText="1"/>
    </xf>
    <xf numFmtId="0" fontId="5" fillId="14" borderId="85" xfId="0" applyFont="1" applyFill="1" applyBorder="1" applyAlignment="1">
      <alignment horizontal="center" vertical="center" wrapText="1"/>
    </xf>
    <xf numFmtId="0" fontId="5" fillId="28" borderId="85" xfId="0" applyFont="1" applyFill="1" applyBorder="1" applyAlignment="1">
      <alignment horizontal="center" vertical="center" wrapText="1"/>
    </xf>
    <xf numFmtId="0" fontId="5" fillId="23" borderId="86" xfId="0" applyFont="1" applyFill="1" applyBorder="1" applyAlignment="1">
      <alignment horizontal="center" vertical="center" wrapText="1"/>
    </xf>
    <xf numFmtId="0" fontId="5" fillId="23" borderId="87" xfId="0" applyFont="1" applyFill="1" applyBorder="1" applyAlignment="1">
      <alignment horizontal="center" vertical="center" wrapText="1"/>
    </xf>
    <xf numFmtId="0" fontId="5" fillId="23" borderId="84" xfId="0" applyFont="1" applyFill="1" applyBorder="1" applyAlignment="1">
      <alignment horizontal="center" vertical="center" wrapText="1"/>
    </xf>
    <xf numFmtId="0" fontId="5" fillId="23" borderId="93" xfId="0" applyFont="1" applyFill="1" applyBorder="1" applyAlignment="1">
      <alignment horizontal="center" vertical="center" wrapText="1"/>
    </xf>
    <xf numFmtId="0" fontId="5" fillId="9" borderId="87" xfId="0" applyFont="1" applyFill="1" applyBorder="1" applyAlignment="1">
      <alignment horizontal="center" vertical="center" wrapText="1"/>
    </xf>
    <xf numFmtId="0" fontId="5" fillId="2" borderId="93" xfId="0" applyFont="1" applyFill="1" applyBorder="1" applyAlignment="1">
      <alignment horizontal="center" vertical="center" wrapText="1"/>
    </xf>
    <xf numFmtId="0" fontId="5" fillId="23" borderId="81" xfId="0" applyFont="1" applyFill="1" applyBorder="1" applyAlignment="1">
      <alignment horizontal="center" vertical="center" wrapText="1"/>
    </xf>
    <xf numFmtId="0" fontId="5" fillId="8" borderId="72" xfId="0" applyFont="1" applyFill="1" applyBorder="1" applyAlignment="1">
      <alignment horizontal="center" vertical="center" wrapText="1"/>
    </xf>
    <xf numFmtId="0" fontId="5" fillId="8" borderId="73" xfId="0" applyFont="1" applyFill="1" applyBorder="1" applyAlignment="1">
      <alignment horizontal="center" vertical="center" wrapText="1"/>
    </xf>
    <xf numFmtId="0" fontId="5" fillId="8" borderId="81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8" borderId="87" xfId="0" applyFont="1" applyFill="1" applyBorder="1" applyAlignment="1">
      <alignment horizontal="center" vertical="center" wrapText="1"/>
    </xf>
    <xf numFmtId="0" fontId="5" fillId="8" borderId="84" xfId="0" applyFont="1" applyFill="1" applyBorder="1" applyAlignment="1">
      <alignment horizontal="center" vertical="center" wrapText="1"/>
    </xf>
    <xf numFmtId="0" fontId="5" fillId="36" borderId="85" xfId="0" applyFont="1" applyFill="1" applyBorder="1" applyAlignment="1">
      <alignment horizontal="center" vertical="center" wrapText="1"/>
    </xf>
    <xf numFmtId="0" fontId="5" fillId="25" borderId="85" xfId="0" applyFont="1" applyFill="1" applyBorder="1" applyAlignment="1">
      <alignment horizontal="center" vertical="center" wrapText="1"/>
    </xf>
    <xf numFmtId="0" fontId="5" fillId="38" borderId="82" xfId="0" applyFont="1" applyFill="1" applyBorder="1" applyAlignment="1">
      <alignment horizontal="center" vertical="center" wrapText="1"/>
    </xf>
    <xf numFmtId="0" fontId="5" fillId="38" borderId="19" xfId="0" applyFont="1" applyFill="1" applyBorder="1" applyAlignment="1">
      <alignment horizontal="center" vertical="center" wrapText="1"/>
    </xf>
    <xf numFmtId="0" fontId="5" fillId="39" borderId="19" xfId="0" applyFont="1" applyFill="1" applyBorder="1" applyAlignment="1">
      <alignment horizontal="center" vertical="center" wrapText="1"/>
    </xf>
    <xf numFmtId="0" fontId="5" fillId="26" borderId="19" xfId="0" applyFont="1" applyFill="1" applyBorder="1" applyAlignment="1">
      <alignment horizontal="center" vertical="center" wrapText="1"/>
    </xf>
    <xf numFmtId="0" fontId="5" fillId="26" borderId="83" xfId="0" applyFont="1" applyFill="1" applyBorder="1" applyAlignment="1">
      <alignment horizontal="center" vertical="center" wrapText="1"/>
    </xf>
    <xf numFmtId="0" fontId="5" fillId="26" borderId="93" xfId="0" applyFont="1" applyFill="1" applyBorder="1" applyAlignment="1">
      <alignment horizontal="center" vertical="center" wrapText="1"/>
    </xf>
    <xf numFmtId="0" fontId="5" fillId="26" borderId="85" xfId="0" applyFont="1" applyFill="1" applyBorder="1" applyAlignment="1">
      <alignment horizontal="center" vertical="center" wrapText="1"/>
    </xf>
    <xf numFmtId="0" fontId="5" fillId="26" borderId="82" xfId="0" applyFont="1" applyFill="1" applyBorder="1" applyAlignment="1">
      <alignment horizontal="center" vertical="center" wrapText="1"/>
    </xf>
    <xf numFmtId="0" fontId="5" fillId="26" borderId="73" xfId="0" applyFont="1" applyFill="1" applyBorder="1" applyAlignment="1">
      <alignment horizontal="center" vertical="center" wrapText="1"/>
    </xf>
    <xf numFmtId="0" fontId="5" fillId="13" borderId="73" xfId="0" applyFont="1" applyFill="1" applyBorder="1" applyAlignment="1">
      <alignment horizontal="center" vertical="center" wrapText="1"/>
    </xf>
    <xf numFmtId="0" fontId="4" fillId="20" borderId="73" xfId="0" applyFont="1" applyFill="1" applyBorder="1" applyAlignment="1">
      <alignment horizontal="center" vertical="center" wrapText="1"/>
    </xf>
    <xf numFmtId="0" fontId="5" fillId="36" borderId="73" xfId="0" applyFont="1" applyFill="1" applyBorder="1" applyAlignment="1">
      <alignment horizontal="center" vertical="center" wrapText="1"/>
    </xf>
    <xf numFmtId="0" fontId="5" fillId="38" borderId="73" xfId="0" applyFont="1" applyFill="1" applyBorder="1" applyAlignment="1">
      <alignment horizontal="center" vertical="center" wrapText="1"/>
    </xf>
    <xf numFmtId="0" fontId="5" fillId="39" borderId="73" xfId="0" applyFont="1" applyFill="1" applyBorder="1" applyAlignment="1">
      <alignment horizontal="center" vertical="center" wrapText="1"/>
    </xf>
    <xf numFmtId="0" fontId="5" fillId="26" borderId="74" xfId="0" applyFont="1" applyFill="1" applyBorder="1" applyAlignment="1">
      <alignment horizontal="center" vertical="center" wrapText="1"/>
    </xf>
    <xf numFmtId="0" fontId="4" fillId="20" borderId="85" xfId="0" applyFont="1" applyFill="1" applyBorder="1" applyAlignment="1">
      <alignment horizontal="center" vertical="center" wrapText="1"/>
    </xf>
    <xf numFmtId="0" fontId="5" fillId="13" borderId="19" xfId="0" applyFont="1" applyFill="1" applyBorder="1" applyAlignment="1">
      <alignment horizontal="center" vertical="center" wrapText="1"/>
    </xf>
    <xf numFmtId="0" fontId="5" fillId="36" borderId="19" xfId="0" applyFont="1" applyFill="1" applyBorder="1" applyAlignment="1">
      <alignment horizontal="center" vertical="center" wrapText="1"/>
    </xf>
    <xf numFmtId="0" fontId="4" fillId="20" borderId="19" xfId="0" applyFont="1" applyFill="1" applyBorder="1" applyAlignment="1">
      <alignment horizontal="center" vertical="center" wrapText="1"/>
    </xf>
    <xf numFmtId="0" fontId="5" fillId="26" borderId="72" xfId="0" applyFont="1" applyFill="1" applyBorder="1" applyAlignment="1">
      <alignment horizontal="center" vertical="center" wrapText="1"/>
    </xf>
    <xf numFmtId="0" fontId="5" fillId="13" borderId="82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vertical="center" wrapText="1"/>
    </xf>
    <xf numFmtId="0" fontId="6" fillId="32" borderId="15" xfId="0" quotePrefix="1" applyFont="1" applyFill="1" applyBorder="1" applyAlignment="1">
      <alignment horizontal="center" vertical="center" wrapText="1"/>
    </xf>
    <xf numFmtId="0" fontId="6" fillId="22" borderId="13" xfId="0" applyFont="1" applyFill="1" applyBorder="1" applyAlignment="1">
      <alignment horizontal="left" vertical="center" wrapText="1"/>
    </xf>
    <xf numFmtId="0" fontId="6" fillId="22" borderId="1" xfId="0" quotePrefix="1" applyFont="1" applyFill="1" applyBorder="1" applyAlignment="1">
      <alignment horizontal="left" vertical="center" wrapText="1"/>
    </xf>
    <xf numFmtId="0" fontId="6" fillId="22" borderId="1" xfId="0" quotePrefix="1" applyFont="1" applyFill="1" applyBorder="1" applyAlignment="1">
      <alignment vertical="center" wrapText="1"/>
    </xf>
    <xf numFmtId="0" fontId="6" fillId="22" borderId="15" xfId="0" quotePrefix="1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 wrapText="1"/>
    </xf>
    <xf numFmtId="0" fontId="6" fillId="5" borderId="1" xfId="0" quotePrefix="1" applyFont="1" applyFill="1" applyBorder="1" applyAlignment="1">
      <alignment horizontal="left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0" fillId="9" borderId="19" xfId="0" applyFill="1" applyBorder="1"/>
    <xf numFmtId="0" fontId="0" fillId="33" borderId="1" xfId="0" applyFill="1" applyBorder="1"/>
    <xf numFmtId="0" fontId="0" fillId="33" borderId="25" xfId="0" applyFill="1" applyBorder="1"/>
    <xf numFmtId="0" fontId="0" fillId="33" borderId="19" xfId="0" applyFill="1" applyBorder="1"/>
    <xf numFmtId="0" fontId="33" fillId="4" borderId="94" xfId="5" applyFont="1" applyFill="1" applyBorder="1" applyAlignment="1">
      <alignment horizontal="left" vertical="center" wrapText="1"/>
    </xf>
    <xf numFmtId="0" fontId="33" fillId="31" borderId="94" xfId="5" applyFont="1" applyFill="1" applyBorder="1" applyAlignment="1">
      <alignment horizontal="left" vertical="center" wrapText="1"/>
    </xf>
    <xf numFmtId="0" fontId="33" fillId="26" borderId="94" xfId="5" applyFont="1" applyFill="1" applyBorder="1" applyAlignment="1">
      <alignment horizontal="left" vertical="center" wrapText="1"/>
    </xf>
    <xf numFmtId="0" fontId="41" fillId="8" borderId="0" xfId="5" applyFont="1" applyFill="1" applyAlignment="1">
      <alignment horizontal="left" vertical="center" wrapText="1"/>
    </xf>
    <xf numFmtId="0" fontId="41" fillId="8" borderId="94" xfId="5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3" fillId="7" borderId="94" xfId="5" applyFont="1" applyFill="1" applyBorder="1" applyAlignment="1">
      <alignment horizontal="left" vertical="center" wrapText="1"/>
    </xf>
    <xf numFmtId="0" fontId="42" fillId="4" borderId="24" xfId="5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center" vertical="center" wrapText="1"/>
    </xf>
    <xf numFmtId="0" fontId="5" fillId="23" borderId="95" xfId="0" applyFont="1" applyFill="1" applyBorder="1" applyAlignment="1">
      <alignment horizontal="center" vertical="center" wrapText="1"/>
    </xf>
    <xf numFmtId="0" fontId="5" fillId="23" borderId="62" xfId="0" applyFont="1" applyFill="1" applyBorder="1" applyAlignment="1">
      <alignment horizontal="center" vertical="center" wrapText="1"/>
    </xf>
    <xf numFmtId="0" fontId="5" fillId="33" borderId="62" xfId="0" applyFont="1" applyFill="1" applyBorder="1" applyAlignment="1">
      <alignment horizontal="center" vertical="center" wrapText="1"/>
    </xf>
    <xf numFmtId="0" fontId="5" fillId="8" borderId="63" xfId="0" applyFont="1" applyFill="1" applyBorder="1" applyAlignment="1">
      <alignment horizontal="center" vertical="center" wrapText="1"/>
    </xf>
    <xf numFmtId="0" fontId="5" fillId="22" borderId="63" xfId="0" applyFont="1" applyFill="1" applyBorder="1" applyAlignment="1">
      <alignment horizontal="center" vertical="center" wrapText="1"/>
    </xf>
    <xf numFmtId="0" fontId="5" fillId="21" borderId="63" xfId="0" applyFont="1" applyFill="1" applyBorder="1" applyAlignment="1">
      <alignment horizontal="center" vertical="center" wrapText="1"/>
    </xf>
    <xf numFmtId="0" fontId="4" fillId="20" borderId="63" xfId="0" applyFont="1" applyFill="1" applyBorder="1" applyAlignment="1">
      <alignment horizontal="center" vertical="center" wrapText="1"/>
    </xf>
    <xf numFmtId="0" fontId="5" fillId="28" borderId="63" xfId="0" applyFont="1" applyFill="1" applyBorder="1" applyAlignment="1">
      <alignment horizontal="center" vertical="center" wrapText="1"/>
    </xf>
    <xf numFmtId="0" fontId="5" fillId="17" borderId="95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5" fillId="23" borderId="65" xfId="0" applyFont="1" applyFill="1" applyBorder="1" applyAlignment="1">
      <alignment horizontal="center" vertical="center" wrapText="1"/>
    </xf>
    <xf numFmtId="0" fontId="5" fillId="23" borderId="64" xfId="0" applyFont="1" applyFill="1" applyBorder="1" applyAlignment="1">
      <alignment horizontal="center" vertical="center" wrapText="1"/>
    </xf>
    <xf numFmtId="0" fontId="5" fillId="33" borderId="6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5" fillId="2" borderId="68" xfId="0" applyFont="1" applyFill="1" applyBorder="1" applyAlignment="1">
      <alignment horizontal="center" vertical="center" wrapText="1"/>
    </xf>
    <xf numFmtId="0" fontId="5" fillId="23" borderId="68" xfId="0" applyFont="1" applyFill="1" applyBorder="1" applyAlignment="1">
      <alignment horizontal="center" vertical="center" wrapText="1"/>
    </xf>
    <xf numFmtId="0" fontId="5" fillId="23" borderId="66" xfId="0" applyFont="1" applyFill="1" applyBorder="1" applyAlignment="1">
      <alignment horizontal="center" vertical="center" wrapText="1"/>
    </xf>
    <xf numFmtId="0" fontId="5" fillId="33" borderId="66" xfId="0" applyFont="1" applyFill="1" applyBorder="1" applyAlignment="1">
      <alignment horizontal="center" vertical="center" wrapText="1"/>
    </xf>
    <xf numFmtId="0" fontId="5" fillId="8" borderId="67" xfId="0" applyFont="1" applyFill="1" applyBorder="1" applyAlignment="1">
      <alignment horizontal="center" vertical="center" wrapText="1"/>
    </xf>
    <xf numFmtId="0" fontId="5" fillId="23" borderId="67" xfId="0" applyFont="1" applyFill="1" applyBorder="1" applyAlignment="1">
      <alignment horizontal="center" vertical="center" wrapText="1"/>
    </xf>
    <xf numFmtId="0" fontId="5" fillId="22" borderId="67" xfId="0" applyFont="1" applyFill="1" applyBorder="1" applyAlignment="1">
      <alignment horizontal="center" vertical="center" wrapText="1"/>
    </xf>
    <xf numFmtId="0" fontId="5" fillId="21" borderId="67" xfId="0" applyFont="1" applyFill="1" applyBorder="1" applyAlignment="1">
      <alignment horizontal="center" vertical="center" wrapText="1"/>
    </xf>
    <xf numFmtId="0" fontId="4" fillId="20" borderId="67" xfId="0" applyFont="1" applyFill="1" applyBorder="1" applyAlignment="1">
      <alignment horizontal="center" vertical="center" wrapText="1"/>
    </xf>
    <xf numFmtId="0" fontId="5" fillId="28" borderId="67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quotePrefix="1" applyFont="1" applyFill="1" applyBorder="1" applyAlignment="1">
      <alignment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0" fillId="2" borderId="11" xfId="0" quotePrefix="1" applyFont="1" applyFill="1" applyBorder="1" applyAlignment="1">
      <alignment vertical="center"/>
    </xf>
    <xf numFmtId="0" fontId="0" fillId="2" borderId="11" xfId="7" quotePrefix="1" applyFont="1" applyFill="1" applyBorder="1" applyAlignment="1">
      <alignment vertical="center"/>
    </xf>
    <xf numFmtId="0" fontId="0" fillId="7" borderId="1" xfId="6" quotePrefix="1" applyFont="1" applyFill="1" applyBorder="1"/>
    <xf numFmtId="0" fontId="5" fillId="7" borderId="5" xfId="6" quotePrefix="1" applyFont="1" applyFill="1" applyBorder="1" applyAlignment="1">
      <alignment vertical="center" wrapText="1"/>
    </xf>
    <xf numFmtId="0" fontId="20" fillId="3" borderId="0" xfId="0" quotePrefix="1" applyNumberFormat="1" applyFont="1" applyFill="1" applyAlignment="1">
      <alignment vertical="center" wrapText="1"/>
    </xf>
    <xf numFmtId="0" fontId="9" fillId="3" borderId="0" xfId="0" quotePrefix="1" applyFont="1" applyFill="1"/>
    <xf numFmtId="0" fontId="19" fillId="3" borderId="0" xfId="0" quotePrefix="1" applyFont="1" applyFill="1"/>
    <xf numFmtId="0" fontId="19" fillId="3" borderId="0" xfId="0" applyFont="1" applyFill="1" applyAlignment="1">
      <alignment wrapText="1"/>
    </xf>
    <xf numFmtId="0" fontId="5" fillId="18" borderId="1" xfId="0" applyFont="1" applyFill="1" applyBorder="1" applyAlignment="1">
      <alignment horizontal="center" vertical="center" wrapText="1"/>
    </xf>
    <xf numFmtId="0" fontId="44" fillId="2" borderId="1" xfId="5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quotePrefix="1" applyFont="1" applyFill="1" applyBorder="1" applyAlignment="1">
      <alignment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16" borderId="1" xfId="0" applyNumberFormat="1" applyFont="1" applyFill="1" applyBorder="1" applyAlignment="1">
      <alignment vertical="center" wrapText="1"/>
    </xf>
    <xf numFmtId="49" fontId="4" fillId="15" borderId="1" xfId="0" applyNumberFormat="1" applyFont="1" applyFill="1" applyBorder="1" applyAlignment="1">
      <alignment horizontal="center" vertical="center" wrapText="1"/>
    </xf>
    <xf numFmtId="0" fontId="5" fillId="30" borderId="74" xfId="0" applyFont="1" applyFill="1" applyBorder="1" applyAlignment="1">
      <alignment horizontal="center" vertical="center" wrapText="1"/>
    </xf>
    <xf numFmtId="0" fontId="5" fillId="18" borderId="74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14" fontId="5" fillId="23" borderId="85" xfId="0" applyNumberFormat="1" applyFont="1" applyFill="1" applyBorder="1" applyAlignment="1">
      <alignment horizontal="center" vertical="center" wrapText="1"/>
    </xf>
    <xf numFmtId="0" fontId="5" fillId="17" borderId="86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9" fontId="5" fillId="40" borderId="1" xfId="0" applyNumberFormat="1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9" fontId="5" fillId="37" borderId="1" xfId="0" applyNumberFormat="1" applyFont="1" applyFill="1" applyBorder="1" applyAlignment="1">
      <alignment horizontal="center" vertical="center" wrapText="1"/>
    </xf>
    <xf numFmtId="0" fontId="33" fillId="31" borderId="94" xfId="5" applyFont="1" applyFill="1" applyBorder="1" applyAlignment="1">
      <alignment vertical="center"/>
    </xf>
    <xf numFmtId="0" fontId="33" fillId="31" borderId="94" xfId="5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vertical="center" wrapText="1"/>
    </xf>
    <xf numFmtId="9" fontId="5" fillId="28" borderId="2" xfId="0" applyNumberFormat="1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0" fontId="5" fillId="16" borderId="2" xfId="0" applyFont="1" applyFill="1" applyBorder="1" applyAlignment="1">
      <alignment vertical="center" wrapText="1"/>
    </xf>
    <xf numFmtId="0" fontId="5" fillId="22" borderId="2" xfId="0" applyFont="1" applyFill="1" applyBorder="1" applyAlignment="1">
      <alignment vertical="center" wrapText="1"/>
    </xf>
    <xf numFmtId="0" fontId="5" fillId="22" borderId="2" xfId="0" quotePrefix="1" applyFont="1" applyFill="1" applyBorder="1" applyAlignment="1">
      <alignment vertical="center" wrapText="1"/>
    </xf>
    <xf numFmtId="0" fontId="26" fillId="21" borderId="2" xfId="0" applyFont="1" applyFill="1" applyBorder="1" applyAlignment="1">
      <alignment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5" fillId="38" borderId="2" xfId="0" applyFont="1" applyFill="1" applyBorder="1" applyAlignment="1">
      <alignment horizontal="center" vertical="center" wrapText="1"/>
    </xf>
    <xf numFmtId="0" fontId="5" fillId="26" borderId="2" xfId="0" applyFont="1" applyFill="1" applyBorder="1" applyAlignment="1">
      <alignment horizontal="center" vertical="center" wrapText="1"/>
    </xf>
    <xf numFmtId="0" fontId="44" fillId="2" borderId="100" xfId="5" applyFont="1" applyFill="1" applyBorder="1" applyAlignment="1">
      <alignment horizontal="left" vertical="center" wrapText="1"/>
    </xf>
    <xf numFmtId="0" fontId="5" fillId="2" borderId="100" xfId="0" applyFont="1" applyFill="1" applyBorder="1" applyAlignment="1">
      <alignment horizontal="center" vertical="center" wrapText="1"/>
    </xf>
    <xf numFmtId="0" fontId="5" fillId="28" borderId="100" xfId="0" applyFont="1" applyFill="1" applyBorder="1" applyAlignment="1">
      <alignment horizontal="center" vertical="center" wrapText="1"/>
    </xf>
    <xf numFmtId="9" fontId="5" fillId="28" borderId="100" xfId="0" applyNumberFormat="1" applyFont="1" applyFill="1" applyBorder="1" applyAlignment="1">
      <alignment horizontal="center" vertical="center" wrapText="1"/>
    </xf>
    <xf numFmtId="0" fontId="5" fillId="23" borderId="100" xfId="0" applyFont="1" applyFill="1" applyBorder="1" applyAlignment="1">
      <alignment horizontal="center" vertical="center" wrapText="1"/>
    </xf>
    <xf numFmtId="0" fontId="5" fillId="17" borderId="100" xfId="0" applyFont="1" applyFill="1" applyBorder="1" applyAlignment="1">
      <alignment horizontal="center" vertical="center" wrapText="1"/>
    </xf>
    <xf numFmtId="0" fontId="5" fillId="9" borderId="100" xfId="0" applyFont="1" applyFill="1" applyBorder="1" applyAlignment="1">
      <alignment vertical="center" wrapText="1"/>
    </xf>
    <xf numFmtId="0" fontId="5" fillId="8" borderId="100" xfId="0" applyFont="1" applyFill="1" applyBorder="1" applyAlignment="1">
      <alignment vertical="center" wrapText="1"/>
    </xf>
    <xf numFmtId="0" fontId="5" fillId="16" borderId="100" xfId="0" applyFont="1" applyFill="1" applyBorder="1" applyAlignment="1">
      <alignment vertical="center" wrapText="1"/>
    </xf>
    <xf numFmtId="0" fontId="5" fillId="5" borderId="100" xfId="0" applyFont="1" applyFill="1" applyBorder="1" applyAlignment="1">
      <alignment vertical="center" wrapText="1"/>
    </xf>
    <xf numFmtId="0" fontId="5" fillId="5" borderId="100" xfId="0" quotePrefix="1" applyFont="1" applyFill="1" applyBorder="1" applyAlignment="1">
      <alignment vertical="center" wrapText="1"/>
    </xf>
    <xf numFmtId="0" fontId="26" fillId="21" borderId="100" xfId="0" applyFont="1" applyFill="1" applyBorder="1" applyAlignment="1">
      <alignment vertical="center" wrapText="1"/>
    </xf>
    <xf numFmtId="0" fontId="5" fillId="14" borderId="100" xfId="0" applyFont="1" applyFill="1" applyBorder="1" applyAlignment="1">
      <alignment horizontal="center" vertical="center" wrapText="1"/>
    </xf>
    <xf numFmtId="0" fontId="5" fillId="38" borderId="100" xfId="0" applyFont="1" applyFill="1" applyBorder="1" applyAlignment="1">
      <alignment horizontal="center" vertical="center" wrapText="1"/>
    </xf>
    <xf numFmtId="0" fontId="45" fillId="12" borderId="15" xfId="0" applyFont="1" applyFill="1" applyBorder="1" applyAlignment="1"/>
    <xf numFmtId="0" fontId="0" fillId="12" borderId="101" xfId="0" applyFill="1" applyBorder="1" applyAlignment="1">
      <alignment horizontal="center" vertical="center" wrapText="1"/>
    </xf>
    <xf numFmtId="0" fontId="5" fillId="12" borderId="101" xfId="0" applyFont="1" applyFill="1" applyBorder="1" applyAlignment="1">
      <alignment horizontal="center" vertical="center" wrapText="1"/>
    </xf>
    <xf numFmtId="9" fontId="5" fillId="12" borderId="101" xfId="0" applyNumberFormat="1" applyFont="1" applyFill="1" applyBorder="1" applyAlignment="1">
      <alignment horizontal="center" vertical="center" wrapText="1"/>
    </xf>
    <xf numFmtId="0" fontId="5" fillId="12" borderId="101" xfId="0" applyFont="1" applyFill="1" applyBorder="1" applyAlignment="1">
      <alignment vertical="center" wrapText="1"/>
    </xf>
    <xf numFmtId="0" fontId="5" fillId="12" borderId="101" xfId="0" quotePrefix="1" applyFont="1" applyFill="1" applyBorder="1" applyAlignment="1">
      <alignment vertical="center" wrapText="1"/>
    </xf>
    <xf numFmtId="0" fontId="26" fillId="12" borderId="101" xfId="0" applyFont="1" applyFill="1" applyBorder="1" applyAlignment="1">
      <alignment vertical="center" wrapText="1"/>
    </xf>
    <xf numFmtId="0" fontId="4" fillId="12" borderId="101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44" fillId="2" borderId="1" xfId="5" applyFont="1" applyFill="1" applyBorder="1" applyAlignment="1">
      <alignment horizontal="left" vertical="center" wrapText="1"/>
    </xf>
    <xf numFmtId="0" fontId="45" fillId="2" borderId="1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5" fillId="2" borderId="2" xfId="0" applyFont="1" applyFill="1" applyBorder="1" applyAlignment="1"/>
    <xf numFmtId="0" fontId="4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6" fillId="2" borderId="1" xfId="5" applyNumberFormat="1" applyFont="1" applyFill="1" applyBorder="1" applyAlignment="1">
      <alignment vertical="center" wrapText="1"/>
    </xf>
    <xf numFmtId="0" fontId="46" fillId="0" borderId="1" xfId="5" applyNumberFormat="1" applyFont="1" applyBorder="1" applyAlignment="1">
      <alignment vertical="center" wrapText="1"/>
    </xf>
    <xf numFmtId="0" fontId="46" fillId="0" borderId="1" xfId="5" applyFont="1" applyBorder="1" applyAlignment="1">
      <alignment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24" fillId="4" borderId="17" xfId="0" applyFont="1" applyFill="1" applyBorder="1" applyAlignment="1">
      <alignment horizontal="center" vertical="center" wrapText="1"/>
    </xf>
    <xf numFmtId="0" fontId="24" fillId="4" borderId="20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3" fillId="2" borderId="72" xfId="0" applyFont="1" applyFill="1" applyBorder="1" applyAlignment="1">
      <alignment horizontal="center" vertical="center" wrapText="1"/>
    </xf>
    <xf numFmtId="0" fontId="43" fillId="0" borderId="73" xfId="0" applyFont="1" applyBorder="1" applyAlignment="1">
      <alignment horizontal="center" vertical="center" wrapText="1"/>
    </xf>
    <xf numFmtId="0" fontId="43" fillId="0" borderId="74" xfId="0" applyFont="1" applyBorder="1" applyAlignment="1">
      <alignment horizontal="center" vertical="center" wrapText="1"/>
    </xf>
    <xf numFmtId="0" fontId="22" fillId="2" borderId="72" xfId="0" applyFont="1" applyFill="1" applyBorder="1" applyAlignment="1">
      <alignment horizontal="center" vertical="center" wrapText="1"/>
    </xf>
    <xf numFmtId="0" fontId="22" fillId="0" borderId="73" xfId="0" applyFont="1" applyBorder="1" applyAlignment="1">
      <alignment horizontal="center" vertical="center" wrapText="1"/>
    </xf>
    <xf numFmtId="0" fontId="22" fillId="0" borderId="74" xfId="0" applyFont="1" applyBorder="1" applyAlignment="1">
      <alignment horizontal="center" vertical="center" wrapText="1"/>
    </xf>
    <xf numFmtId="0" fontId="37" fillId="4" borderId="17" xfId="1" applyFont="1" applyFill="1" applyBorder="1" applyAlignment="1">
      <alignment horizontal="center" vertical="center" wrapText="1"/>
    </xf>
    <xf numFmtId="0" fontId="38" fillId="4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24" fillId="4" borderId="21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 wrapText="1"/>
    </xf>
    <xf numFmtId="0" fontId="24" fillId="4" borderId="23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5" fillId="19" borderId="48" xfId="0" applyFont="1" applyFill="1" applyBorder="1" applyAlignment="1">
      <alignment vertical="center" wrapText="1"/>
    </xf>
    <xf numFmtId="0" fontId="9" fillId="19" borderId="49" xfId="0" applyFont="1" applyFill="1" applyBorder="1" applyAlignment="1">
      <alignment vertical="center" wrapText="1"/>
    </xf>
    <xf numFmtId="0" fontId="9" fillId="19" borderId="50" xfId="0" applyFont="1" applyFill="1" applyBorder="1" applyAlignment="1">
      <alignment vertical="center" wrapText="1"/>
    </xf>
    <xf numFmtId="0" fontId="5" fillId="17" borderId="35" xfId="0" applyFont="1" applyFill="1" applyBorder="1" applyAlignment="1">
      <alignment vertical="center" wrapText="1"/>
    </xf>
    <xf numFmtId="0" fontId="0" fillId="17" borderId="36" xfId="0" applyFill="1" applyBorder="1" applyAlignment="1">
      <alignment vertical="center" wrapText="1"/>
    </xf>
    <xf numFmtId="0" fontId="0" fillId="17" borderId="37" xfId="0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5" fillId="24" borderId="3" xfId="0" applyFont="1" applyFill="1" applyBorder="1" applyAlignment="1">
      <alignment vertical="center" wrapText="1"/>
    </xf>
    <xf numFmtId="0" fontId="9" fillId="24" borderId="7" xfId="0" applyFont="1" applyFill="1" applyBorder="1" applyAlignment="1">
      <alignment vertical="center" wrapText="1"/>
    </xf>
    <xf numFmtId="0" fontId="9" fillId="24" borderId="10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0" fontId="5" fillId="17" borderId="32" xfId="0" applyFont="1" applyFill="1" applyBorder="1" applyAlignment="1">
      <alignment vertical="center" wrapText="1"/>
    </xf>
    <xf numFmtId="0" fontId="0" fillId="17" borderId="33" xfId="0" applyFill="1" applyBorder="1" applyAlignment="1">
      <alignment vertical="center" wrapText="1"/>
    </xf>
    <xf numFmtId="0" fontId="0" fillId="17" borderId="34" xfId="0" applyFill="1" applyBorder="1" applyAlignment="1">
      <alignment vertical="center" wrapText="1"/>
    </xf>
    <xf numFmtId="0" fontId="5" fillId="19" borderId="35" xfId="0" applyFont="1" applyFill="1" applyBorder="1" applyAlignment="1">
      <alignment vertical="center" wrapText="1"/>
    </xf>
    <xf numFmtId="0" fontId="0" fillId="19" borderId="36" xfId="0" applyFill="1" applyBorder="1" applyAlignment="1">
      <alignment vertical="center" wrapText="1"/>
    </xf>
    <xf numFmtId="0" fontId="0" fillId="19" borderId="37" xfId="0" applyFill="1" applyBorder="1" applyAlignment="1">
      <alignment vertical="center" wrapText="1"/>
    </xf>
    <xf numFmtId="0" fontId="24" fillId="4" borderId="20" xfId="0" applyFont="1" applyFill="1" applyBorder="1" applyAlignment="1">
      <alignment horizontal="center" vertical="center"/>
    </xf>
    <xf numFmtId="0" fontId="40" fillId="0" borderId="18" xfId="0" applyFont="1" applyBorder="1" applyAlignment="1"/>
    <xf numFmtId="0" fontId="39" fillId="2" borderId="81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10" fontId="5" fillId="27" borderId="77" xfId="0" applyNumberFormat="1" applyFont="1" applyFill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5" fillId="27" borderId="75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5" fillId="29" borderId="83" xfId="0" applyFont="1" applyFill="1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5" fillId="23" borderId="91" xfId="0" applyFont="1" applyFill="1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 wrapText="1"/>
    </xf>
    <xf numFmtId="10" fontId="5" fillId="27" borderId="82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27" borderId="81" xfId="0" applyFont="1" applyFill="1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5" fillId="29" borderId="79" xfId="0" applyFont="1" applyFill="1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10" fontId="5" fillId="37" borderId="77" xfId="0" applyNumberFormat="1" applyFont="1" applyFill="1" applyBorder="1" applyAlignment="1">
      <alignment horizontal="center" vertical="center" wrapText="1"/>
    </xf>
    <xf numFmtId="0" fontId="0" fillId="37" borderId="89" xfId="0" applyFill="1" applyBorder="1" applyAlignment="1">
      <alignment horizontal="center" vertical="center" wrapText="1"/>
    </xf>
    <xf numFmtId="0" fontId="0" fillId="37" borderId="78" xfId="0" applyFill="1" applyBorder="1" applyAlignment="1">
      <alignment horizontal="center" vertical="center" wrapText="1"/>
    </xf>
    <xf numFmtId="0" fontId="5" fillId="37" borderId="75" xfId="0" applyFont="1" applyFill="1" applyBorder="1" applyAlignment="1">
      <alignment horizontal="center" vertical="center" wrapText="1"/>
    </xf>
    <xf numFmtId="0" fontId="0" fillId="37" borderId="90" xfId="0" applyFill="1" applyBorder="1" applyAlignment="1">
      <alignment horizontal="center" vertical="center" wrapText="1"/>
    </xf>
    <xf numFmtId="0" fontId="0" fillId="37" borderId="76" xfId="0" applyFill="1" applyBorder="1" applyAlignment="1">
      <alignment horizontal="center" vertical="center" wrapText="1"/>
    </xf>
    <xf numFmtId="0" fontId="39" fillId="2" borderId="75" xfId="0" applyFont="1" applyFill="1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39" fillId="2" borderId="62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5" fillId="36" borderId="21" xfId="0" applyFont="1" applyFill="1" applyBorder="1" applyAlignment="1">
      <alignment horizontal="center" vertical="center" wrapText="1"/>
    </xf>
    <xf numFmtId="0" fontId="0" fillId="36" borderId="96" xfId="0" applyFill="1" applyBorder="1" applyAlignment="1">
      <alignment horizontal="center" vertical="center" wrapText="1"/>
    </xf>
    <xf numFmtId="0" fontId="0" fillId="36" borderId="98" xfId="0" applyFill="1" applyBorder="1" applyAlignment="1">
      <alignment horizontal="center" vertical="center" wrapText="1"/>
    </xf>
    <xf numFmtId="10" fontId="5" fillId="36" borderId="63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0" fontId="0" fillId="36" borderId="67" xfId="0" applyFill="1" applyBorder="1" applyAlignment="1">
      <alignment horizontal="center" vertical="center" wrapText="1"/>
    </xf>
    <xf numFmtId="0" fontId="5" fillId="19" borderId="23" xfId="0" applyFont="1" applyFill="1" applyBorder="1" applyAlignment="1">
      <alignment horizontal="center" vertical="center" wrapText="1"/>
    </xf>
    <xf numFmtId="0" fontId="0" fillId="19" borderId="97" xfId="0" applyFill="1" applyBorder="1" applyAlignment="1">
      <alignment horizontal="center" vertical="center" wrapText="1"/>
    </xf>
    <xf numFmtId="0" fontId="0" fillId="19" borderId="99" xfId="0" applyFill="1" applyBorder="1" applyAlignment="1">
      <alignment horizontal="center" vertical="center" wrapText="1"/>
    </xf>
    <xf numFmtId="0" fontId="5" fillId="40" borderId="75" xfId="0" applyFont="1" applyFill="1" applyBorder="1" applyAlignment="1">
      <alignment horizontal="center" vertical="center" wrapText="1"/>
    </xf>
    <xf numFmtId="0" fontId="0" fillId="40" borderId="90" xfId="0" applyFill="1" applyBorder="1" applyAlignment="1">
      <alignment horizontal="center" vertical="center" wrapText="1"/>
    </xf>
    <xf numFmtId="0" fontId="0" fillId="40" borderId="76" xfId="0" applyFill="1" applyBorder="1" applyAlignment="1">
      <alignment horizontal="center" vertical="center" wrapText="1"/>
    </xf>
    <xf numFmtId="10" fontId="5" fillId="40" borderId="77" xfId="0" applyNumberFormat="1" applyFont="1" applyFill="1" applyBorder="1" applyAlignment="1">
      <alignment horizontal="center" vertical="center" wrapText="1"/>
    </xf>
    <xf numFmtId="0" fontId="0" fillId="40" borderId="89" xfId="0" applyFill="1" applyBorder="1" applyAlignment="1">
      <alignment horizontal="center" vertical="center" wrapText="1"/>
    </xf>
    <xf numFmtId="0" fontId="0" fillId="40" borderId="78" xfId="0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0" fontId="34" fillId="4" borderId="58" xfId="0" applyFont="1" applyFill="1" applyBorder="1" applyAlignment="1">
      <alignment horizontal="center" vertical="center" wrapText="1"/>
    </xf>
    <xf numFmtId="0" fontId="34" fillId="4" borderId="51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5" fontId="34" fillId="4" borderId="51" xfId="0" applyNumberFormat="1" applyFont="1" applyFill="1" applyBorder="1" applyAlignment="1">
      <alignment horizontal="center" vertical="center" wrapText="1"/>
    </xf>
    <xf numFmtId="0" fontId="14" fillId="4" borderId="55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</cellXfs>
  <cellStyles count="8">
    <cellStyle name="Euro" xfId="3"/>
    <cellStyle name="Lien hypertexte" xfId="5" builtinId="8"/>
    <cellStyle name="Normal" xfId="0" builtinId="0"/>
    <cellStyle name="Normal 2" xfId="1"/>
    <cellStyle name="Normal 3" xfId="2"/>
    <cellStyle name="Normal 3 2" xfId="4"/>
    <cellStyle name="Normal 5 2" xfId="6"/>
    <cellStyle name="Normal 6" xfId="7"/>
  </cellStyles>
  <dxfs count="4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6AF00"/>
      <color rgb="FFFFFF99"/>
      <color rgb="FF0000FF"/>
      <color rgb="FFFFFF00"/>
      <color rgb="FFFFFF66"/>
      <color rgb="FFF0EA00"/>
      <color rgb="FFFFFFCC"/>
      <color rgb="FF50BED8"/>
      <color rgb="FFCCCC00"/>
      <color rgb="FFB0A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UTURIER-30110/Documents/30%20TRANSPORTS%20ET%20TAXIS/00%20VERSION%20ACTES%20TRACEURS/ANNEXE%2030%20NOUVELLE%20CONVENTION%20ET%20TP%20TP%20SIMULATEUR%2026082025%20V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AMBULE"/>
      <sheetName val="Table matière"/>
      <sheetName val="PRES NELLE CONVENTION ET TP TP"/>
      <sheetName val="DETAIL DES CAS ANNEXE 30"/>
      <sheetName val="DUREES DISTANCES TRAJETS"/>
      <sheetName val="FACTU NELLE CONVENTION ET TP TP"/>
      <sheetName val="B2 NELLE CONVENTION ET TP TP"/>
      <sheetName val="CONVENTION CAS 1"/>
      <sheetName val="CONVENTION CAS 2"/>
      <sheetName val="CONVENTION CAS 3"/>
      <sheetName val="CONVENTION CAS 4"/>
      <sheetName val="CONVENTION CAS 5"/>
      <sheetName val="CONVENTION CAS 6"/>
      <sheetName val="CONVENTION CAS 7"/>
      <sheetName val="CONVENTION CAS 8"/>
      <sheetName val="CONVENTION CAS 9"/>
      <sheetName val="CONVENTION CAS 10"/>
      <sheetName val="CONVENTION CAS 11"/>
      <sheetName val="CONVENTION CAS 12"/>
      <sheetName val="CONVENTION CAS 13"/>
      <sheetName val="CONVENTION CAS 14"/>
      <sheetName val="CONVENTION CAS 15"/>
      <sheetName val="CONVENTION CAS 16"/>
      <sheetName val="CONVENTION CAS 17"/>
      <sheetName val="TP CONTRE TP CAS 1"/>
      <sheetName val="TP CONTRE TP CAS 2"/>
      <sheetName val="TP CONTRE TP CAS 3"/>
      <sheetName val="TP CONTRE TP CAS 4"/>
      <sheetName val="B2 AL NELLE CONVENTION ET TP TP"/>
      <sheetName val="B2 BR NELLE CONVENTION ET TP TP"/>
      <sheetName val="FICHIER B2 A EXPORTER"/>
      <sheetName val="TABLES PARAMETRES METIERS"/>
      <sheetName val="CARACTERISTIQUES SOCIETES TAXI"/>
      <sheetName val="METIER FORFAIT TAXI"/>
      <sheetName val="LISTE DE PRESCRIPTEURS"/>
      <sheetName val="CODES COMMUNE &amp; GRANDES VILLES"/>
      <sheetName val="METIER KM TAXI"/>
      <sheetName val="METIER %KM ALLER RETOUR A VIDE"/>
      <sheetName val="SEUIL N1 KM ALLER RETOUR A VIDE"/>
      <sheetName val="METIER SUPPL FORFAITAIRE TAXI"/>
      <sheetName val="METIER SUPPLEMENT TPMR"/>
      <sheetName val="METIER MAJO Nu Di Jf TAXI"/>
      <sheetName val="METIER % ABATT TPARTAGE TAXI"/>
      <sheetName val="METIER SEUIL X KM SEUL ABATT"/>
      <sheetName val="B2 CODES ACTES NELLE CONVENTION"/>
      <sheetName val="B2 CODES ACTES TP TP"/>
      <sheetName val="LISTES POUR SIMULATEU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2">
          <cell r="A2" t="str">
            <v>42-Montbrison</v>
          </cell>
        </row>
        <row r="3">
          <cell r="A3" t="str">
            <v>42-Saint-Étienne</v>
          </cell>
        </row>
        <row r="4">
          <cell r="A4" t="str">
            <v>69-Lyon</v>
          </cell>
        </row>
        <row r="5">
          <cell r="A5" t="str">
            <v>69-Villeurbanne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L2">
            <v>0</v>
          </cell>
        </row>
        <row r="3">
          <cell r="L3">
            <v>1</v>
          </cell>
        </row>
        <row r="4">
          <cell r="L4">
            <v>2</v>
          </cell>
        </row>
        <row r="5">
          <cell r="L5">
            <v>3</v>
          </cell>
        </row>
        <row r="6">
          <cell r="L6">
            <v>4</v>
          </cell>
        </row>
        <row r="7">
          <cell r="L7">
            <v>5</v>
          </cell>
        </row>
        <row r="8">
          <cell r="D8">
            <v>0.55000000000000004</v>
          </cell>
          <cell r="L8">
            <v>6</v>
          </cell>
        </row>
        <row r="9">
          <cell r="D9">
            <v>1</v>
          </cell>
          <cell r="L9">
            <v>7</v>
          </cell>
        </row>
        <row r="10">
          <cell r="L10">
            <v>8</v>
          </cell>
        </row>
        <row r="14">
          <cell r="L14" t="str">
            <v>011</v>
          </cell>
        </row>
        <row r="15">
          <cell r="L15" t="str">
            <v>021</v>
          </cell>
        </row>
        <row r="16">
          <cell r="L16" t="str">
            <v>022</v>
          </cell>
        </row>
        <row r="17">
          <cell r="L17" t="str">
            <v>031</v>
          </cell>
        </row>
        <row r="18">
          <cell r="L18" t="str">
            <v>041</v>
          </cell>
        </row>
        <row r="19">
          <cell r="L19" t="str">
            <v>051</v>
          </cell>
        </row>
        <row r="20">
          <cell r="L20" t="str">
            <v>061</v>
          </cell>
        </row>
        <row r="21">
          <cell r="L21" t="str">
            <v>072</v>
          </cell>
        </row>
        <row r="22">
          <cell r="L22" t="str">
            <v>081</v>
          </cell>
        </row>
        <row r="23">
          <cell r="L23" t="str">
            <v>091</v>
          </cell>
        </row>
        <row r="24">
          <cell r="L24" t="str">
            <v>101</v>
          </cell>
        </row>
        <row r="25">
          <cell r="L25" t="str">
            <v>111</v>
          </cell>
        </row>
        <row r="26">
          <cell r="L26" t="str">
            <v>121</v>
          </cell>
        </row>
        <row r="27">
          <cell r="L27" t="str">
            <v>131</v>
          </cell>
        </row>
        <row r="28">
          <cell r="A28" t="str">
            <v>0</v>
          </cell>
          <cell r="L28" t="str">
            <v>141</v>
          </cell>
        </row>
        <row r="29">
          <cell r="A29" t="str">
            <v>3</v>
          </cell>
          <cell r="L29" t="str">
            <v>151</v>
          </cell>
        </row>
        <row r="30">
          <cell r="A30" t="str">
            <v>4</v>
          </cell>
          <cell r="L30" t="str">
            <v>161</v>
          </cell>
        </row>
        <row r="31">
          <cell r="A31" t="str">
            <v>5</v>
          </cell>
          <cell r="L31" t="str">
            <v>171</v>
          </cell>
        </row>
        <row r="32">
          <cell r="A32" t="str">
            <v>9</v>
          </cell>
          <cell r="L32" t="str">
            <v>181</v>
          </cell>
        </row>
        <row r="33">
          <cell r="L33" t="str">
            <v>191</v>
          </cell>
        </row>
        <row r="34">
          <cell r="L34" t="str">
            <v>201</v>
          </cell>
        </row>
        <row r="35">
          <cell r="L35" t="str">
            <v>202</v>
          </cell>
        </row>
        <row r="36">
          <cell r="L36" t="str">
            <v>211</v>
          </cell>
        </row>
        <row r="37">
          <cell r="L37" t="str">
            <v>221</v>
          </cell>
        </row>
        <row r="38">
          <cell r="L38" t="str">
            <v>231</v>
          </cell>
        </row>
        <row r="39">
          <cell r="L39" t="str">
            <v>241</v>
          </cell>
        </row>
        <row r="40">
          <cell r="L40" t="str">
            <v>251</v>
          </cell>
        </row>
        <row r="41">
          <cell r="L41" t="str">
            <v>252</v>
          </cell>
        </row>
        <row r="42">
          <cell r="L42" t="str">
            <v>261</v>
          </cell>
        </row>
        <row r="43">
          <cell r="L43" t="str">
            <v>271</v>
          </cell>
        </row>
        <row r="44">
          <cell r="L44" t="str">
            <v>281</v>
          </cell>
        </row>
        <row r="45">
          <cell r="L45" t="str">
            <v>291</v>
          </cell>
        </row>
        <row r="46">
          <cell r="L46" t="str">
            <v>301</v>
          </cell>
        </row>
        <row r="47">
          <cell r="L47" t="str">
            <v>311</v>
          </cell>
        </row>
        <row r="48">
          <cell r="L48" t="str">
            <v>321</v>
          </cell>
        </row>
        <row r="49">
          <cell r="L49" t="str">
            <v>331</v>
          </cell>
        </row>
        <row r="50">
          <cell r="L50" t="str">
            <v>342</v>
          </cell>
        </row>
        <row r="51">
          <cell r="L51" t="str">
            <v>348</v>
          </cell>
        </row>
        <row r="52">
          <cell r="L52" t="str">
            <v>351</v>
          </cell>
        </row>
        <row r="53">
          <cell r="L53" t="str">
            <v>361</v>
          </cell>
        </row>
        <row r="54">
          <cell r="L54" t="str">
            <v>371</v>
          </cell>
        </row>
        <row r="55">
          <cell r="L55" t="str">
            <v>381</v>
          </cell>
        </row>
        <row r="56">
          <cell r="L56" t="str">
            <v>391</v>
          </cell>
        </row>
        <row r="57">
          <cell r="L57" t="str">
            <v>401</v>
          </cell>
        </row>
        <row r="58">
          <cell r="L58" t="str">
            <v>411</v>
          </cell>
        </row>
        <row r="59">
          <cell r="L59" t="str">
            <v>422</v>
          </cell>
        </row>
        <row r="60">
          <cell r="L60" t="str">
            <v>431</v>
          </cell>
        </row>
        <row r="61">
          <cell r="L61" t="str">
            <v>441</v>
          </cell>
        </row>
        <row r="62">
          <cell r="L62" t="str">
            <v>451</v>
          </cell>
        </row>
        <row r="63">
          <cell r="L63" t="str">
            <v>461</v>
          </cell>
        </row>
        <row r="64">
          <cell r="L64" t="str">
            <v>471</v>
          </cell>
        </row>
        <row r="65">
          <cell r="L65" t="str">
            <v>481</v>
          </cell>
        </row>
        <row r="66">
          <cell r="L66" t="str">
            <v>491</v>
          </cell>
        </row>
        <row r="67">
          <cell r="L67" t="str">
            <v>501</v>
          </cell>
        </row>
        <row r="68">
          <cell r="L68" t="str">
            <v>511</v>
          </cell>
        </row>
        <row r="69">
          <cell r="L69" t="str">
            <v>521</v>
          </cell>
        </row>
        <row r="70">
          <cell r="L70" t="str">
            <v>531</v>
          </cell>
        </row>
        <row r="71">
          <cell r="L71" t="str">
            <v>541</v>
          </cell>
        </row>
        <row r="72">
          <cell r="L72" t="str">
            <v>542</v>
          </cell>
        </row>
        <row r="73">
          <cell r="L73" t="str">
            <v>551</v>
          </cell>
        </row>
        <row r="74">
          <cell r="L74" t="str">
            <v>561</v>
          </cell>
        </row>
        <row r="75">
          <cell r="L75" t="str">
            <v>571</v>
          </cell>
        </row>
        <row r="76">
          <cell r="L76" t="str">
            <v>572</v>
          </cell>
        </row>
        <row r="77">
          <cell r="L77" t="str">
            <v>573</v>
          </cell>
        </row>
        <row r="78">
          <cell r="L78" t="str">
            <v>581</v>
          </cell>
        </row>
        <row r="79">
          <cell r="L79" t="str">
            <v>591</v>
          </cell>
        </row>
        <row r="80">
          <cell r="L80" t="str">
            <v>592</v>
          </cell>
        </row>
        <row r="81">
          <cell r="L81" t="str">
            <v>593</v>
          </cell>
        </row>
        <row r="82">
          <cell r="L82" t="str">
            <v>594</v>
          </cell>
        </row>
        <row r="83">
          <cell r="L83" t="str">
            <v>595</v>
          </cell>
        </row>
        <row r="84">
          <cell r="L84" t="str">
            <v>596</v>
          </cell>
        </row>
        <row r="85">
          <cell r="L85" t="str">
            <v>597</v>
          </cell>
        </row>
        <row r="86">
          <cell r="L86" t="str">
            <v>598</v>
          </cell>
        </row>
        <row r="87">
          <cell r="L87" t="str">
            <v>599</v>
          </cell>
        </row>
        <row r="88">
          <cell r="L88" t="str">
            <v>601</v>
          </cell>
        </row>
        <row r="89">
          <cell r="L89" t="str">
            <v>602</v>
          </cell>
        </row>
        <row r="90">
          <cell r="L90" t="str">
            <v>611</v>
          </cell>
        </row>
        <row r="91">
          <cell r="L91" t="str">
            <v>621</v>
          </cell>
        </row>
        <row r="92">
          <cell r="L92" t="str">
            <v>622</v>
          </cell>
        </row>
        <row r="93">
          <cell r="L93" t="str">
            <v>623</v>
          </cell>
        </row>
        <row r="94">
          <cell r="L94" t="str">
            <v>624</v>
          </cell>
        </row>
        <row r="95">
          <cell r="L95" t="str">
            <v>631</v>
          </cell>
        </row>
        <row r="96">
          <cell r="L96" t="str">
            <v>641</v>
          </cell>
        </row>
        <row r="97">
          <cell r="L97" t="str">
            <v>642</v>
          </cell>
        </row>
        <row r="98">
          <cell r="L98" t="str">
            <v>651</v>
          </cell>
        </row>
        <row r="99">
          <cell r="L99" t="str">
            <v>661</v>
          </cell>
        </row>
        <row r="100">
          <cell r="L100" t="str">
            <v>671</v>
          </cell>
        </row>
        <row r="101">
          <cell r="L101" t="str">
            <v>672</v>
          </cell>
        </row>
        <row r="102">
          <cell r="L102" t="str">
            <v>673</v>
          </cell>
        </row>
        <row r="103">
          <cell r="L103" t="str">
            <v>681</v>
          </cell>
        </row>
        <row r="104">
          <cell r="L104" t="str">
            <v>682</v>
          </cell>
        </row>
        <row r="105">
          <cell r="L105" t="str">
            <v>691</v>
          </cell>
        </row>
        <row r="106">
          <cell r="L106" t="str">
            <v>701</v>
          </cell>
        </row>
        <row r="107">
          <cell r="L107" t="str">
            <v>711</v>
          </cell>
        </row>
        <row r="108">
          <cell r="L108" t="str">
            <v>721</v>
          </cell>
        </row>
        <row r="109">
          <cell r="L109" t="str">
            <v>731</v>
          </cell>
        </row>
        <row r="110">
          <cell r="L110" t="str">
            <v>741</v>
          </cell>
        </row>
        <row r="111">
          <cell r="L111" t="str">
            <v>751</v>
          </cell>
        </row>
        <row r="112">
          <cell r="L112" t="str">
            <v>761</v>
          </cell>
        </row>
        <row r="113">
          <cell r="L113" t="str">
            <v>762</v>
          </cell>
        </row>
        <row r="114">
          <cell r="L114" t="str">
            <v>763</v>
          </cell>
        </row>
        <row r="115">
          <cell r="L115" t="str">
            <v>764</v>
          </cell>
        </row>
        <row r="116">
          <cell r="L116" t="str">
            <v>771</v>
          </cell>
        </row>
        <row r="117">
          <cell r="L117" t="str">
            <v>781</v>
          </cell>
        </row>
        <row r="118">
          <cell r="L118" t="str">
            <v>791</v>
          </cell>
        </row>
        <row r="119">
          <cell r="L119" t="str">
            <v>801</v>
          </cell>
        </row>
        <row r="120">
          <cell r="L120" t="str">
            <v>811</v>
          </cell>
        </row>
        <row r="121">
          <cell r="L121" t="str">
            <v>821</v>
          </cell>
        </row>
        <row r="122">
          <cell r="L122" t="str">
            <v>831</v>
          </cell>
        </row>
        <row r="123">
          <cell r="L123" t="str">
            <v>841</v>
          </cell>
        </row>
        <row r="124">
          <cell r="L124" t="str">
            <v>851</v>
          </cell>
        </row>
        <row r="125">
          <cell r="L125" t="str">
            <v>861</v>
          </cell>
        </row>
        <row r="126">
          <cell r="L126" t="str">
            <v>871</v>
          </cell>
        </row>
        <row r="127">
          <cell r="L127" t="str">
            <v>881</v>
          </cell>
        </row>
        <row r="128">
          <cell r="L128" t="str">
            <v>891</v>
          </cell>
        </row>
        <row r="129">
          <cell r="L129" t="str">
            <v>901</v>
          </cell>
        </row>
        <row r="130">
          <cell r="L130" t="str">
            <v>908</v>
          </cell>
        </row>
        <row r="131">
          <cell r="L131" t="str">
            <v>911</v>
          </cell>
        </row>
        <row r="132">
          <cell r="L132" t="str">
            <v>921</v>
          </cell>
        </row>
        <row r="133">
          <cell r="L133" t="str">
            <v>931</v>
          </cell>
        </row>
        <row r="134">
          <cell r="L134" t="str">
            <v>941</v>
          </cell>
        </row>
        <row r="135">
          <cell r="L135" t="str">
            <v>951</v>
          </cell>
        </row>
        <row r="136">
          <cell r="L136" t="str">
            <v>971</v>
          </cell>
        </row>
        <row r="137">
          <cell r="L137" t="str">
            <v>972</v>
          </cell>
        </row>
        <row r="138">
          <cell r="L138" t="str">
            <v>973</v>
          </cell>
        </row>
        <row r="139">
          <cell r="L139" t="str">
            <v>974</v>
          </cell>
        </row>
        <row r="140">
          <cell r="L140" t="str">
            <v>976</v>
          </cell>
        </row>
        <row r="141">
          <cell r="L141" t="str">
            <v>999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tabColor rgb="FF002060"/>
    <pageSetUpPr fitToPage="1"/>
  </sheetPr>
  <dimension ref="A1:A2"/>
  <sheetViews>
    <sheetView tabSelected="1" view="pageBreakPreview" zoomScale="85" zoomScaleNormal="100" zoomScaleSheetLayoutView="85" workbookViewId="0">
      <selection activeCell="A29" sqref="A29"/>
    </sheetView>
  </sheetViews>
  <sheetFormatPr baseColWidth="10" defaultRowHeight="15" x14ac:dyDescent="0.25"/>
  <cols>
    <col min="1" max="1" width="255.5703125" customWidth="1"/>
  </cols>
  <sheetData>
    <row r="1" spans="1:1" s="1" customFormat="1" ht="101.25" customHeight="1" x14ac:dyDescent="0.25">
      <c r="A1" s="196" t="s">
        <v>940</v>
      </c>
    </row>
    <row r="2" spans="1:1" s="34" customFormat="1" ht="409.6" customHeight="1" x14ac:dyDescent="0.25">
      <c r="A2" s="325" t="s">
        <v>866</v>
      </c>
    </row>
  </sheetData>
  <sheetProtection algorithmName="SHA-512" hashValue="UbP7T+F/1jHCRHZlViUSj5yG51syVjzYd1vdvEW4BGWzuvyhesvG1xAjpAJnDrhu17yGLUUriyWb7/GzUx205w==" saltValue="4Xn3yT1LJJPcL6LnqyaPVw==" spinCount="100000" sheet="1" objects="1" scenarios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landscape" r:id="rId1"/>
  <headerFooter>
    <oddHeader>&amp;C&amp;"-,Gras"&amp;14&amp;U&amp;F / &amp;A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002060"/>
    <pageSetUpPr fitToPage="1"/>
  </sheetPr>
  <dimension ref="A1:B42"/>
  <sheetViews>
    <sheetView view="pageBreakPreview" zoomScale="115" zoomScaleNormal="100" zoomScaleSheetLayoutView="115" workbookViewId="0">
      <pane ySplit="1" topLeftCell="A2" activePane="bottomLeft" state="frozen"/>
      <selection activeCell="N45" sqref="N45"/>
      <selection pane="bottomLeft"/>
    </sheetView>
  </sheetViews>
  <sheetFormatPr baseColWidth="10" defaultColWidth="11.42578125" defaultRowHeight="15" x14ac:dyDescent="0.25"/>
  <cols>
    <col min="1" max="1" width="60.42578125" style="326" customWidth="1"/>
    <col min="2" max="16384" width="11.42578125" style="326"/>
  </cols>
  <sheetData>
    <row r="1" spans="1:1" ht="30" customHeight="1" x14ac:dyDescent="0.25">
      <c r="A1" s="454" t="s">
        <v>396</v>
      </c>
    </row>
    <row r="2" spans="1:1" ht="30" customHeight="1" x14ac:dyDescent="0.25">
      <c r="A2" s="454" t="s">
        <v>215</v>
      </c>
    </row>
    <row r="3" spans="1:1" ht="30" customHeight="1" x14ac:dyDescent="0.25">
      <c r="A3" s="454" t="s">
        <v>849</v>
      </c>
    </row>
    <row r="4" spans="1:1" ht="30" customHeight="1" x14ac:dyDescent="0.25">
      <c r="A4" s="455" t="s">
        <v>828</v>
      </c>
    </row>
    <row r="5" spans="1:1" ht="30" customHeight="1" x14ac:dyDescent="0.25">
      <c r="A5" s="455" t="s">
        <v>829</v>
      </c>
    </row>
    <row r="6" spans="1:1" ht="30" customHeight="1" x14ac:dyDescent="0.25">
      <c r="A6" s="455" t="s">
        <v>830</v>
      </c>
    </row>
    <row r="7" spans="1:1" ht="30" customHeight="1" x14ac:dyDescent="0.25">
      <c r="A7" s="455" t="s">
        <v>831</v>
      </c>
    </row>
    <row r="8" spans="1:1" ht="30" customHeight="1" x14ac:dyDescent="0.25">
      <c r="A8" s="455" t="s">
        <v>832</v>
      </c>
    </row>
    <row r="9" spans="1:1" ht="30" customHeight="1" x14ac:dyDescent="0.25">
      <c r="A9" s="455" t="s">
        <v>833</v>
      </c>
    </row>
    <row r="10" spans="1:1" ht="30" customHeight="1" x14ac:dyDescent="0.25">
      <c r="A10" s="455" t="s">
        <v>834</v>
      </c>
    </row>
    <row r="11" spans="1:1" ht="30" customHeight="1" x14ac:dyDescent="0.25">
      <c r="A11" s="455" t="s">
        <v>835</v>
      </c>
    </row>
    <row r="12" spans="1:1" ht="30" customHeight="1" x14ac:dyDescent="0.25">
      <c r="A12" s="455" t="s">
        <v>836</v>
      </c>
    </row>
    <row r="13" spans="1:1" ht="30" customHeight="1" x14ac:dyDescent="0.25">
      <c r="A13" s="455" t="s">
        <v>837</v>
      </c>
    </row>
    <row r="14" spans="1:1" ht="30" customHeight="1" x14ac:dyDescent="0.25">
      <c r="A14" s="455" t="s">
        <v>838</v>
      </c>
    </row>
    <row r="15" spans="1:1" ht="30" customHeight="1" x14ac:dyDescent="0.25">
      <c r="A15" s="455" t="s">
        <v>839</v>
      </c>
    </row>
    <row r="16" spans="1:1" ht="30" customHeight="1" x14ac:dyDescent="0.25">
      <c r="A16" s="455" t="s">
        <v>840</v>
      </c>
    </row>
    <row r="17" spans="1:2" ht="30" customHeight="1" x14ac:dyDescent="0.25">
      <c r="A17" s="455" t="s">
        <v>841</v>
      </c>
    </row>
    <row r="18" spans="1:2" ht="30" customHeight="1" x14ac:dyDescent="0.25">
      <c r="A18" s="455" t="s">
        <v>842</v>
      </c>
    </row>
    <row r="19" spans="1:2" ht="30" customHeight="1" x14ac:dyDescent="0.25">
      <c r="A19" s="455" t="s">
        <v>843</v>
      </c>
    </row>
    <row r="20" spans="1:2" ht="30" customHeight="1" x14ac:dyDescent="0.25">
      <c r="A20" s="528" t="s">
        <v>894</v>
      </c>
    </row>
    <row r="21" spans="1:2" ht="30" customHeight="1" x14ac:dyDescent="0.25">
      <c r="A21" s="527" t="s">
        <v>929</v>
      </c>
    </row>
    <row r="22" spans="1:2" ht="30" customHeight="1" x14ac:dyDescent="0.25">
      <c r="A22" s="527" t="s">
        <v>930</v>
      </c>
    </row>
    <row r="23" spans="1:2" ht="30" customHeight="1" x14ac:dyDescent="0.25">
      <c r="A23" s="527" t="s">
        <v>931</v>
      </c>
    </row>
    <row r="24" spans="1:2" ht="30" customHeight="1" x14ac:dyDescent="0.25">
      <c r="A24" s="456" t="s">
        <v>844</v>
      </c>
    </row>
    <row r="25" spans="1:2" ht="30" customHeight="1" x14ac:dyDescent="0.25">
      <c r="A25" s="456" t="s">
        <v>845</v>
      </c>
    </row>
    <row r="26" spans="1:2" ht="30" customHeight="1" x14ac:dyDescent="0.25">
      <c r="A26" s="456" t="s">
        <v>847</v>
      </c>
    </row>
    <row r="27" spans="1:2" ht="30" customHeight="1" x14ac:dyDescent="0.25">
      <c r="A27" s="456" t="s">
        <v>846</v>
      </c>
    </row>
    <row r="28" spans="1:2" ht="30" customHeight="1" x14ac:dyDescent="0.25">
      <c r="A28" s="460" t="s">
        <v>475</v>
      </c>
      <c r="B28" s="459"/>
    </row>
    <row r="29" spans="1:2" ht="30" customHeight="1" x14ac:dyDescent="0.25">
      <c r="A29" s="457" t="s">
        <v>476</v>
      </c>
      <c r="B29" s="459"/>
    </row>
    <row r="30" spans="1:2" ht="30" customHeight="1" x14ac:dyDescent="0.25">
      <c r="A30" s="458" t="s">
        <v>248</v>
      </c>
      <c r="B30" s="459"/>
    </row>
    <row r="31" spans="1:2" ht="30" customHeight="1" x14ac:dyDescent="0.25">
      <c r="A31" s="458" t="s">
        <v>481</v>
      </c>
      <c r="B31" s="459"/>
    </row>
    <row r="32" spans="1:2" ht="30" customHeight="1" x14ac:dyDescent="0.25">
      <c r="A32" s="458" t="s">
        <v>533</v>
      </c>
      <c r="B32" s="459"/>
    </row>
    <row r="33" spans="1:2" ht="30" customHeight="1" x14ac:dyDescent="0.25">
      <c r="A33" s="458" t="s">
        <v>249</v>
      </c>
      <c r="B33" s="459"/>
    </row>
    <row r="34" spans="1:2" ht="30" customHeight="1" x14ac:dyDescent="0.25">
      <c r="A34" s="458" t="s">
        <v>534</v>
      </c>
      <c r="B34" s="459"/>
    </row>
    <row r="35" spans="1:2" ht="30" customHeight="1" x14ac:dyDescent="0.25">
      <c r="A35" s="458" t="s">
        <v>535</v>
      </c>
      <c r="B35" s="459"/>
    </row>
    <row r="36" spans="1:2" ht="30" customHeight="1" x14ac:dyDescent="0.25">
      <c r="A36" s="458" t="s">
        <v>477</v>
      </c>
      <c r="B36" s="459"/>
    </row>
    <row r="37" spans="1:2" ht="30" customHeight="1" x14ac:dyDescent="0.25">
      <c r="A37" s="458" t="s">
        <v>478</v>
      </c>
      <c r="B37" s="459"/>
    </row>
    <row r="38" spans="1:2" ht="30" customHeight="1" x14ac:dyDescent="0.25">
      <c r="A38" s="458" t="s">
        <v>250</v>
      </c>
      <c r="B38" s="459"/>
    </row>
    <row r="39" spans="1:2" ht="30" customHeight="1" x14ac:dyDescent="0.25">
      <c r="A39" s="458" t="s">
        <v>479</v>
      </c>
      <c r="B39" s="459"/>
    </row>
    <row r="40" spans="1:2" ht="30" customHeight="1" x14ac:dyDescent="0.25">
      <c r="A40" s="458" t="s">
        <v>480</v>
      </c>
      <c r="B40" s="459"/>
    </row>
    <row r="41" spans="1:2" ht="30" customHeight="1" x14ac:dyDescent="0.25">
      <c r="A41" s="458" t="s">
        <v>392</v>
      </c>
      <c r="B41" s="459"/>
    </row>
    <row r="42" spans="1:2" ht="30" customHeight="1" x14ac:dyDescent="0.25">
      <c r="A42" s="458" t="s">
        <v>416</v>
      </c>
      <c r="B42" s="459"/>
    </row>
  </sheetData>
  <sheetProtection algorithmName="SHA-512" hashValue="4ZQNt4p2QyEd3Klj/fFN06rLV4HwbBJndMvk2wPnTXSBEmhmQJGLvp27RqDOt4uLF0eqIYLL8vXpxoBQDs95Sg==" saltValue="7G96yA1euuZyNXwXLmXVRQ==" spinCount="100000" sheet="1" objects="1" scenarios="1"/>
  <hyperlinks>
    <hyperlink ref="A1" location="'PREAMBULE'!A1" display="PREAMBULE"/>
    <hyperlink ref="A2" location="'Table matière'!A1" display="Table matière"/>
    <hyperlink ref="A3" location="'LISTE DES CAS ANNEXE 30'!A1" display="LISTE DES CAS ANNEXE 30"/>
    <hyperlink ref="A4" location="'CONVENTION CAS 1'!A1" display="CONVENTION CAS 1"/>
    <hyperlink ref="A5" location="'CONVENTION CAS 2'!A1" display="CONVENTION CAS 2"/>
    <hyperlink ref="A6" location="'CONVENTION CAS 3'!A1" display="CONVENTION CAS 3"/>
    <hyperlink ref="A7" location="'CONVENTION CAS 4'!A1" display="CONVENTION CAS 4"/>
    <hyperlink ref="A8" location="'CONVENTION CAS 5'!A1" display="CONVENTION CAS 5"/>
    <hyperlink ref="A9" location="'CONVENTION CAS 6'!A1" display="CONVENTION CAS 6"/>
    <hyperlink ref="A10" location="'CONVENTION CAS 7'!A1" display="CONVENTION CAS 7"/>
    <hyperlink ref="A11" location="'CONVENTION CAS 8'!A1" display="CONVENTION CAS 8"/>
    <hyperlink ref="A12" location="'CONVENTION CAS 9'!A1" display="CONVENTION CAS 9"/>
    <hyperlink ref="A13" location="'CONVENTION CAS 10'!A1" display="CONVENTION CAS 10"/>
    <hyperlink ref="A14" location="'CONVENTION CAS 11'!A1" display="CONVENTION CAS 11"/>
    <hyperlink ref="A15" location="'CONVENTION CAS 12'!A1" display="CONVENTION CAS 12"/>
    <hyperlink ref="A16" location="'CONVENTION CAS 13'!A1" display="CONVENTION CAS 13"/>
    <hyperlink ref="A17" location="'CONVENTION CAS 14'!A1" display="CONVENTION CAS 14"/>
    <hyperlink ref="A18" location="'CONVENTION CAS 15'!A1" display="CONVENTION CAS 15"/>
    <hyperlink ref="A19" location="'CONVENTION CAS 16'!A1" display="CONVENTION CAS 16"/>
    <hyperlink ref="A24" location="'TP CONTRE TP CAS 1'!A1" display="TP CONTRE TP CAS 1"/>
    <hyperlink ref="A25" location="'TP CONTRE TP CAS 2'!A1" display="TP CONTRE TP CAS 2"/>
    <hyperlink ref="A26" location="'TP CONTRE TP CAS 3'!A1" display="TP CONTRE TP CAS 3"/>
    <hyperlink ref="A27" location="'TP CONTRE TP CAS 4'!A1" display="TP CONTRE TP CAS 4"/>
    <hyperlink ref="A28" location="'TABLES PARAMETRES METIERS'!A1" display="TABLES PARAMETRES METIERS"/>
    <hyperlink ref="A29" location="'CARACTERISTIQUES SOCIETES TAXI'!A1" display="CARACTERISTIQUES SOCIETES TAXI"/>
    <hyperlink ref="A30" location="'METIER FORFAIT TAXI'!A1" display="METIER FORFAIT TAXI"/>
    <hyperlink ref="A31" location="'LISTE DE PRESCRIPTEURS'!A1" display="LISTE DE PRESCRIPTEURS"/>
    <hyperlink ref="A32" location="'CODES COMMUNE &amp; GRANDES VILLES'!A1" display="CODES COMMUNE &amp; GRANDES VILLES"/>
    <hyperlink ref="A33" location="'METIER KM TAXI'!A1" display="METIER KM TAXI"/>
    <hyperlink ref="A34" location="'METIER %KM ALLER RETOUR A VIDE'!A1" display="METIER %KM ALLER RETOUR A VIDE"/>
    <hyperlink ref="A35" location="'SEUIL N1 KM ALLER RETOUR A VIDE'!A1" display="SEUIL N1 KM ALLER RETOUR A VIDE"/>
    <hyperlink ref="A36" location="'METIER SUPPL FORFAITAIRE TAXI'!A1" display="METIER SUPPL FORFAITAIRE TAXI"/>
    <hyperlink ref="A37" location="'METIER SUPPLEMENT TPMR'!A1" display="METIER SUPPLEMENT TPMR"/>
    <hyperlink ref="A38" location="'METIER MAJO Nu Di Jf TAXI'!A1" display="METIER MAJO Nu Di Jf TAXI"/>
    <hyperlink ref="A39" location="'METIER % ABATT TPARTAGE TAXI'!A1" display="METIER % ABATT TPARTAGE TAXI"/>
    <hyperlink ref="A40" location="'METIER SEUIL X KM SEUL ABATT'!A1" display="METIER SEUIL X KM SEUL ABATT"/>
    <hyperlink ref="A41" location="'B2 CODES ACTES NELLE CONVENTION'!A1" display="B2 CODES ACTES NELLE CONVENTION"/>
    <hyperlink ref="A42" location="'B2 CODES ACTES TP TP'!A1" display="B2 CODES ACTES TP TP"/>
    <hyperlink ref="A20" location="'CONVENTION CAS 17'!A1" display="CONVENTION CAS 17"/>
    <hyperlink ref="A22" location="'CONVENTION CAS 19'!A1" display="CONVENTION CAS 19"/>
    <hyperlink ref="A23" location="'CONVENTION CAS 20'!A1" display="CONVENTION CAS 20"/>
    <hyperlink ref="A21" location="'CONVENTION CAS 18'!A1" display="CONVENTION CAS 18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orientation="portrait" r:id="rId1"/>
  <headerFooter>
    <oddHeader>&amp;C&amp;"-,Gras"&amp;14&amp;U&amp;F / &amp;A</oddHead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rgb="FF002060"/>
    <pageSetUpPr fitToPage="1"/>
  </sheetPr>
  <dimension ref="A1:Z65"/>
  <sheetViews>
    <sheetView view="pageBreakPreview" zoomScale="70" zoomScaleNormal="70" zoomScaleSheetLayoutView="70" workbookViewId="0">
      <pane ySplit="2" topLeftCell="A3" activePane="bottomLeft" state="frozen"/>
      <selection pane="bottomLeft" activeCell="F37" sqref="F37"/>
    </sheetView>
  </sheetViews>
  <sheetFormatPr baseColWidth="10" defaultColWidth="11.42578125" defaultRowHeight="15" x14ac:dyDescent="0.25"/>
  <cols>
    <col min="1" max="1" width="36.42578125" style="1" customWidth="1"/>
    <col min="2" max="8" width="17.7109375" style="1" customWidth="1"/>
    <col min="9" max="9" width="21.42578125" style="1" customWidth="1"/>
    <col min="10" max="10" width="22.7109375" style="1" customWidth="1"/>
    <col min="11" max="11" width="24.28515625" style="1" customWidth="1"/>
    <col min="12" max="18" width="25.85546875" style="1" customWidth="1"/>
    <col min="19" max="19" width="23" style="1" customWidth="1"/>
    <col min="20" max="20" width="17" style="1" customWidth="1"/>
    <col min="21" max="24" width="20" style="1" customWidth="1"/>
    <col min="25" max="25" width="38.140625" style="1" customWidth="1"/>
    <col min="26" max="26" width="35.85546875" style="1" customWidth="1"/>
    <col min="27" max="16384" width="11.42578125" style="1"/>
  </cols>
  <sheetData>
    <row r="1" spans="1:26" ht="56.25" customHeight="1" thickBot="1" x14ac:dyDescent="0.3">
      <c r="A1" s="591" t="s">
        <v>862</v>
      </c>
      <c r="B1" s="592"/>
      <c r="C1" s="593"/>
      <c r="D1" s="582" t="s">
        <v>928</v>
      </c>
      <c r="E1" s="583"/>
      <c r="F1" s="583"/>
      <c r="G1" s="583"/>
      <c r="H1" s="584"/>
      <c r="I1" s="585" t="s">
        <v>412</v>
      </c>
      <c r="J1" s="586"/>
      <c r="K1" s="587" t="s">
        <v>403</v>
      </c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8"/>
      <c r="X1" s="588"/>
      <c r="Y1" s="588"/>
      <c r="Z1" s="589"/>
    </row>
    <row r="2" spans="1:26" s="206" customFormat="1" ht="56.25" customHeight="1" x14ac:dyDescent="0.25">
      <c r="A2" s="347" t="s">
        <v>401</v>
      </c>
      <c r="B2" s="348" t="s">
        <v>402</v>
      </c>
      <c r="C2" s="349" t="s">
        <v>406</v>
      </c>
      <c r="D2" s="347" t="s">
        <v>265</v>
      </c>
      <c r="E2" s="348" t="s">
        <v>408</v>
      </c>
      <c r="F2" s="349" t="s">
        <v>926</v>
      </c>
      <c r="G2" s="349" t="s">
        <v>927</v>
      </c>
      <c r="H2" s="349" t="s">
        <v>409</v>
      </c>
      <c r="I2" s="347" t="s">
        <v>415</v>
      </c>
      <c r="J2" s="349" t="s">
        <v>413</v>
      </c>
      <c r="K2" s="350" t="s">
        <v>434</v>
      </c>
      <c r="L2" s="351" t="s">
        <v>435</v>
      </c>
      <c r="M2" s="351" t="s">
        <v>436</v>
      </c>
      <c r="N2" s="351" t="s">
        <v>437</v>
      </c>
      <c r="O2" s="351" t="s">
        <v>528</v>
      </c>
      <c r="P2" s="351" t="s">
        <v>531</v>
      </c>
      <c r="Q2" s="351" t="s">
        <v>529</v>
      </c>
      <c r="R2" s="351" t="s">
        <v>530</v>
      </c>
      <c r="S2" s="351" t="s">
        <v>398</v>
      </c>
      <c r="T2" s="351" t="s">
        <v>399</v>
      </c>
      <c r="U2" s="351" t="s">
        <v>276</v>
      </c>
      <c r="V2" s="351" t="s">
        <v>404</v>
      </c>
      <c r="W2" s="351" t="s">
        <v>510</v>
      </c>
      <c r="X2" s="351" t="s">
        <v>405</v>
      </c>
      <c r="Y2" s="351" t="s">
        <v>547</v>
      </c>
      <c r="Z2" s="352" t="s">
        <v>400</v>
      </c>
    </row>
    <row r="3" spans="1:26" s="68" customFormat="1" ht="50.1" customHeight="1" x14ac:dyDescent="0.25">
      <c r="A3" s="505" t="s">
        <v>828</v>
      </c>
      <c r="B3" s="506">
        <v>1</v>
      </c>
      <c r="C3" s="506">
        <v>1</v>
      </c>
      <c r="D3" s="479" t="s">
        <v>410</v>
      </c>
      <c r="E3" s="211">
        <v>0.55000000000000004</v>
      </c>
      <c r="F3" s="207" t="s">
        <v>268</v>
      </c>
      <c r="G3" s="207" t="s">
        <v>268</v>
      </c>
      <c r="H3" s="207" t="s">
        <v>268</v>
      </c>
      <c r="I3" s="507" t="s">
        <v>861</v>
      </c>
      <c r="J3" s="508" t="s">
        <v>414</v>
      </c>
      <c r="K3" s="490" t="s">
        <v>541</v>
      </c>
      <c r="L3" s="490" t="s">
        <v>541</v>
      </c>
      <c r="M3" s="491" t="s">
        <v>548</v>
      </c>
      <c r="N3" s="491" t="s">
        <v>549</v>
      </c>
      <c r="O3" s="509" t="s">
        <v>542</v>
      </c>
      <c r="P3" s="509" t="s">
        <v>550</v>
      </c>
      <c r="Q3" s="510" t="s">
        <v>196</v>
      </c>
      <c r="R3" s="510" t="s">
        <v>551</v>
      </c>
      <c r="S3" s="315">
        <v>3</v>
      </c>
      <c r="T3" s="511" t="s">
        <v>850</v>
      </c>
      <c r="U3" s="494">
        <v>1</v>
      </c>
      <c r="V3" s="207" t="s">
        <v>268</v>
      </c>
      <c r="W3" s="207" t="s">
        <v>268</v>
      </c>
      <c r="X3" s="207" t="s">
        <v>268</v>
      </c>
      <c r="Y3" s="207" t="s">
        <v>268</v>
      </c>
      <c r="Z3" s="507" t="s">
        <v>861</v>
      </c>
    </row>
    <row r="4" spans="1:26" ht="5.0999999999999996" customHeight="1" x14ac:dyDescent="0.35">
      <c r="A4" s="558"/>
      <c r="B4" s="559"/>
      <c r="C4" s="560"/>
      <c r="D4" s="560"/>
      <c r="E4" s="561"/>
      <c r="F4" s="560"/>
      <c r="G4" s="560"/>
      <c r="H4" s="560"/>
      <c r="I4" s="560"/>
      <c r="J4" s="560"/>
      <c r="K4" s="562"/>
      <c r="L4" s="562"/>
      <c r="M4" s="562"/>
      <c r="N4" s="562"/>
      <c r="O4" s="562"/>
      <c r="P4" s="563"/>
      <c r="Q4" s="563"/>
      <c r="R4" s="563"/>
      <c r="S4" s="564"/>
      <c r="T4" s="565"/>
      <c r="U4" s="560"/>
      <c r="V4" s="560"/>
      <c r="W4" s="560"/>
      <c r="X4" s="560"/>
      <c r="Y4" s="560"/>
      <c r="Z4" s="566"/>
    </row>
    <row r="5" spans="1:26" ht="50.1" customHeight="1" x14ac:dyDescent="0.25">
      <c r="A5" s="505" t="s">
        <v>829</v>
      </c>
      <c r="B5" s="506">
        <v>1</v>
      </c>
      <c r="C5" s="506">
        <v>1</v>
      </c>
      <c r="D5" s="479" t="s">
        <v>410</v>
      </c>
      <c r="E5" s="211">
        <v>0.55000000000000004</v>
      </c>
      <c r="F5" s="207" t="s">
        <v>268</v>
      </c>
      <c r="G5" s="207" t="s">
        <v>268</v>
      </c>
      <c r="H5" s="207" t="s">
        <v>268</v>
      </c>
      <c r="I5" s="507" t="s">
        <v>861</v>
      </c>
      <c r="J5" s="508" t="s">
        <v>414</v>
      </c>
      <c r="K5" s="512" t="s">
        <v>527</v>
      </c>
      <c r="L5" s="490" t="s">
        <v>539</v>
      </c>
      <c r="M5" s="491" t="s">
        <v>548</v>
      </c>
      <c r="N5" s="491" t="s">
        <v>549</v>
      </c>
      <c r="O5" s="492" t="s">
        <v>543</v>
      </c>
      <c r="P5" s="493" t="s">
        <v>552</v>
      </c>
      <c r="Q5" s="493" t="s">
        <v>197</v>
      </c>
      <c r="R5" s="493" t="s">
        <v>553</v>
      </c>
      <c r="S5" s="315">
        <v>3</v>
      </c>
      <c r="T5" s="511" t="s">
        <v>850</v>
      </c>
      <c r="U5" s="494">
        <v>1</v>
      </c>
      <c r="V5" s="207" t="s">
        <v>268</v>
      </c>
      <c r="W5" s="207" t="s">
        <v>268</v>
      </c>
      <c r="X5" s="207" t="s">
        <v>268</v>
      </c>
      <c r="Y5" s="207" t="s">
        <v>268</v>
      </c>
      <c r="Z5" s="507" t="s">
        <v>861</v>
      </c>
    </row>
    <row r="6" spans="1:26" ht="5.0999999999999996" customHeight="1" x14ac:dyDescent="0.35">
      <c r="A6" s="558"/>
      <c r="B6" s="559"/>
      <c r="C6" s="560"/>
      <c r="D6" s="560"/>
      <c r="E6" s="561"/>
      <c r="F6" s="560"/>
      <c r="G6" s="560"/>
      <c r="H6" s="560"/>
      <c r="I6" s="560"/>
      <c r="J6" s="560"/>
      <c r="K6" s="562"/>
      <c r="L6" s="562"/>
      <c r="M6" s="562"/>
      <c r="N6" s="562"/>
      <c r="O6" s="562"/>
      <c r="P6" s="563"/>
      <c r="Q6" s="563"/>
      <c r="R6" s="563"/>
      <c r="S6" s="564"/>
      <c r="T6" s="565"/>
      <c r="U6" s="560"/>
      <c r="V6" s="560"/>
      <c r="W6" s="560"/>
      <c r="X6" s="560"/>
      <c r="Y6" s="560"/>
      <c r="Z6" s="566"/>
    </row>
    <row r="7" spans="1:26" ht="50.1" customHeight="1" x14ac:dyDescent="0.25">
      <c r="A7" s="505" t="s">
        <v>830</v>
      </c>
      <c r="B7" s="506">
        <v>1</v>
      </c>
      <c r="C7" s="506">
        <v>1</v>
      </c>
      <c r="D7" s="479" t="s">
        <v>410</v>
      </c>
      <c r="E7" s="211">
        <v>0.55000000000000004</v>
      </c>
      <c r="F7" s="207" t="s">
        <v>268</v>
      </c>
      <c r="G7" s="207" t="s">
        <v>268</v>
      </c>
      <c r="H7" s="207" t="s">
        <v>268</v>
      </c>
      <c r="I7" s="507" t="s">
        <v>861</v>
      </c>
      <c r="J7" s="508" t="s">
        <v>414</v>
      </c>
      <c r="K7" s="512" t="s">
        <v>527</v>
      </c>
      <c r="L7" s="490" t="s">
        <v>541</v>
      </c>
      <c r="M7" s="491" t="s">
        <v>548</v>
      </c>
      <c r="N7" s="491" t="s">
        <v>554</v>
      </c>
      <c r="O7" s="492" t="s">
        <v>543</v>
      </c>
      <c r="P7" s="493" t="s">
        <v>552</v>
      </c>
      <c r="Q7" s="493" t="s">
        <v>197</v>
      </c>
      <c r="R7" s="493" t="s">
        <v>553</v>
      </c>
      <c r="S7" s="315">
        <v>63</v>
      </c>
      <c r="T7" s="511" t="s">
        <v>850</v>
      </c>
      <c r="U7" s="494">
        <v>1</v>
      </c>
      <c r="V7" s="207" t="s">
        <v>268</v>
      </c>
      <c r="W7" s="207" t="s">
        <v>268</v>
      </c>
      <c r="X7" s="207" t="s">
        <v>268</v>
      </c>
      <c r="Y7" s="207" t="s">
        <v>268</v>
      </c>
      <c r="Z7" s="507" t="s">
        <v>861</v>
      </c>
    </row>
    <row r="8" spans="1:26" ht="5.0999999999999996" customHeight="1" x14ac:dyDescent="0.35">
      <c r="A8" s="558"/>
      <c r="B8" s="559"/>
      <c r="C8" s="560"/>
      <c r="D8" s="560"/>
      <c r="E8" s="561"/>
      <c r="F8" s="560"/>
      <c r="G8" s="560"/>
      <c r="H8" s="560"/>
      <c r="I8" s="560"/>
      <c r="J8" s="560"/>
      <c r="K8" s="562"/>
      <c r="L8" s="562"/>
      <c r="M8" s="562"/>
      <c r="N8" s="562"/>
      <c r="O8" s="562"/>
      <c r="P8" s="563"/>
      <c r="Q8" s="563"/>
      <c r="R8" s="563"/>
      <c r="S8" s="564"/>
      <c r="T8" s="565"/>
      <c r="U8" s="560"/>
      <c r="V8" s="560"/>
      <c r="W8" s="560"/>
      <c r="X8" s="560"/>
      <c r="Y8" s="560"/>
      <c r="Z8" s="566"/>
    </row>
    <row r="9" spans="1:26" ht="50.1" customHeight="1" x14ac:dyDescent="0.25">
      <c r="A9" s="505" t="s">
        <v>831</v>
      </c>
      <c r="B9" s="506">
        <v>1</v>
      </c>
      <c r="C9" s="506">
        <v>1</v>
      </c>
      <c r="D9" s="479" t="s">
        <v>410</v>
      </c>
      <c r="E9" s="211">
        <v>0.55000000000000004</v>
      </c>
      <c r="F9" s="207" t="s">
        <v>268</v>
      </c>
      <c r="G9" s="207" t="s">
        <v>268</v>
      </c>
      <c r="H9" s="207" t="s">
        <v>268</v>
      </c>
      <c r="I9" s="507" t="s">
        <v>861</v>
      </c>
      <c r="J9" s="508" t="s">
        <v>414</v>
      </c>
      <c r="K9" s="490" t="s">
        <v>541</v>
      </c>
      <c r="L9" s="512" t="s">
        <v>527</v>
      </c>
      <c r="M9" s="491" t="s">
        <v>548</v>
      </c>
      <c r="N9" s="491" t="s">
        <v>554</v>
      </c>
      <c r="O9" s="509" t="s">
        <v>542</v>
      </c>
      <c r="P9" s="509" t="s">
        <v>550</v>
      </c>
      <c r="Q9" s="510" t="s">
        <v>196</v>
      </c>
      <c r="R9" s="510" t="s">
        <v>551</v>
      </c>
      <c r="S9" s="315">
        <v>63</v>
      </c>
      <c r="T9" s="511" t="s">
        <v>850</v>
      </c>
      <c r="U9" s="494">
        <v>1</v>
      </c>
      <c r="V9" s="207" t="s">
        <v>268</v>
      </c>
      <c r="W9" s="207" t="s">
        <v>268</v>
      </c>
      <c r="X9" s="207" t="s">
        <v>268</v>
      </c>
      <c r="Y9" s="208" t="s">
        <v>267</v>
      </c>
      <c r="Z9" s="507" t="s">
        <v>861</v>
      </c>
    </row>
    <row r="10" spans="1:26" ht="5.0999999999999996" customHeight="1" x14ac:dyDescent="0.35">
      <c r="A10" s="558"/>
      <c r="B10" s="559"/>
      <c r="C10" s="560"/>
      <c r="D10" s="560"/>
      <c r="E10" s="561"/>
      <c r="F10" s="560"/>
      <c r="G10" s="560"/>
      <c r="H10" s="560"/>
      <c r="I10" s="560"/>
      <c r="J10" s="560"/>
      <c r="K10" s="562"/>
      <c r="L10" s="562"/>
      <c r="M10" s="562"/>
      <c r="N10" s="562"/>
      <c r="O10" s="562"/>
      <c r="P10" s="563"/>
      <c r="Q10" s="563"/>
      <c r="R10" s="563"/>
      <c r="S10" s="564"/>
      <c r="T10" s="565"/>
      <c r="U10" s="560"/>
      <c r="V10" s="560"/>
      <c r="W10" s="560"/>
      <c r="X10" s="560"/>
      <c r="Y10" s="560"/>
      <c r="Z10" s="566"/>
    </row>
    <row r="11" spans="1:26" ht="50.1" customHeight="1" x14ac:dyDescent="0.25">
      <c r="A11" s="505" t="s">
        <v>832</v>
      </c>
      <c r="B11" s="506">
        <v>1</v>
      </c>
      <c r="C11" s="506">
        <v>1</v>
      </c>
      <c r="D11" s="479" t="s">
        <v>410</v>
      </c>
      <c r="E11" s="211">
        <v>0.55000000000000004</v>
      </c>
      <c r="F11" s="207" t="s">
        <v>268</v>
      </c>
      <c r="G11" s="207" t="s">
        <v>268</v>
      </c>
      <c r="H11" s="207" t="s">
        <v>268</v>
      </c>
      <c r="I11" s="507" t="s">
        <v>861</v>
      </c>
      <c r="J11" s="508" t="s">
        <v>414</v>
      </c>
      <c r="K11" s="490" t="s">
        <v>541</v>
      </c>
      <c r="L11" s="490" t="s">
        <v>540</v>
      </c>
      <c r="M11" s="491" t="s">
        <v>548</v>
      </c>
      <c r="N11" s="491" t="s">
        <v>555</v>
      </c>
      <c r="O11" s="509" t="s">
        <v>542</v>
      </c>
      <c r="P11" s="509" t="s">
        <v>550</v>
      </c>
      <c r="Q11" s="510" t="s">
        <v>196</v>
      </c>
      <c r="R11" s="510" t="s">
        <v>551</v>
      </c>
      <c r="S11" s="315">
        <v>40</v>
      </c>
      <c r="T11" s="511" t="s">
        <v>850</v>
      </c>
      <c r="U11" s="494">
        <v>1</v>
      </c>
      <c r="V11" s="208" t="s">
        <v>853</v>
      </c>
      <c r="W11" s="207" t="s">
        <v>268</v>
      </c>
      <c r="X11" s="207" t="s">
        <v>268</v>
      </c>
      <c r="Y11" s="207" t="s">
        <v>268</v>
      </c>
      <c r="Z11" s="507" t="s">
        <v>861</v>
      </c>
    </row>
    <row r="12" spans="1:26" ht="5.0999999999999996" customHeight="1" x14ac:dyDescent="0.35">
      <c r="A12" s="558"/>
      <c r="B12" s="559"/>
      <c r="C12" s="560"/>
      <c r="D12" s="560"/>
      <c r="E12" s="561"/>
      <c r="F12" s="560"/>
      <c r="G12" s="560"/>
      <c r="H12" s="560"/>
      <c r="I12" s="560"/>
      <c r="J12" s="560"/>
      <c r="K12" s="562"/>
      <c r="L12" s="562"/>
      <c r="M12" s="562"/>
      <c r="N12" s="562"/>
      <c r="O12" s="562"/>
      <c r="P12" s="563"/>
      <c r="Q12" s="563"/>
      <c r="R12" s="563"/>
      <c r="S12" s="564"/>
      <c r="T12" s="565"/>
      <c r="U12" s="560"/>
      <c r="V12" s="560"/>
      <c r="W12" s="560"/>
      <c r="X12" s="560"/>
      <c r="Y12" s="560"/>
      <c r="Z12" s="566"/>
    </row>
    <row r="13" spans="1:26" ht="50.1" customHeight="1" x14ac:dyDescent="0.25">
      <c r="A13" s="505" t="s">
        <v>833</v>
      </c>
      <c r="B13" s="513">
        <v>1</v>
      </c>
      <c r="C13" s="506">
        <v>1</v>
      </c>
      <c r="D13" s="479" t="s">
        <v>410</v>
      </c>
      <c r="E13" s="211">
        <v>0.55000000000000004</v>
      </c>
      <c r="F13" s="207" t="s">
        <v>268</v>
      </c>
      <c r="G13" s="207" t="s">
        <v>268</v>
      </c>
      <c r="H13" s="207" t="s">
        <v>268</v>
      </c>
      <c r="I13" s="507" t="s">
        <v>861</v>
      </c>
      <c r="J13" s="508" t="s">
        <v>414</v>
      </c>
      <c r="K13" s="490" t="s">
        <v>541</v>
      </c>
      <c r="L13" s="490" t="s">
        <v>540</v>
      </c>
      <c r="M13" s="491" t="s">
        <v>548</v>
      </c>
      <c r="N13" s="491" t="s">
        <v>556</v>
      </c>
      <c r="O13" s="509" t="s">
        <v>542</v>
      </c>
      <c r="P13" s="509" t="s">
        <v>550</v>
      </c>
      <c r="Q13" s="510" t="s">
        <v>196</v>
      </c>
      <c r="R13" s="510" t="s">
        <v>551</v>
      </c>
      <c r="S13" s="315">
        <v>43</v>
      </c>
      <c r="T13" s="511" t="s">
        <v>850</v>
      </c>
      <c r="U13" s="494">
        <v>1</v>
      </c>
      <c r="V13" s="207" t="s">
        <v>268</v>
      </c>
      <c r="W13" s="208" t="s">
        <v>854</v>
      </c>
      <c r="X13" s="207" t="s">
        <v>268</v>
      </c>
      <c r="Y13" s="207" t="s">
        <v>268</v>
      </c>
      <c r="Z13" s="507" t="s">
        <v>861</v>
      </c>
    </row>
    <row r="14" spans="1:26" ht="5.0999999999999996" customHeight="1" x14ac:dyDescent="0.35">
      <c r="A14" s="558"/>
      <c r="B14" s="559"/>
      <c r="C14" s="560"/>
      <c r="D14" s="560"/>
      <c r="E14" s="561"/>
      <c r="F14" s="560"/>
      <c r="G14" s="560"/>
      <c r="H14" s="560"/>
      <c r="I14" s="560"/>
      <c r="J14" s="560"/>
      <c r="K14" s="562"/>
      <c r="L14" s="562"/>
      <c r="M14" s="562"/>
      <c r="N14" s="562"/>
      <c r="O14" s="562"/>
      <c r="P14" s="563"/>
      <c r="Q14" s="563"/>
      <c r="R14" s="563"/>
      <c r="S14" s="564"/>
      <c r="T14" s="565"/>
      <c r="U14" s="560"/>
      <c r="V14" s="560"/>
      <c r="W14" s="560"/>
      <c r="X14" s="560"/>
      <c r="Y14" s="560"/>
      <c r="Z14" s="566"/>
    </row>
    <row r="15" spans="1:26" ht="50.1" customHeight="1" x14ac:dyDescent="0.25">
      <c r="A15" s="567" t="s">
        <v>834</v>
      </c>
      <c r="B15" s="590">
        <v>2</v>
      </c>
      <c r="C15" s="506">
        <v>1</v>
      </c>
      <c r="D15" s="479" t="s">
        <v>410</v>
      </c>
      <c r="E15" s="211">
        <v>0.55000000000000004</v>
      </c>
      <c r="F15" s="207" t="s">
        <v>268</v>
      </c>
      <c r="G15" s="207" t="s">
        <v>268</v>
      </c>
      <c r="H15" s="207" t="s">
        <v>268</v>
      </c>
      <c r="I15" s="507" t="s">
        <v>861</v>
      </c>
      <c r="J15" s="508" t="s">
        <v>414</v>
      </c>
      <c r="K15" s="490" t="s">
        <v>541</v>
      </c>
      <c r="L15" s="490" t="s">
        <v>540</v>
      </c>
      <c r="M15" s="491" t="s">
        <v>548</v>
      </c>
      <c r="N15" s="491" t="s">
        <v>555</v>
      </c>
      <c r="O15" s="509" t="s">
        <v>542</v>
      </c>
      <c r="P15" s="509" t="s">
        <v>550</v>
      </c>
      <c r="Q15" s="510" t="s">
        <v>196</v>
      </c>
      <c r="R15" s="510" t="s">
        <v>551</v>
      </c>
      <c r="S15" s="315">
        <v>40</v>
      </c>
      <c r="T15" s="511" t="s">
        <v>850</v>
      </c>
      <c r="U15" s="494">
        <v>1</v>
      </c>
      <c r="V15" s="207" t="s">
        <v>268</v>
      </c>
      <c r="W15" s="207" t="s">
        <v>268</v>
      </c>
      <c r="X15" s="208" t="s">
        <v>267</v>
      </c>
      <c r="Y15" s="207" t="s">
        <v>268</v>
      </c>
      <c r="Z15" s="507" t="s">
        <v>861</v>
      </c>
    </row>
    <row r="16" spans="1:26" ht="50.1" customHeight="1" x14ac:dyDescent="0.25">
      <c r="A16" s="574"/>
      <c r="B16" s="570"/>
      <c r="C16" s="506">
        <v>2</v>
      </c>
      <c r="D16" s="479" t="s">
        <v>410</v>
      </c>
      <c r="E16" s="211">
        <v>0.55000000000000004</v>
      </c>
      <c r="F16" s="207" t="s">
        <v>268</v>
      </c>
      <c r="G16" s="207" t="s">
        <v>268</v>
      </c>
      <c r="H16" s="207" t="s">
        <v>268</v>
      </c>
      <c r="I16" s="507" t="s">
        <v>861</v>
      </c>
      <c r="J16" s="508" t="s">
        <v>414</v>
      </c>
      <c r="K16" s="490" t="s">
        <v>540</v>
      </c>
      <c r="L16" s="490" t="s">
        <v>541</v>
      </c>
      <c r="M16" s="491" t="s">
        <v>577</v>
      </c>
      <c r="N16" s="491" t="s">
        <v>578</v>
      </c>
      <c r="O16" s="509" t="s">
        <v>542</v>
      </c>
      <c r="P16" s="509" t="s">
        <v>550</v>
      </c>
      <c r="Q16" s="510" t="s">
        <v>196</v>
      </c>
      <c r="R16" s="510" t="s">
        <v>551</v>
      </c>
      <c r="S16" s="315">
        <v>40</v>
      </c>
      <c r="T16" s="511" t="s">
        <v>850</v>
      </c>
      <c r="U16" s="494">
        <v>1</v>
      </c>
      <c r="V16" s="207" t="s">
        <v>268</v>
      </c>
      <c r="W16" s="207" t="s">
        <v>268</v>
      </c>
      <c r="X16" s="208" t="s">
        <v>267</v>
      </c>
      <c r="Y16" s="207" t="s">
        <v>268</v>
      </c>
      <c r="Z16" s="507" t="s">
        <v>861</v>
      </c>
    </row>
    <row r="17" spans="1:26" ht="5.0999999999999996" customHeight="1" x14ac:dyDescent="0.35">
      <c r="A17" s="558"/>
      <c r="B17" s="559"/>
      <c r="C17" s="560"/>
      <c r="D17" s="560"/>
      <c r="E17" s="561"/>
      <c r="F17" s="560"/>
      <c r="G17" s="560"/>
      <c r="H17" s="560"/>
      <c r="I17" s="560"/>
      <c r="J17" s="560"/>
      <c r="K17" s="562"/>
      <c r="L17" s="562"/>
      <c r="M17" s="562"/>
      <c r="N17" s="562"/>
      <c r="O17" s="562"/>
      <c r="P17" s="563"/>
      <c r="Q17" s="563"/>
      <c r="R17" s="563"/>
      <c r="S17" s="564"/>
      <c r="T17" s="565"/>
      <c r="U17" s="560"/>
      <c r="V17" s="560"/>
      <c r="W17" s="560"/>
      <c r="X17" s="560"/>
      <c r="Y17" s="560"/>
      <c r="Z17" s="566"/>
    </row>
    <row r="18" spans="1:26" ht="50.1" customHeight="1" x14ac:dyDescent="0.25">
      <c r="A18" s="505" t="s">
        <v>835</v>
      </c>
      <c r="B18" s="513">
        <v>1</v>
      </c>
      <c r="C18" s="506">
        <v>1</v>
      </c>
      <c r="D18" s="479" t="s">
        <v>410</v>
      </c>
      <c r="E18" s="211">
        <v>0.55000000000000004</v>
      </c>
      <c r="F18" s="207" t="s">
        <v>268</v>
      </c>
      <c r="G18" s="207" t="s">
        <v>268</v>
      </c>
      <c r="H18" s="207" t="s">
        <v>268</v>
      </c>
      <c r="I18" s="507" t="s">
        <v>861</v>
      </c>
      <c r="J18" s="508" t="s">
        <v>414</v>
      </c>
      <c r="K18" s="490" t="s">
        <v>541</v>
      </c>
      <c r="L18" s="490" t="s">
        <v>540</v>
      </c>
      <c r="M18" s="491" t="s">
        <v>557</v>
      </c>
      <c r="N18" s="491" t="s">
        <v>558</v>
      </c>
      <c r="O18" s="509" t="s">
        <v>542</v>
      </c>
      <c r="P18" s="509" t="s">
        <v>550</v>
      </c>
      <c r="Q18" s="510" t="s">
        <v>196</v>
      </c>
      <c r="R18" s="510" t="s">
        <v>551</v>
      </c>
      <c r="S18" s="315">
        <v>43</v>
      </c>
      <c r="T18" s="210" t="s">
        <v>852</v>
      </c>
      <c r="U18" s="494">
        <v>1</v>
      </c>
      <c r="V18" s="208" t="s">
        <v>853</v>
      </c>
      <c r="W18" s="208" t="s">
        <v>854</v>
      </c>
      <c r="X18" s="208" t="s">
        <v>267</v>
      </c>
      <c r="Y18" s="207" t="s">
        <v>268</v>
      </c>
      <c r="Z18" s="507" t="s">
        <v>861</v>
      </c>
    </row>
    <row r="19" spans="1:26" ht="5.0999999999999996" customHeight="1" x14ac:dyDescent="0.35">
      <c r="A19" s="558"/>
      <c r="B19" s="559"/>
      <c r="C19" s="560"/>
      <c r="D19" s="560"/>
      <c r="E19" s="561"/>
      <c r="F19" s="560"/>
      <c r="G19" s="560"/>
      <c r="H19" s="560"/>
      <c r="I19" s="560"/>
      <c r="J19" s="560"/>
      <c r="K19" s="562"/>
      <c r="L19" s="562"/>
      <c r="M19" s="562"/>
      <c r="N19" s="562"/>
      <c r="O19" s="562"/>
      <c r="P19" s="563"/>
      <c r="Q19" s="563"/>
      <c r="R19" s="563"/>
      <c r="S19" s="564"/>
      <c r="T19" s="565"/>
      <c r="U19" s="560"/>
      <c r="V19" s="560"/>
      <c r="W19" s="560"/>
      <c r="X19" s="560"/>
      <c r="Y19" s="560"/>
      <c r="Z19" s="566"/>
    </row>
    <row r="20" spans="1:26" ht="50.1" customHeight="1" x14ac:dyDescent="0.25">
      <c r="A20" s="505" t="s">
        <v>836</v>
      </c>
      <c r="B20" s="513">
        <v>1</v>
      </c>
      <c r="C20" s="506">
        <v>1</v>
      </c>
      <c r="D20" s="479" t="s">
        <v>410</v>
      </c>
      <c r="E20" s="211">
        <v>0.55000000000000004</v>
      </c>
      <c r="F20" s="207" t="s">
        <v>268</v>
      </c>
      <c r="G20" s="207" t="s">
        <v>268</v>
      </c>
      <c r="H20" s="207" t="s">
        <v>268</v>
      </c>
      <c r="I20" s="507" t="s">
        <v>861</v>
      </c>
      <c r="J20" s="508" t="s">
        <v>414</v>
      </c>
      <c r="K20" s="490" t="s">
        <v>541</v>
      </c>
      <c r="L20" s="490" t="s">
        <v>540</v>
      </c>
      <c r="M20" s="491" t="s">
        <v>559</v>
      </c>
      <c r="N20" s="491" t="s">
        <v>560</v>
      </c>
      <c r="O20" s="509" t="s">
        <v>542</v>
      </c>
      <c r="P20" s="509" t="s">
        <v>550</v>
      </c>
      <c r="Q20" s="510" t="s">
        <v>196</v>
      </c>
      <c r="R20" s="510" t="s">
        <v>551</v>
      </c>
      <c r="S20" s="315">
        <v>43</v>
      </c>
      <c r="T20" s="209" t="s">
        <v>851</v>
      </c>
      <c r="U20" s="494">
        <v>1</v>
      </c>
      <c r="V20" s="208" t="s">
        <v>855</v>
      </c>
      <c r="W20" s="208" t="s">
        <v>854</v>
      </c>
      <c r="X20" s="208" t="s">
        <v>267</v>
      </c>
      <c r="Y20" s="208" t="s">
        <v>267</v>
      </c>
      <c r="Z20" s="507" t="s">
        <v>861</v>
      </c>
    </row>
    <row r="21" spans="1:26" ht="5.0999999999999996" customHeight="1" x14ac:dyDescent="0.35">
      <c r="A21" s="558"/>
      <c r="B21" s="559"/>
      <c r="C21" s="560"/>
      <c r="D21" s="560"/>
      <c r="E21" s="561"/>
      <c r="F21" s="560"/>
      <c r="G21" s="560"/>
      <c r="H21" s="560"/>
      <c r="I21" s="560"/>
      <c r="J21" s="560"/>
      <c r="K21" s="562"/>
      <c r="L21" s="562"/>
      <c r="M21" s="562"/>
      <c r="N21" s="562"/>
      <c r="O21" s="562"/>
      <c r="P21" s="563"/>
      <c r="Q21" s="563"/>
      <c r="R21" s="563"/>
      <c r="S21" s="564"/>
      <c r="T21" s="565"/>
      <c r="U21" s="560"/>
      <c r="V21" s="560"/>
      <c r="W21" s="560"/>
      <c r="X21" s="560"/>
      <c r="Y21" s="560"/>
      <c r="Z21" s="566"/>
    </row>
    <row r="22" spans="1:26" ht="50.1" customHeight="1" x14ac:dyDescent="0.25">
      <c r="A22" s="505" t="s">
        <v>837</v>
      </c>
      <c r="B22" s="513">
        <v>1</v>
      </c>
      <c r="C22" s="506">
        <v>1</v>
      </c>
      <c r="D22" s="479" t="s">
        <v>410</v>
      </c>
      <c r="E22" s="211">
        <v>0.55000000000000004</v>
      </c>
      <c r="F22" s="207" t="s">
        <v>268</v>
      </c>
      <c r="G22" s="207" t="s">
        <v>268</v>
      </c>
      <c r="H22" s="207" t="s">
        <v>268</v>
      </c>
      <c r="I22" s="207" t="s">
        <v>268</v>
      </c>
      <c r="J22" s="508" t="s">
        <v>414</v>
      </c>
      <c r="K22" s="490" t="s">
        <v>541</v>
      </c>
      <c r="L22" s="490" t="s">
        <v>540</v>
      </c>
      <c r="M22" s="491" t="s">
        <v>548</v>
      </c>
      <c r="N22" s="491" t="s">
        <v>556</v>
      </c>
      <c r="O22" s="509" t="s">
        <v>542</v>
      </c>
      <c r="P22" s="509" t="s">
        <v>550</v>
      </c>
      <c r="Q22" s="510" t="s">
        <v>196</v>
      </c>
      <c r="R22" s="510" t="s">
        <v>551</v>
      </c>
      <c r="S22" s="315">
        <v>43</v>
      </c>
      <c r="T22" s="511" t="s">
        <v>850</v>
      </c>
      <c r="U22" s="494">
        <v>2</v>
      </c>
      <c r="V22" s="208" t="s">
        <v>856</v>
      </c>
      <c r="W22" s="208" t="s">
        <v>858</v>
      </c>
      <c r="X22" s="208" t="s">
        <v>267</v>
      </c>
      <c r="Y22" s="207" t="s">
        <v>268</v>
      </c>
      <c r="Z22" s="207" t="s">
        <v>268</v>
      </c>
    </row>
    <row r="23" spans="1:26" ht="5.0999999999999996" customHeight="1" x14ac:dyDescent="0.35">
      <c r="A23" s="558"/>
      <c r="B23" s="559"/>
      <c r="C23" s="560"/>
      <c r="D23" s="560"/>
      <c r="E23" s="561"/>
      <c r="F23" s="560"/>
      <c r="G23" s="560"/>
      <c r="H23" s="560"/>
      <c r="I23" s="560"/>
      <c r="J23" s="560"/>
      <c r="K23" s="562"/>
      <c r="L23" s="562"/>
      <c r="M23" s="562"/>
      <c r="N23" s="562"/>
      <c r="O23" s="562"/>
      <c r="P23" s="563"/>
      <c r="Q23" s="563"/>
      <c r="R23" s="563"/>
      <c r="S23" s="564"/>
      <c r="T23" s="565"/>
      <c r="U23" s="560"/>
      <c r="V23" s="560"/>
      <c r="W23" s="560"/>
      <c r="X23" s="560"/>
      <c r="Y23" s="560"/>
      <c r="Z23" s="566"/>
    </row>
    <row r="24" spans="1:26" ht="50.1" customHeight="1" x14ac:dyDescent="0.25">
      <c r="A24" s="505" t="s">
        <v>838</v>
      </c>
      <c r="B24" s="513">
        <v>1</v>
      </c>
      <c r="C24" s="506">
        <v>1</v>
      </c>
      <c r="D24" s="479" t="s">
        <v>410</v>
      </c>
      <c r="E24" s="211">
        <v>0.55000000000000004</v>
      </c>
      <c r="F24" s="207" t="s">
        <v>268</v>
      </c>
      <c r="G24" s="207" t="s">
        <v>268</v>
      </c>
      <c r="H24" s="207" t="s">
        <v>268</v>
      </c>
      <c r="I24" s="207" t="s">
        <v>268</v>
      </c>
      <c r="J24" s="508" t="s">
        <v>414</v>
      </c>
      <c r="K24" s="512" t="s">
        <v>527</v>
      </c>
      <c r="L24" s="490" t="s">
        <v>541</v>
      </c>
      <c r="M24" s="491" t="s">
        <v>548</v>
      </c>
      <c r="N24" s="491" t="s">
        <v>554</v>
      </c>
      <c r="O24" s="492" t="s">
        <v>543</v>
      </c>
      <c r="P24" s="493" t="s">
        <v>552</v>
      </c>
      <c r="Q24" s="493" t="s">
        <v>197</v>
      </c>
      <c r="R24" s="493" t="s">
        <v>553</v>
      </c>
      <c r="S24" s="315">
        <v>63</v>
      </c>
      <c r="T24" s="511" t="s">
        <v>850</v>
      </c>
      <c r="U24" s="495">
        <v>4</v>
      </c>
      <c r="V24" s="208" t="s">
        <v>856</v>
      </c>
      <c r="W24" s="207" t="s">
        <v>268</v>
      </c>
      <c r="X24" s="208" t="s">
        <v>267</v>
      </c>
      <c r="Y24" s="208" t="s">
        <v>267</v>
      </c>
      <c r="Z24" s="207" t="s">
        <v>268</v>
      </c>
    </row>
    <row r="25" spans="1:26" ht="5.0999999999999996" customHeight="1" x14ac:dyDescent="0.35">
      <c r="A25" s="558"/>
      <c r="B25" s="559"/>
      <c r="C25" s="560"/>
      <c r="D25" s="560"/>
      <c r="E25" s="561"/>
      <c r="F25" s="560"/>
      <c r="G25" s="560"/>
      <c r="H25" s="560"/>
      <c r="I25" s="560"/>
      <c r="J25" s="560"/>
      <c r="K25" s="562"/>
      <c r="L25" s="562"/>
      <c r="M25" s="562"/>
      <c r="N25" s="562"/>
      <c r="O25" s="562"/>
      <c r="P25" s="563"/>
      <c r="Q25" s="563"/>
      <c r="R25" s="563"/>
      <c r="S25" s="564"/>
      <c r="T25" s="565"/>
      <c r="U25" s="560"/>
      <c r="V25" s="560"/>
      <c r="W25" s="560"/>
      <c r="X25" s="560"/>
      <c r="Y25" s="560"/>
      <c r="Z25" s="566"/>
    </row>
    <row r="26" spans="1:26" ht="50.1" customHeight="1" x14ac:dyDescent="0.25">
      <c r="A26" s="505" t="s">
        <v>839</v>
      </c>
      <c r="B26" s="513">
        <v>1</v>
      </c>
      <c r="C26" s="506">
        <v>1</v>
      </c>
      <c r="D26" s="479" t="s">
        <v>410</v>
      </c>
      <c r="E26" s="211">
        <v>0.55000000000000004</v>
      </c>
      <c r="F26" s="207" t="s">
        <v>268</v>
      </c>
      <c r="G26" s="207" t="s">
        <v>268</v>
      </c>
      <c r="H26" s="207" t="s">
        <v>268</v>
      </c>
      <c r="I26" s="207" t="s">
        <v>268</v>
      </c>
      <c r="J26" s="508" t="s">
        <v>414</v>
      </c>
      <c r="K26" s="490" t="s">
        <v>541</v>
      </c>
      <c r="L26" s="490" t="s">
        <v>540</v>
      </c>
      <c r="M26" s="491" t="s">
        <v>548</v>
      </c>
      <c r="N26" s="491" t="s">
        <v>556</v>
      </c>
      <c r="O26" s="509" t="s">
        <v>542</v>
      </c>
      <c r="P26" s="509" t="s">
        <v>550</v>
      </c>
      <c r="Q26" s="510" t="s">
        <v>196</v>
      </c>
      <c r="R26" s="510" t="s">
        <v>551</v>
      </c>
      <c r="S26" s="315">
        <v>43</v>
      </c>
      <c r="T26" s="511" t="s">
        <v>850</v>
      </c>
      <c r="U26" s="514">
        <v>3</v>
      </c>
      <c r="V26" s="208" t="s">
        <v>856</v>
      </c>
      <c r="W26" s="208" t="s">
        <v>857</v>
      </c>
      <c r="X26" s="208" t="s">
        <v>267</v>
      </c>
      <c r="Y26" s="207" t="s">
        <v>268</v>
      </c>
      <c r="Z26" s="208" t="s">
        <v>267</v>
      </c>
    </row>
    <row r="27" spans="1:26" ht="5.0999999999999996" customHeight="1" x14ac:dyDescent="0.35">
      <c r="A27" s="558"/>
      <c r="B27" s="559"/>
      <c r="C27" s="560"/>
      <c r="D27" s="560"/>
      <c r="E27" s="561"/>
      <c r="F27" s="560"/>
      <c r="G27" s="560"/>
      <c r="H27" s="560"/>
      <c r="I27" s="560"/>
      <c r="J27" s="560"/>
      <c r="K27" s="562"/>
      <c r="L27" s="562"/>
      <c r="M27" s="562"/>
      <c r="N27" s="562"/>
      <c r="O27" s="562"/>
      <c r="P27" s="563"/>
      <c r="Q27" s="563"/>
      <c r="R27" s="563"/>
      <c r="S27" s="564"/>
      <c r="T27" s="565"/>
      <c r="U27" s="560"/>
      <c r="V27" s="560"/>
      <c r="W27" s="560"/>
      <c r="X27" s="560"/>
      <c r="Y27" s="560"/>
      <c r="Z27" s="566"/>
    </row>
    <row r="28" spans="1:26" ht="50.1" customHeight="1" x14ac:dyDescent="0.25">
      <c r="A28" s="505" t="s">
        <v>840</v>
      </c>
      <c r="B28" s="513">
        <v>1</v>
      </c>
      <c r="C28" s="506">
        <v>1</v>
      </c>
      <c r="D28" s="479" t="s">
        <v>410</v>
      </c>
      <c r="E28" s="211">
        <v>0.55000000000000004</v>
      </c>
      <c r="F28" s="207" t="s">
        <v>268</v>
      </c>
      <c r="G28" s="207" t="s">
        <v>268</v>
      </c>
      <c r="H28" s="207" t="s">
        <v>268</v>
      </c>
      <c r="I28" s="207" t="s">
        <v>268</v>
      </c>
      <c r="J28" s="508" t="s">
        <v>414</v>
      </c>
      <c r="K28" s="490" t="s">
        <v>541</v>
      </c>
      <c r="L28" s="490" t="s">
        <v>540</v>
      </c>
      <c r="M28" s="491" t="s">
        <v>557</v>
      </c>
      <c r="N28" s="491" t="s">
        <v>558</v>
      </c>
      <c r="O28" s="509" t="s">
        <v>542</v>
      </c>
      <c r="P28" s="509" t="s">
        <v>550</v>
      </c>
      <c r="Q28" s="510" t="s">
        <v>196</v>
      </c>
      <c r="R28" s="510" t="s">
        <v>551</v>
      </c>
      <c r="S28" s="315">
        <v>43</v>
      </c>
      <c r="T28" s="210" t="s">
        <v>852</v>
      </c>
      <c r="U28" s="514">
        <v>3</v>
      </c>
      <c r="V28" s="208" t="s">
        <v>856</v>
      </c>
      <c r="W28" s="208" t="s">
        <v>857</v>
      </c>
      <c r="X28" s="208" t="s">
        <v>267</v>
      </c>
      <c r="Y28" s="208" t="s">
        <v>267</v>
      </c>
      <c r="Z28" s="207" t="s">
        <v>268</v>
      </c>
    </row>
    <row r="29" spans="1:26" ht="5.0999999999999996" customHeight="1" x14ac:dyDescent="0.35">
      <c r="A29" s="558"/>
      <c r="B29" s="559"/>
      <c r="C29" s="560"/>
      <c r="D29" s="560"/>
      <c r="E29" s="561"/>
      <c r="F29" s="560"/>
      <c r="G29" s="560"/>
      <c r="H29" s="560"/>
      <c r="I29" s="560"/>
      <c r="J29" s="560"/>
      <c r="K29" s="562"/>
      <c r="L29" s="562"/>
      <c r="M29" s="562"/>
      <c r="N29" s="562"/>
      <c r="O29" s="562"/>
      <c r="P29" s="563"/>
      <c r="Q29" s="563"/>
      <c r="R29" s="563"/>
      <c r="S29" s="564"/>
      <c r="T29" s="565"/>
      <c r="U29" s="560"/>
      <c r="V29" s="560"/>
      <c r="W29" s="560"/>
      <c r="X29" s="560"/>
      <c r="Y29" s="560"/>
      <c r="Z29" s="566"/>
    </row>
    <row r="30" spans="1:26" ht="50.1" customHeight="1" x14ac:dyDescent="0.25">
      <c r="A30" s="505" t="s">
        <v>841</v>
      </c>
      <c r="B30" s="513">
        <v>1</v>
      </c>
      <c r="C30" s="506">
        <v>1</v>
      </c>
      <c r="D30" s="479" t="s">
        <v>410</v>
      </c>
      <c r="E30" s="211">
        <v>0.55000000000000004</v>
      </c>
      <c r="F30" s="207" t="s">
        <v>268</v>
      </c>
      <c r="G30" s="207" t="s">
        <v>268</v>
      </c>
      <c r="H30" s="207" t="s">
        <v>268</v>
      </c>
      <c r="I30" s="207" t="s">
        <v>268</v>
      </c>
      <c r="J30" s="508" t="s">
        <v>414</v>
      </c>
      <c r="K30" s="512" t="s">
        <v>527</v>
      </c>
      <c r="L30" s="490" t="s">
        <v>541</v>
      </c>
      <c r="M30" s="491" t="s">
        <v>561</v>
      </c>
      <c r="N30" s="491" t="s">
        <v>580</v>
      </c>
      <c r="O30" s="492" t="s">
        <v>543</v>
      </c>
      <c r="P30" s="493" t="s">
        <v>552</v>
      </c>
      <c r="Q30" s="493" t="s">
        <v>197</v>
      </c>
      <c r="R30" s="493" t="s">
        <v>553</v>
      </c>
      <c r="S30" s="315">
        <v>63</v>
      </c>
      <c r="T30" s="209" t="s">
        <v>851</v>
      </c>
      <c r="U30" s="495">
        <v>4</v>
      </c>
      <c r="V30" s="208" t="s">
        <v>856</v>
      </c>
      <c r="W30" s="207" t="s">
        <v>268</v>
      </c>
      <c r="X30" s="208" t="s">
        <v>267</v>
      </c>
      <c r="Y30" s="208" t="s">
        <v>267</v>
      </c>
      <c r="Z30" s="208" t="s">
        <v>267</v>
      </c>
    </row>
    <row r="31" spans="1:26" ht="5.0999999999999996" customHeight="1" x14ac:dyDescent="0.35">
      <c r="A31" s="558"/>
      <c r="B31" s="559"/>
      <c r="C31" s="560"/>
      <c r="D31" s="560"/>
      <c r="E31" s="561"/>
      <c r="F31" s="560"/>
      <c r="G31" s="560"/>
      <c r="H31" s="560"/>
      <c r="I31" s="560"/>
      <c r="J31" s="560"/>
      <c r="K31" s="562"/>
      <c r="L31" s="562"/>
      <c r="M31" s="562"/>
      <c r="N31" s="562"/>
      <c r="O31" s="562"/>
      <c r="P31" s="563"/>
      <c r="Q31" s="563"/>
      <c r="R31" s="563"/>
      <c r="S31" s="564"/>
      <c r="T31" s="565"/>
      <c r="U31" s="560"/>
      <c r="V31" s="560"/>
      <c r="W31" s="560"/>
      <c r="X31" s="560"/>
      <c r="Y31" s="560"/>
      <c r="Z31" s="566"/>
    </row>
    <row r="32" spans="1:26" ht="50.1" customHeight="1" x14ac:dyDescent="0.25">
      <c r="A32" s="567" t="s">
        <v>842</v>
      </c>
      <c r="B32" s="569">
        <v>3</v>
      </c>
      <c r="C32" s="506">
        <v>1</v>
      </c>
      <c r="D32" s="479" t="s">
        <v>410</v>
      </c>
      <c r="E32" s="211">
        <v>0.55000000000000004</v>
      </c>
      <c r="F32" s="207" t="s">
        <v>268</v>
      </c>
      <c r="G32" s="207" t="s">
        <v>268</v>
      </c>
      <c r="H32" s="504" t="s">
        <v>267</v>
      </c>
      <c r="I32" s="507" t="s">
        <v>861</v>
      </c>
      <c r="J32" s="580" t="s">
        <v>532</v>
      </c>
      <c r="K32" s="490" t="s">
        <v>541</v>
      </c>
      <c r="L32" s="490" t="s">
        <v>540</v>
      </c>
      <c r="M32" s="491" t="s">
        <v>548</v>
      </c>
      <c r="N32" s="491" t="s">
        <v>555</v>
      </c>
      <c r="O32" s="509" t="s">
        <v>542</v>
      </c>
      <c r="P32" s="509" t="s">
        <v>550</v>
      </c>
      <c r="Q32" s="510" t="s">
        <v>196</v>
      </c>
      <c r="R32" s="510" t="s">
        <v>551</v>
      </c>
      <c r="S32" s="315">
        <v>40</v>
      </c>
      <c r="T32" s="511" t="s">
        <v>850</v>
      </c>
      <c r="U32" s="494">
        <v>1</v>
      </c>
      <c r="V32" s="208" t="s">
        <v>853</v>
      </c>
      <c r="W32" s="207" t="s">
        <v>268</v>
      </c>
      <c r="X32" s="208" t="s">
        <v>267</v>
      </c>
      <c r="Y32" s="207" t="s">
        <v>268</v>
      </c>
      <c r="Z32" s="507" t="s">
        <v>861</v>
      </c>
    </row>
    <row r="33" spans="1:26" ht="50.1" customHeight="1" x14ac:dyDescent="0.25">
      <c r="A33" s="568"/>
      <c r="B33" s="570"/>
      <c r="C33" s="515">
        <v>2</v>
      </c>
      <c r="D33" s="479" t="s">
        <v>410</v>
      </c>
      <c r="E33" s="211">
        <v>0.55000000000000004</v>
      </c>
      <c r="F33" s="207" t="s">
        <v>268</v>
      </c>
      <c r="G33" s="207" t="s">
        <v>268</v>
      </c>
      <c r="H33" s="504" t="s">
        <v>267</v>
      </c>
      <c r="I33" s="207" t="s">
        <v>268</v>
      </c>
      <c r="J33" s="570"/>
      <c r="K33" s="490" t="s">
        <v>540</v>
      </c>
      <c r="L33" s="490" t="s">
        <v>541</v>
      </c>
      <c r="M33" s="491" t="s">
        <v>562</v>
      </c>
      <c r="N33" s="491" t="s">
        <v>563</v>
      </c>
      <c r="O33" s="509" t="s">
        <v>542</v>
      </c>
      <c r="P33" s="509" t="s">
        <v>550</v>
      </c>
      <c r="Q33" s="510" t="s">
        <v>196</v>
      </c>
      <c r="R33" s="510" t="s">
        <v>551</v>
      </c>
      <c r="S33" s="315">
        <v>40</v>
      </c>
      <c r="T33" s="210" t="s">
        <v>852</v>
      </c>
      <c r="U33" s="514">
        <v>3</v>
      </c>
      <c r="V33" s="208" t="s">
        <v>853</v>
      </c>
      <c r="W33" s="207" t="s">
        <v>268</v>
      </c>
      <c r="X33" s="208" t="s">
        <v>267</v>
      </c>
      <c r="Y33" s="207" t="s">
        <v>268</v>
      </c>
      <c r="Z33" s="207" t="s">
        <v>268</v>
      </c>
    </row>
    <row r="34" spans="1:26" ht="50.1" customHeight="1" x14ac:dyDescent="0.25">
      <c r="A34" s="568"/>
      <c r="B34" s="570"/>
      <c r="C34" s="515">
        <v>3</v>
      </c>
      <c r="D34" s="479" t="s">
        <v>410</v>
      </c>
      <c r="E34" s="211">
        <v>0.55000000000000004</v>
      </c>
      <c r="F34" s="207" t="s">
        <v>268</v>
      </c>
      <c r="G34" s="207" t="s">
        <v>268</v>
      </c>
      <c r="H34" s="504" t="s">
        <v>267</v>
      </c>
      <c r="I34" s="207" t="s">
        <v>268</v>
      </c>
      <c r="J34" s="570"/>
      <c r="K34" s="490" t="s">
        <v>541</v>
      </c>
      <c r="L34" s="490" t="s">
        <v>540</v>
      </c>
      <c r="M34" s="491" t="s">
        <v>564</v>
      </c>
      <c r="N34" s="491" t="s">
        <v>565</v>
      </c>
      <c r="O34" s="509" t="s">
        <v>542</v>
      </c>
      <c r="P34" s="509" t="s">
        <v>550</v>
      </c>
      <c r="Q34" s="510" t="s">
        <v>196</v>
      </c>
      <c r="R34" s="510" t="s">
        <v>551</v>
      </c>
      <c r="S34" s="315">
        <v>40</v>
      </c>
      <c r="T34" s="209" t="s">
        <v>851</v>
      </c>
      <c r="U34" s="495">
        <v>4</v>
      </c>
      <c r="V34" s="208" t="s">
        <v>856</v>
      </c>
      <c r="W34" s="207" t="s">
        <v>268</v>
      </c>
      <c r="X34" s="208" t="s">
        <v>267</v>
      </c>
      <c r="Y34" s="208" t="s">
        <v>267</v>
      </c>
      <c r="Z34" s="207" t="s">
        <v>268</v>
      </c>
    </row>
    <row r="35" spans="1:26" ht="5.0999999999999996" customHeight="1" x14ac:dyDescent="0.35">
      <c r="A35" s="558"/>
      <c r="B35" s="559"/>
      <c r="C35" s="560"/>
      <c r="D35" s="560"/>
      <c r="E35" s="561"/>
      <c r="F35" s="560"/>
      <c r="G35" s="560"/>
      <c r="H35" s="560"/>
      <c r="I35" s="560"/>
      <c r="J35" s="560"/>
      <c r="K35" s="562"/>
      <c r="L35" s="562"/>
      <c r="M35" s="562"/>
      <c r="N35" s="562"/>
      <c r="O35" s="562"/>
      <c r="P35" s="563"/>
      <c r="Q35" s="563"/>
      <c r="R35" s="563"/>
      <c r="S35" s="564"/>
      <c r="T35" s="565"/>
      <c r="U35" s="560"/>
      <c r="V35" s="560"/>
      <c r="W35" s="560"/>
      <c r="X35" s="560"/>
      <c r="Y35" s="560"/>
      <c r="Z35" s="566"/>
    </row>
    <row r="36" spans="1:26" ht="50.1" customHeight="1" x14ac:dyDescent="0.25">
      <c r="A36" s="567" t="s">
        <v>843</v>
      </c>
      <c r="B36" s="569">
        <v>5</v>
      </c>
      <c r="C36" s="506">
        <v>1</v>
      </c>
      <c r="D36" s="525" t="s">
        <v>411</v>
      </c>
      <c r="E36" s="526">
        <v>1</v>
      </c>
      <c r="F36" s="207" t="s">
        <v>268</v>
      </c>
      <c r="G36" s="207" t="s">
        <v>268</v>
      </c>
      <c r="H36" s="207" t="s">
        <v>268</v>
      </c>
      <c r="I36" s="207" t="s">
        <v>268</v>
      </c>
      <c r="J36" s="571" t="s">
        <v>414</v>
      </c>
      <c r="K36" s="512" t="s">
        <v>527</v>
      </c>
      <c r="L36" s="490" t="s">
        <v>541</v>
      </c>
      <c r="M36" s="491" t="s">
        <v>566</v>
      </c>
      <c r="N36" s="491" t="s">
        <v>567</v>
      </c>
      <c r="O36" s="492" t="s">
        <v>543</v>
      </c>
      <c r="P36" s="493" t="s">
        <v>552</v>
      </c>
      <c r="Q36" s="493" t="s">
        <v>197</v>
      </c>
      <c r="R36" s="493" t="s">
        <v>553</v>
      </c>
      <c r="S36" s="315">
        <v>63</v>
      </c>
      <c r="T36" s="511" t="s">
        <v>850</v>
      </c>
      <c r="U36" s="494">
        <v>2</v>
      </c>
      <c r="V36" s="208" t="s">
        <v>856</v>
      </c>
      <c r="W36" s="207" t="s">
        <v>268</v>
      </c>
      <c r="X36" s="207" t="s">
        <v>268</v>
      </c>
      <c r="Y36" s="207" t="s">
        <v>268</v>
      </c>
      <c r="Z36" s="208" t="s">
        <v>267</v>
      </c>
    </row>
    <row r="37" spans="1:26" ht="50.1" customHeight="1" x14ac:dyDescent="0.25">
      <c r="A37" s="568"/>
      <c r="B37" s="570"/>
      <c r="C37" s="515">
        <v>2</v>
      </c>
      <c r="D37" s="525" t="s">
        <v>411</v>
      </c>
      <c r="E37" s="526">
        <v>1</v>
      </c>
      <c r="F37" s="207" t="s">
        <v>268</v>
      </c>
      <c r="G37" s="207" t="s">
        <v>268</v>
      </c>
      <c r="H37" s="207" t="s">
        <v>268</v>
      </c>
      <c r="I37" s="207" t="s">
        <v>268</v>
      </c>
      <c r="J37" s="572"/>
      <c r="K37" s="490" t="s">
        <v>541</v>
      </c>
      <c r="L37" s="512" t="s">
        <v>527</v>
      </c>
      <c r="M37" s="491" t="s">
        <v>568</v>
      </c>
      <c r="N37" s="491" t="s">
        <v>569</v>
      </c>
      <c r="O37" s="509" t="s">
        <v>542</v>
      </c>
      <c r="P37" s="509" t="s">
        <v>550</v>
      </c>
      <c r="Q37" s="510" t="s">
        <v>196</v>
      </c>
      <c r="R37" s="510" t="s">
        <v>551</v>
      </c>
      <c r="S37" s="315">
        <v>63</v>
      </c>
      <c r="T37" s="209" t="s">
        <v>851</v>
      </c>
      <c r="U37" s="494">
        <v>2</v>
      </c>
      <c r="V37" s="208" t="s">
        <v>859</v>
      </c>
      <c r="W37" s="207" t="s">
        <v>268</v>
      </c>
      <c r="X37" s="207" t="s">
        <v>268</v>
      </c>
      <c r="Y37" s="207" t="s">
        <v>268</v>
      </c>
      <c r="Z37" s="207" t="s">
        <v>268</v>
      </c>
    </row>
    <row r="38" spans="1:26" ht="50.1" customHeight="1" x14ac:dyDescent="0.25">
      <c r="A38" s="568"/>
      <c r="B38" s="570"/>
      <c r="C38" s="515">
        <v>3</v>
      </c>
      <c r="D38" s="525" t="s">
        <v>411</v>
      </c>
      <c r="E38" s="526">
        <v>1</v>
      </c>
      <c r="F38" s="207" t="s">
        <v>268</v>
      </c>
      <c r="G38" s="207" t="s">
        <v>268</v>
      </c>
      <c r="H38" s="207" t="s">
        <v>268</v>
      </c>
      <c r="I38" s="207" t="s">
        <v>268</v>
      </c>
      <c r="J38" s="572"/>
      <c r="K38" s="512" t="s">
        <v>527</v>
      </c>
      <c r="L38" s="490" t="s">
        <v>541</v>
      </c>
      <c r="M38" s="491" t="s">
        <v>564</v>
      </c>
      <c r="N38" s="491" t="s">
        <v>570</v>
      </c>
      <c r="O38" s="492" t="s">
        <v>543</v>
      </c>
      <c r="P38" s="493" t="s">
        <v>552</v>
      </c>
      <c r="Q38" s="493" t="s">
        <v>197</v>
      </c>
      <c r="R38" s="493" t="s">
        <v>553</v>
      </c>
      <c r="S38" s="315">
        <v>63</v>
      </c>
      <c r="T38" s="209" t="s">
        <v>851</v>
      </c>
      <c r="U38" s="494">
        <v>2</v>
      </c>
      <c r="V38" s="208" t="s">
        <v>856</v>
      </c>
      <c r="W38" s="207" t="s">
        <v>268</v>
      </c>
      <c r="X38" s="207" t="s">
        <v>268</v>
      </c>
      <c r="Y38" s="208" t="s">
        <v>267</v>
      </c>
      <c r="Z38" s="207" t="s">
        <v>268</v>
      </c>
    </row>
    <row r="39" spans="1:26" ht="50.1" customHeight="1" x14ac:dyDescent="0.25">
      <c r="A39" s="568"/>
      <c r="B39" s="570"/>
      <c r="C39" s="515">
        <v>4</v>
      </c>
      <c r="D39" s="525" t="s">
        <v>411</v>
      </c>
      <c r="E39" s="526">
        <v>1</v>
      </c>
      <c r="F39" s="207" t="s">
        <v>268</v>
      </c>
      <c r="G39" s="207" t="s">
        <v>268</v>
      </c>
      <c r="H39" s="207" t="s">
        <v>268</v>
      </c>
      <c r="I39" s="207" t="s">
        <v>268</v>
      </c>
      <c r="J39" s="572"/>
      <c r="K39" s="490" t="s">
        <v>541</v>
      </c>
      <c r="L39" s="512" t="s">
        <v>527</v>
      </c>
      <c r="M39" s="491" t="s">
        <v>571</v>
      </c>
      <c r="N39" s="491" t="s">
        <v>572</v>
      </c>
      <c r="O39" s="509" t="s">
        <v>542</v>
      </c>
      <c r="P39" s="509" t="s">
        <v>550</v>
      </c>
      <c r="Q39" s="510" t="s">
        <v>196</v>
      </c>
      <c r="R39" s="510" t="s">
        <v>551</v>
      </c>
      <c r="S39" s="315">
        <v>63</v>
      </c>
      <c r="T39" s="511" t="s">
        <v>850</v>
      </c>
      <c r="U39" s="495">
        <v>4</v>
      </c>
      <c r="V39" s="208" t="s">
        <v>860</v>
      </c>
      <c r="W39" s="207" t="s">
        <v>268</v>
      </c>
      <c r="X39" s="207" t="s">
        <v>268</v>
      </c>
      <c r="Y39" s="207" t="s">
        <v>268</v>
      </c>
      <c r="Z39" s="208" t="s">
        <v>267</v>
      </c>
    </row>
    <row r="40" spans="1:26" ht="50.1" customHeight="1" x14ac:dyDescent="0.25">
      <c r="A40" s="568"/>
      <c r="B40" s="570"/>
      <c r="C40" s="515">
        <v>5</v>
      </c>
      <c r="D40" s="525" t="s">
        <v>411</v>
      </c>
      <c r="E40" s="526">
        <v>1</v>
      </c>
      <c r="F40" s="207" t="s">
        <v>268</v>
      </c>
      <c r="G40" s="207" t="s">
        <v>268</v>
      </c>
      <c r="H40" s="207" t="s">
        <v>268</v>
      </c>
      <c r="I40" s="507" t="s">
        <v>861</v>
      </c>
      <c r="J40" s="572"/>
      <c r="K40" s="512" t="s">
        <v>527</v>
      </c>
      <c r="L40" s="490" t="s">
        <v>541</v>
      </c>
      <c r="M40" s="516" t="s">
        <v>536</v>
      </c>
      <c r="N40" s="516" t="s">
        <v>573</v>
      </c>
      <c r="O40" s="492" t="s">
        <v>543</v>
      </c>
      <c r="P40" s="493" t="s">
        <v>552</v>
      </c>
      <c r="Q40" s="493" t="s">
        <v>197</v>
      </c>
      <c r="R40" s="493" t="s">
        <v>553</v>
      </c>
      <c r="S40" s="315">
        <v>63</v>
      </c>
      <c r="T40" s="210" t="s">
        <v>852</v>
      </c>
      <c r="U40" s="494">
        <v>1</v>
      </c>
      <c r="V40" s="208" t="s">
        <v>856</v>
      </c>
      <c r="W40" s="207" t="s">
        <v>268</v>
      </c>
      <c r="X40" s="207" t="s">
        <v>268</v>
      </c>
      <c r="Y40" s="208" t="s">
        <v>267</v>
      </c>
      <c r="Z40" s="507" t="s">
        <v>861</v>
      </c>
    </row>
    <row r="41" spans="1:26" ht="5.0999999999999996" customHeight="1" x14ac:dyDescent="0.35">
      <c r="A41" s="558"/>
      <c r="B41" s="559"/>
      <c r="C41" s="560"/>
      <c r="D41" s="560"/>
      <c r="E41" s="561"/>
      <c r="F41" s="560"/>
      <c r="G41" s="560"/>
      <c r="H41" s="560"/>
      <c r="I41" s="560"/>
      <c r="J41" s="560"/>
      <c r="K41" s="562"/>
      <c r="L41" s="562"/>
      <c r="M41" s="562"/>
      <c r="N41" s="562"/>
      <c r="O41" s="562"/>
      <c r="P41" s="563"/>
      <c r="Q41" s="563"/>
      <c r="R41" s="563"/>
      <c r="S41" s="564"/>
      <c r="T41" s="565"/>
      <c r="U41" s="560"/>
      <c r="V41" s="560"/>
      <c r="W41" s="560"/>
      <c r="X41" s="560"/>
      <c r="Y41" s="560"/>
      <c r="Z41" s="566"/>
    </row>
    <row r="42" spans="1:26" ht="50.1" customHeight="1" x14ac:dyDescent="0.25">
      <c r="A42" s="577" t="s">
        <v>894</v>
      </c>
      <c r="B42" s="513">
        <v>4</v>
      </c>
      <c r="C42" s="506">
        <v>1</v>
      </c>
      <c r="D42" s="479" t="s">
        <v>410</v>
      </c>
      <c r="E42" s="211">
        <v>0.55000000000000004</v>
      </c>
      <c r="F42" s="207" t="s">
        <v>268</v>
      </c>
      <c r="G42" s="207" t="s">
        <v>268</v>
      </c>
      <c r="H42" s="504" t="s">
        <v>267</v>
      </c>
      <c r="I42" s="507" t="s">
        <v>895</v>
      </c>
      <c r="J42" s="580" t="s">
        <v>532</v>
      </c>
      <c r="K42" s="512" t="s">
        <v>527</v>
      </c>
      <c r="L42" s="490" t="s">
        <v>541</v>
      </c>
      <c r="M42" s="491" t="s">
        <v>896</v>
      </c>
      <c r="N42" s="491" t="s">
        <v>897</v>
      </c>
      <c r="O42" s="492" t="s">
        <v>543</v>
      </c>
      <c r="P42" s="493" t="s">
        <v>552</v>
      </c>
      <c r="Q42" s="493" t="s">
        <v>197</v>
      </c>
      <c r="R42" s="493" t="s">
        <v>553</v>
      </c>
      <c r="S42" s="315">
        <v>63</v>
      </c>
      <c r="T42" s="209" t="s">
        <v>851</v>
      </c>
      <c r="U42" s="494">
        <v>1</v>
      </c>
      <c r="V42" s="207" t="s">
        <v>268</v>
      </c>
      <c r="W42" s="207" t="s">
        <v>268</v>
      </c>
      <c r="X42" s="207" t="s">
        <v>268</v>
      </c>
      <c r="Y42" s="207" t="s">
        <v>268</v>
      </c>
      <c r="Z42" s="507" t="s">
        <v>861</v>
      </c>
    </row>
    <row r="43" spans="1:26" ht="50.1" customHeight="1" x14ac:dyDescent="0.25">
      <c r="A43" s="577"/>
      <c r="B43" s="513">
        <v>4</v>
      </c>
      <c r="C43" s="506">
        <v>2</v>
      </c>
      <c r="D43" s="479" t="s">
        <v>410</v>
      </c>
      <c r="E43" s="211">
        <v>0.55000000000000004</v>
      </c>
      <c r="F43" s="207" t="s">
        <v>268</v>
      </c>
      <c r="G43" s="207" t="s">
        <v>268</v>
      </c>
      <c r="H43" s="504" t="s">
        <v>267</v>
      </c>
      <c r="I43" s="507" t="s">
        <v>895</v>
      </c>
      <c r="J43" s="580"/>
      <c r="K43" s="512" t="s">
        <v>527</v>
      </c>
      <c r="L43" s="490" t="s">
        <v>541</v>
      </c>
      <c r="M43" s="491" t="s">
        <v>898</v>
      </c>
      <c r="N43" s="491" t="s">
        <v>899</v>
      </c>
      <c r="O43" s="492" t="s">
        <v>543</v>
      </c>
      <c r="P43" s="493" t="s">
        <v>552</v>
      </c>
      <c r="Q43" s="493" t="s">
        <v>197</v>
      </c>
      <c r="R43" s="493" t="s">
        <v>553</v>
      </c>
      <c r="S43" s="315">
        <v>63</v>
      </c>
      <c r="T43" s="210" t="s">
        <v>852</v>
      </c>
      <c r="U43" s="494">
        <v>1</v>
      </c>
      <c r="V43" s="207" t="s">
        <v>268</v>
      </c>
      <c r="W43" s="207" t="s">
        <v>268</v>
      </c>
      <c r="X43" s="207" t="s">
        <v>268</v>
      </c>
      <c r="Y43" s="207" t="s">
        <v>268</v>
      </c>
      <c r="Z43" s="507" t="s">
        <v>861</v>
      </c>
    </row>
    <row r="44" spans="1:26" ht="50.1" customHeight="1" x14ac:dyDescent="0.25">
      <c r="A44" s="578"/>
      <c r="B44" s="513">
        <v>4</v>
      </c>
      <c r="C44" s="506">
        <v>3</v>
      </c>
      <c r="D44" s="479" t="s">
        <v>410</v>
      </c>
      <c r="E44" s="211">
        <v>0.55000000000000004</v>
      </c>
      <c r="F44" s="207" t="s">
        <v>268</v>
      </c>
      <c r="G44" s="207" t="s">
        <v>268</v>
      </c>
      <c r="H44" s="504" t="s">
        <v>267</v>
      </c>
      <c r="I44" s="507" t="s">
        <v>895</v>
      </c>
      <c r="J44" s="581"/>
      <c r="K44" s="512" t="s">
        <v>527</v>
      </c>
      <c r="L44" s="490" t="s">
        <v>541</v>
      </c>
      <c r="M44" s="491" t="s">
        <v>900</v>
      </c>
      <c r="N44" s="491" t="s">
        <v>901</v>
      </c>
      <c r="O44" s="492" t="s">
        <v>543</v>
      </c>
      <c r="P44" s="493" t="s">
        <v>552</v>
      </c>
      <c r="Q44" s="493" t="s">
        <v>197</v>
      </c>
      <c r="R44" s="493" t="s">
        <v>553</v>
      </c>
      <c r="S44" s="315">
        <v>63</v>
      </c>
      <c r="T44" s="210" t="s">
        <v>852</v>
      </c>
      <c r="U44" s="494">
        <v>1</v>
      </c>
      <c r="V44" s="207" t="s">
        <v>268</v>
      </c>
      <c r="W44" s="207" t="s">
        <v>268</v>
      </c>
      <c r="X44" s="207" t="s">
        <v>268</v>
      </c>
      <c r="Y44" s="207" t="s">
        <v>268</v>
      </c>
      <c r="Z44" s="507" t="s">
        <v>861</v>
      </c>
    </row>
    <row r="45" spans="1:26" ht="50.1" customHeight="1" x14ac:dyDescent="0.25">
      <c r="A45" s="579"/>
      <c r="B45" s="513">
        <v>4</v>
      </c>
      <c r="C45" s="506">
        <v>4</v>
      </c>
      <c r="D45" s="479" t="s">
        <v>410</v>
      </c>
      <c r="E45" s="211">
        <v>0.55000000000000004</v>
      </c>
      <c r="F45" s="207" t="s">
        <v>268</v>
      </c>
      <c r="G45" s="207" t="s">
        <v>268</v>
      </c>
      <c r="H45" s="504" t="s">
        <v>267</v>
      </c>
      <c r="I45" s="507" t="s">
        <v>895</v>
      </c>
      <c r="J45" s="570"/>
      <c r="K45" s="512" t="s">
        <v>527</v>
      </c>
      <c r="L45" s="490" t="s">
        <v>541</v>
      </c>
      <c r="M45" s="491" t="s">
        <v>902</v>
      </c>
      <c r="N45" s="491" t="s">
        <v>903</v>
      </c>
      <c r="O45" s="492" t="s">
        <v>543</v>
      </c>
      <c r="P45" s="493" t="s">
        <v>552</v>
      </c>
      <c r="Q45" s="493" t="s">
        <v>197</v>
      </c>
      <c r="R45" s="493" t="s">
        <v>553</v>
      </c>
      <c r="S45" s="315">
        <v>63</v>
      </c>
      <c r="T45" s="209" t="s">
        <v>851</v>
      </c>
      <c r="U45" s="494">
        <v>1</v>
      </c>
      <c r="V45" s="207" t="s">
        <v>268</v>
      </c>
      <c r="W45" s="207" t="s">
        <v>268</v>
      </c>
      <c r="X45" s="207" t="s">
        <v>268</v>
      </c>
      <c r="Y45" s="207" t="s">
        <v>268</v>
      </c>
      <c r="Z45" s="507" t="s">
        <v>861</v>
      </c>
    </row>
    <row r="46" spans="1:26" ht="5.0999999999999996" customHeight="1" x14ac:dyDescent="0.35">
      <c r="A46" s="558"/>
      <c r="B46" s="559"/>
      <c r="C46" s="560"/>
      <c r="D46" s="560"/>
      <c r="E46" s="561"/>
      <c r="F46" s="560"/>
      <c r="G46" s="560"/>
      <c r="H46" s="560"/>
      <c r="I46" s="560"/>
      <c r="J46" s="560"/>
      <c r="K46" s="562"/>
      <c r="L46" s="562"/>
      <c r="M46" s="562"/>
      <c r="N46" s="562"/>
      <c r="O46" s="562"/>
      <c r="P46" s="563"/>
      <c r="Q46" s="563"/>
      <c r="R46" s="563"/>
      <c r="S46" s="564"/>
      <c r="T46" s="565"/>
      <c r="U46" s="560"/>
      <c r="V46" s="560"/>
      <c r="W46" s="560"/>
      <c r="X46" s="560"/>
      <c r="Y46" s="560"/>
      <c r="Z46" s="566"/>
    </row>
    <row r="47" spans="1:26" ht="50.1" customHeight="1" x14ac:dyDescent="0.25">
      <c r="A47" s="505" t="s">
        <v>929</v>
      </c>
      <c r="B47" s="506">
        <v>1</v>
      </c>
      <c r="C47" s="506">
        <v>1</v>
      </c>
      <c r="D47" s="479" t="s">
        <v>934</v>
      </c>
      <c r="E47" s="211">
        <v>1</v>
      </c>
      <c r="F47" s="207" t="s">
        <v>268</v>
      </c>
      <c r="G47" s="504" t="s">
        <v>267</v>
      </c>
      <c r="H47" s="207" t="s">
        <v>268</v>
      </c>
      <c r="I47" s="507" t="s">
        <v>861</v>
      </c>
      <c r="J47" s="508" t="s">
        <v>414</v>
      </c>
      <c r="K47" s="512" t="s">
        <v>527</v>
      </c>
      <c r="L47" s="490" t="s">
        <v>541</v>
      </c>
      <c r="M47" s="491" t="s">
        <v>548</v>
      </c>
      <c r="N47" s="491" t="s">
        <v>554</v>
      </c>
      <c r="O47" s="492" t="s">
        <v>543</v>
      </c>
      <c r="P47" s="493" t="s">
        <v>552</v>
      </c>
      <c r="Q47" s="493" t="s">
        <v>197</v>
      </c>
      <c r="R47" s="493" t="s">
        <v>553</v>
      </c>
      <c r="S47" s="315">
        <v>63</v>
      </c>
      <c r="T47" s="511" t="s">
        <v>850</v>
      </c>
      <c r="U47" s="494">
        <v>1</v>
      </c>
      <c r="V47" s="207" t="s">
        <v>268</v>
      </c>
      <c r="W47" s="207" t="s">
        <v>268</v>
      </c>
      <c r="X47" s="207" t="s">
        <v>268</v>
      </c>
      <c r="Y47" s="207" t="s">
        <v>268</v>
      </c>
      <c r="Z47" s="507" t="s">
        <v>861</v>
      </c>
    </row>
    <row r="48" spans="1:26" ht="5.0999999999999996" customHeight="1" x14ac:dyDescent="0.35">
      <c r="A48" s="558"/>
      <c r="B48" s="559"/>
      <c r="C48" s="560"/>
      <c r="D48" s="560"/>
      <c r="E48" s="561"/>
      <c r="F48" s="560"/>
      <c r="G48" s="560"/>
      <c r="H48" s="560"/>
      <c r="I48" s="560"/>
      <c r="J48" s="560"/>
      <c r="K48" s="562"/>
      <c r="L48" s="562"/>
      <c r="M48" s="562"/>
      <c r="N48" s="562"/>
      <c r="O48" s="562"/>
      <c r="P48" s="563"/>
      <c r="Q48" s="563"/>
      <c r="R48" s="563"/>
      <c r="S48" s="564"/>
      <c r="T48" s="565"/>
      <c r="U48" s="560"/>
      <c r="V48" s="560"/>
      <c r="W48" s="560"/>
      <c r="X48" s="560"/>
      <c r="Y48" s="560"/>
      <c r="Z48" s="566"/>
    </row>
    <row r="49" spans="1:26" ht="50.1" customHeight="1" x14ac:dyDescent="0.25">
      <c r="A49" s="505" t="s">
        <v>930</v>
      </c>
      <c r="B49" s="506">
        <v>1</v>
      </c>
      <c r="C49" s="506">
        <v>1</v>
      </c>
      <c r="D49" s="479" t="s">
        <v>410</v>
      </c>
      <c r="E49" s="211">
        <v>0</v>
      </c>
      <c r="F49" s="504" t="s">
        <v>267</v>
      </c>
      <c r="G49" s="207" t="s">
        <v>268</v>
      </c>
      <c r="H49" s="207" t="s">
        <v>268</v>
      </c>
      <c r="I49" s="507" t="s">
        <v>861</v>
      </c>
      <c r="J49" s="520" t="s">
        <v>532</v>
      </c>
      <c r="K49" s="512" t="s">
        <v>527</v>
      </c>
      <c r="L49" s="490" t="s">
        <v>541</v>
      </c>
      <c r="M49" s="491" t="s">
        <v>548</v>
      </c>
      <c r="N49" s="491" t="s">
        <v>554</v>
      </c>
      <c r="O49" s="492" t="s">
        <v>543</v>
      </c>
      <c r="P49" s="493" t="s">
        <v>552</v>
      </c>
      <c r="Q49" s="493" t="s">
        <v>197</v>
      </c>
      <c r="R49" s="493" t="s">
        <v>553</v>
      </c>
      <c r="S49" s="315">
        <v>63</v>
      </c>
      <c r="T49" s="511" t="s">
        <v>850</v>
      </c>
      <c r="U49" s="494">
        <v>1</v>
      </c>
      <c r="V49" s="207" t="s">
        <v>268</v>
      </c>
      <c r="W49" s="207" t="s">
        <v>268</v>
      </c>
      <c r="X49" s="207" t="s">
        <v>268</v>
      </c>
      <c r="Y49" s="207" t="s">
        <v>268</v>
      </c>
      <c r="Z49" s="507" t="s">
        <v>861</v>
      </c>
    </row>
    <row r="50" spans="1:26" ht="5.0999999999999996" customHeight="1" x14ac:dyDescent="0.35">
      <c r="A50" s="558"/>
      <c r="B50" s="559"/>
      <c r="C50" s="560"/>
      <c r="D50" s="560"/>
      <c r="E50" s="561"/>
      <c r="F50" s="560"/>
      <c r="G50" s="560"/>
      <c r="H50" s="560"/>
      <c r="I50" s="560"/>
      <c r="J50" s="560"/>
      <c r="K50" s="562"/>
      <c r="L50" s="562"/>
      <c r="M50" s="562"/>
      <c r="N50" s="562"/>
      <c r="O50" s="562"/>
      <c r="P50" s="563"/>
      <c r="Q50" s="563"/>
      <c r="R50" s="563"/>
      <c r="S50" s="564"/>
      <c r="T50" s="565"/>
      <c r="U50" s="560"/>
      <c r="V50" s="560"/>
      <c r="W50" s="560"/>
      <c r="X50" s="560"/>
      <c r="Y50" s="560"/>
      <c r="Z50" s="566"/>
    </row>
    <row r="51" spans="1:26" ht="50.1" customHeight="1" x14ac:dyDescent="0.25">
      <c r="A51" s="567" t="s">
        <v>931</v>
      </c>
      <c r="B51" s="569">
        <v>5</v>
      </c>
      <c r="C51" s="506">
        <v>1</v>
      </c>
      <c r="D51" s="523" t="s">
        <v>932</v>
      </c>
      <c r="E51" s="524">
        <v>1</v>
      </c>
      <c r="F51" s="207" t="s">
        <v>268</v>
      </c>
      <c r="G51" s="207" t="s">
        <v>268</v>
      </c>
      <c r="H51" s="207" t="s">
        <v>268</v>
      </c>
      <c r="I51" s="207" t="s">
        <v>268</v>
      </c>
      <c r="J51" s="571" t="s">
        <v>414</v>
      </c>
      <c r="K51" s="512" t="s">
        <v>527</v>
      </c>
      <c r="L51" s="490" t="s">
        <v>541</v>
      </c>
      <c r="M51" s="491" t="s">
        <v>566</v>
      </c>
      <c r="N51" s="491" t="s">
        <v>567</v>
      </c>
      <c r="O51" s="492" t="s">
        <v>543</v>
      </c>
      <c r="P51" s="493" t="s">
        <v>552</v>
      </c>
      <c r="Q51" s="493" t="s">
        <v>197</v>
      </c>
      <c r="R51" s="493" t="s">
        <v>553</v>
      </c>
      <c r="S51" s="315">
        <v>63</v>
      </c>
      <c r="T51" s="511" t="s">
        <v>850</v>
      </c>
      <c r="U51" s="494">
        <v>2</v>
      </c>
      <c r="V51" s="208" t="s">
        <v>856</v>
      </c>
      <c r="W51" s="207" t="s">
        <v>268</v>
      </c>
      <c r="X51" s="207" t="s">
        <v>268</v>
      </c>
      <c r="Y51" s="207" t="s">
        <v>268</v>
      </c>
      <c r="Z51" s="208" t="s">
        <v>267</v>
      </c>
    </row>
    <row r="52" spans="1:26" ht="50.1" customHeight="1" x14ac:dyDescent="0.25">
      <c r="A52" s="568"/>
      <c r="B52" s="570"/>
      <c r="C52" s="515">
        <v>2</v>
      </c>
      <c r="D52" s="523" t="s">
        <v>932</v>
      </c>
      <c r="E52" s="524">
        <v>1</v>
      </c>
      <c r="F52" s="207" t="s">
        <v>268</v>
      </c>
      <c r="G52" s="207" t="s">
        <v>268</v>
      </c>
      <c r="H52" s="207" t="s">
        <v>268</v>
      </c>
      <c r="I52" s="207" t="s">
        <v>268</v>
      </c>
      <c r="J52" s="572"/>
      <c r="K52" s="490" t="s">
        <v>541</v>
      </c>
      <c r="L52" s="512" t="s">
        <v>527</v>
      </c>
      <c r="M52" s="491" t="s">
        <v>568</v>
      </c>
      <c r="N52" s="491" t="s">
        <v>569</v>
      </c>
      <c r="O52" s="509" t="s">
        <v>542</v>
      </c>
      <c r="P52" s="509" t="s">
        <v>550</v>
      </c>
      <c r="Q52" s="510" t="s">
        <v>196</v>
      </c>
      <c r="R52" s="510" t="s">
        <v>551</v>
      </c>
      <c r="S52" s="315">
        <v>63</v>
      </c>
      <c r="T52" s="209" t="s">
        <v>851</v>
      </c>
      <c r="U52" s="494">
        <v>2</v>
      </c>
      <c r="V52" s="208" t="s">
        <v>859</v>
      </c>
      <c r="W52" s="207" t="s">
        <v>268</v>
      </c>
      <c r="X52" s="207" t="s">
        <v>268</v>
      </c>
      <c r="Y52" s="207" t="s">
        <v>268</v>
      </c>
      <c r="Z52" s="207" t="s">
        <v>268</v>
      </c>
    </row>
    <row r="53" spans="1:26" ht="50.1" customHeight="1" x14ac:dyDescent="0.25">
      <c r="A53" s="568"/>
      <c r="B53" s="570"/>
      <c r="C53" s="515">
        <v>3</v>
      </c>
      <c r="D53" s="523" t="s">
        <v>932</v>
      </c>
      <c r="E53" s="524">
        <v>1</v>
      </c>
      <c r="F53" s="207" t="s">
        <v>268</v>
      </c>
      <c r="G53" s="207" t="s">
        <v>268</v>
      </c>
      <c r="H53" s="207" t="s">
        <v>268</v>
      </c>
      <c r="I53" s="207" t="s">
        <v>268</v>
      </c>
      <c r="J53" s="572"/>
      <c r="K53" s="512" t="s">
        <v>527</v>
      </c>
      <c r="L53" s="490" t="s">
        <v>541</v>
      </c>
      <c r="M53" s="491" t="s">
        <v>564</v>
      </c>
      <c r="N53" s="491" t="s">
        <v>570</v>
      </c>
      <c r="O53" s="492" t="s">
        <v>543</v>
      </c>
      <c r="P53" s="493" t="s">
        <v>552</v>
      </c>
      <c r="Q53" s="493" t="s">
        <v>197</v>
      </c>
      <c r="R53" s="493" t="s">
        <v>553</v>
      </c>
      <c r="S53" s="315">
        <v>63</v>
      </c>
      <c r="T53" s="209" t="s">
        <v>851</v>
      </c>
      <c r="U53" s="494">
        <v>2</v>
      </c>
      <c r="V53" s="208" t="s">
        <v>856</v>
      </c>
      <c r="W53" s="207" t="s">
        <v>268</v>
      </c>
      <c r="X53" s="207" t="s">
        <v>268</v>
      </c>
      <c r="Y53" s="208" t="s">
        <v>267</v>
      </c>
      <c r="Z53" s="207" t="s">
        <v>268</v>
      </c>
    </row>
    <row r="54" spans="1:26" ht="50.1" customHeight="1" x14ac:dyDescent="0.25">
      <c r="A54" s="568"/>
      <c r="B54" s="570"/>
      <c r="C54" s="515">
        <v>4</v>
      </c>
      <c r="D54" s="523" t="s">
        <v>932</v>
      </c>
      <c r="E54" s="524">
        <v>1</v>
      </c>
      <c r="F54" s="207" t="s">
        <v>268</v>
      </c>
      <c r="G54" s="207" t="s">
        <v>268</v>
      </c>
      <c r="H54" s="207" t="s">
        <v>268</v>
      </c>
      <c r="I54" s="207" t="s">
        <v>268</v>
      </c>
      <c r="J54" s="572"/>
      <c r="K54" s="490" t="s">
        <v>541</v>
      </c>
      <c r="L54" s="512" t="s">
        <v>527</v>
      </c>
      <c r="M54" s="491" t="s">
        <v>571</v>
      </c>
      <c r="N54" s="491" t="s">
        <v>572</v>
      </c>
      <c r="O54" s="509" t="s">
        <v>542</v>
      </c>
      <c r="P54" s="509" t="s">
        <v>550</v>
      </c>
      <c r="Q54" s="510" t="s">
        <v>196</v>
      </c>
      <c r="R54" s="510" t="s">
        <v>551</v>
      </c>
      <c r="S54" s="315">
        <v>63</v>
      </c>
      <c r="T54" s="511" t="s">
        <v>850</v>
      </c>
      <c r="U54" s="495">
        <v>4</v>
      </c>
      <c r="V54" s="208" t="s">
        <v>860</v>
      </c>
      <c r="W54" s="207" t="s">
        <v>268</v>
      </c>
      <c r="X54" s="207" t="s">
        <v>268</v>
      </c>
      <c r="Y54" s="207" t="s">
        <v>268</v>
      </c>
      <c r="Z54" s="208" t="s">
        <v>267</v>
      </c>
    </row>
    <row r="55" spans="1:26" ht="50.1" customHeight="1" x14ac:dyDescent="0.25">
      <c r="A55" s="568"/>
      <c r="B55" s="570"/>
      <c r="C55" s="515">
        <v>5</v>
      </c>
      <c r="D55" s="523" t="s">
        <v>932</v>
      </c>
      <c r="E55" s="524">
        <v>1</v>
      </c>
      <c r="F55" s="207" t="s">
        <v>268</v>
      </c>
      <c r="G55" s="207" t="s">
        <v>268</v>
      </c>
      <c r="H55" s="207" t="s">
        <v>268</v>
      </c>
      <c r="I55" s="507" t="s">
        <v>861</v>
      </c>
      <c r="J55" s="572"/>
      <c r="K55" s="512" t="s">
        <v>527</v>
      </c>
      <c r="L55" s="490" t="s">
        <v>541</v>
      </c>
      <c r="M55" s="516" t="s">
        <v>536</v>
      </c>
      <c r="N55" s="516" t="s">
        <v>573</v>
      </c>
      <c r="O55" s="492" t="s">
        <v>543</v>
      </c>
      <c r="P55" s="493" t="s">
        <v>552</v>
      </c>
      <c r="Q55" s="493" t="s">
        <v>197</v>
      </c>
      <c r="R55" s="493" t="s">
        <v>553</v>
      </c>
      <c r="S55" s="315">
        <v>63</v>
      </c>
      <c r="T55" s="210" t="s">
        <v>852</v>
      </c>
      <c r="U55" s="494">
        <v>1</v>
      </c>
      <c r="V55" s="208" t="s">
        <v>856</v>
      </c>
      <c r="W55" s="207" t="s">
        <v>268</v>
      </c>
      <c r="X55" s="207" t="s">
        <v>268</v>
      </c>
      <c r="Y55" s="208" t="s">
        <v>267</v>
      </c>
      <c r="Z55" s="507" t="s">
        <v>861</v>
      </c>
    </row>
    <row r="56" spans="1:26" ht="5.0999999999999996" customHeight="1" x14ac:dyDescent="0.35">
      <c r="A56" s="558"/>
      <c r="B56" s="559"/>
      <c r="C56" s="560"/>
      <c r="D56" s="560"/>
      <c r="E56" s="561"/>
      <c r="F56" s="560"/>
      <c r="G56" s="560"/>
      <c r="H56" s="560"/>
      <c r="I56" s="560"/>
      <c r="J56" s="560"/>
      <c r="K56" s="562"/>
      <c r="L56" s="562"/>
      <c r="M56" s="562"/>
      <c r="N56" s="562"/>
      <c r="O56" s="562"/>
      <c r="P56" s="563"/>
      <c r="Q56" s="563"/>
      <c r="R56" s="563"/>
      <c r="S56" s="564"/>
      <c r="T56" s="565"/>
      <c r="U56" s="560"/>
      <c r="V56" s="560"/>
      <c r="W56" s="560"/>
      <c r="X56" s="560"/>
      <c r="Y56" s="560"/>
      <c r="Z56" s="566"/>
    </row>
    <row r="57" spans="1:26" ht="50.1" customHeight="1" x14ac:dyDescent="0.25">
      <c r="A57" s="505" t="s">
        <v>844</v>
      </c>
      <c r="B57" s="506">
        <v>1</v>
      </c>
      <c r="C57" s="506">
        <v>1</v>
      </c>
      <c r="D57" s="479" t="s">
        <v>410</v>
      </c>
      <c r="E57" s="211">
        <v>0.55000000000000004</v>
      </c>
      <c r="F57" s="207" t="s">
        <v>268</v>
      </c>
      <c r="G57" s="207" t="s">
        <v>268</v>
      </c>
      <c r="H57" s="207" t="s">
        <v>268</v>
      </c>
      <c r="I57" s="504" t="s">
        <v>267</v>
      </c>
      <c r="J57" s="507" t="s">
        <v>438</v>
      </c>
      <c r="K57" s="512" t="s">
        <v>527</v>
      </c>
      <c r="L57" s="490" t="s">
        <v>541</v>
      </c>
      <c r="M57" s="491" t="s">
        <v>548</v>
      </c>
      <c r="N57" s="491" t="s">
        <v>574</v>
      </c>
      <c r="O57" s="492" t="s">
        <v>543</v>
      </c>
      <c r="P57" s="493" t="s">
        <v>552</v>
      </c>
      <c r="Q57" s="493" t="s">
        <v>197</v>
      </c>
      <c r="R57" s="493" t="s">
        <v>553</v>
      </c>
      <c r="S57" s="315">
        <v>63</v>
      </c>
      <c r="T57" s="511" t="s">
        <v>850</v>
      </c>
      <c r="U57" s="494">
        <v>1</v>
      </c>
      <c r="V57" s="207" t="s">
        <v>268</v>
      </c>
      <c r="W57" s="207" t="s">
        <v>268</v>
      </c>
      <c r="X57" s="207" t="s">
        <v>268</v>
      </c>
      <c r="Y57" s="207" t="s">
        <v>268</v>
      </c>
      <c r="Z57" s="507" t="s">
        <v>861</v>
      </c>
    </row>
    <row r="58" spans="1:26" ht="5.0999999999999996" customHeight="1" x14ac:dyDescent="0.35">
      <c r="A58" s="558"/>
      <c r="B58" s="559"/>
      <c r="C58" s="560"/>
      <c r="D58" s="560"/>
      <c r="E58" s="561"/>
      <c r="F58" s="560"/>
      <c r="G58" s="560"/>
      <c r="H58" s="560"/>
      <c r="I58" s="560"/>
      <c r="J58" s="560"/>
      <c r="K58" s="562"/>
      <c r="L58" s="562"/>
      <c r="M58" s="562"/>
      <c r="N58" s="562"/>
      <c r="O58" s="562"/>
      <c r="P58" s="563"/>
      <c r="Q58" s="563"/>
      <c r="R58" s="563"/>
      <c r="S58" s="564"/>
      <c r="T58" s="565"/>
      <c r="U58" s="560"/>
      <c r="V58" s="560"/>
      <c r="W58" s="560"/>
      <c r="X58" s="560"/>
      <c r="Y58" s="560"/>
      <c r="Z58" s="566"/>
    </row>
    <row r="59" spans="1:26" ht="50.1" customHeight="1" x14ac:dyDescent="0.25">
      <c r="A59" s="505" t="s">
        <v>845</v>
      </c>
      <c r="B59" s="506">
        <v>1</v>
      </c>
      <c r="C59" s="506">
        <v>1</v>
      </c>
      <c r="D59" s="479" t="s">
        <v>410</v>
      </c>
      <c r="E59" s="211">
        <v>0.55000000000000004</v>
      </c>
      <c r="F59" s="207" t="s">
        <v>268</v>
      </c>
      <c r="G59" s="207" t="s">
        <v>268</v>
      </c>
      <c r="H59" s="207" t="s">
        <v>268</v>
      </c>
      <c r="I59" s="504" t="s">
        <v>267</v>
      </c>
      <c r="J59" s="507" t="s">
        <v>438</v>
      </c>
      <c r="K59" s="490" t="s">
        <v>541</v>
      </c>
      <c r="L59" s="512" t="s">
        <v>527</v>
      </c>
      <c r="M59" s="491" t="s">
        <v>562</v>
      </c>
      <c r="N59" s="491" t="s">
        <v>797</v>
      </c>
      <c r="O59" s="509" t="s">
        <v>542</v>
      </c>
      <c r="P59" s="509" t="s">
        <v>550</v>
      </c>
      <c r="Q59" s="510" t="s">
        <v>196</v>
      </c>
      <c r="R59" s="510" t="s">
        <v>551</v>
      </c>
      <c r="S59" s="315">
        <v>63</v>
      </c>
      <c r="T59" s="210" t="s">
        <v>852</v>
      </c>
      <c r="U59" s="494">
        <v>1</v>
      </c>
      <c r="V59" s="208" t="s">
        <v>856</v>
      </c>
      <c r="W59" s="207" t="s">
        <v>268</v>
      </c>
      <c r="X59" s="208" t="s">
        <v>267</v>
      </c>
      <c r="Y59" s="208" t="s">
        <v>267</v>
      </c>
      <c r="Z59" s="507" t="s">
        <v>861</v>
      </c>
    </row>
    <row r="60" spans="1:26" ht="5.0999999999999996" customHeight="1" x14ac:dyDescent="0.35">
      <c r="A60" s="558"/>
      <c r="B60" s="559"/>
      <c r="C60" s="560"/>
      <c r="D60" s="560"/>
      <c r="E60" s="561"/>
      <c r="F60" s="560"/>
      <c r="G60" s="560"/>
      <c r="H60" s="560"/>
      <c r="I60" s="560"/>
      <c r="J60" s="560"/>
      <c r="K60" s="562"/>
      <c r="L60" s="562"/>
      <c r="M60" s="562"/>
      <c r="N60" s="562"/>
      <c r="O60" s="562"/>
      <c r="P60" s="563"/>
      <c r="Q60" s="563"/>
      <c r="R60" s="563"/>
      <c r="S60" s="564"/>
      <c r="T60" s="565"/>
      <c r="U60" s="560"/>
      <c r="V60" s="560"/>
      <c r="W60" s="560"/>
      <c r="X60" s="560"/>
      <c r="Y60" s="560"/>
      <c r="Z60" s="566"/>
    </row>
    <row r="61" spans="1:26" ht="50.1" customHeight="1" x14ac:dyDescent="0.25">
      <c r="A61" s="567" t="s">
        <v>847</v>
      </c>
      <c r="B61" s="575">
        <v>2</v>
      </c>
      <c r="C61" s="506">
        <v>1</v>
      </c>
      <c r="D61" s="479" t="s">
        <v>410</v>
      </c>
      <c r="E61" s="211">
        <v>0.55000000000000004</v>
      </c>
      <c r="F61" s="207" t="s">
        <v>268</v>
      </c>
      <c r="G61" s="207" t="s">
        <v>268</v>
      </c>
      <c r="H61" s="207" t="s">
        <v>268</v>
      </c>
      <c r="I61" s="504" t="s">
        <v>267</v>
      </c>
      <c r="J61" s="507" t="s">
        <v>438</v>
      </c>
      <c r="K61" s="512" t="s">
        <v>527</v>
      </c>
      <c r="L61" s="490" t="s">
        <v>541</v>
      </c>
      <c r="M61" s="491" t="s">
        <v>537</v>
      </c>
      <c r="N61" s="491" t="s">
        <v>575</v>
      </c>
      <c r="O61" s="492" t="s">
        <v>543</v>
      </c>
      <c r="P61" s="493" t="s">
        <v>552</v>
      </c>
      <c r="Q61" s="493" t="s">
        <v>197</v>
      </c>
      <c r="R61" s="493" t="s">
        <v>553</v>
      </c>
      <c r="S61" s="315">
        <v>63</v>
      </c>
      <c r="T61" s="210" t="s">
        <v>852</v>
      </c>
      <c r="U61" s="494">
        <v>1</v>
      </c>
      <c r="V61" s="208" t="s">
        <v>856</v>
      </c>
      <c r="W61" s="207" t="s">
        <v>268</v>
      </c>
      <c r="X61" s="208" t="s">
        <v>267</v>
      </c>
      <c r="Y61" s="208" t="s">
        <v>267</v>
      </c>
      <c r="Z61" s="507" t="s">
        <v>861</v>
      </c>
    </row>
    <row r="62" spans="1:26" ht="50.1" customHeight="1" x14ac:dyDescent="0.25">
      <c r="A62" s="573"/>
      <c r="B62" s="576"/>
      <c r="C62" s="529">
        <v>2</v>
      </c>
      <c r="D62" s="530" t="s">
        <v>410</v>
      </c>
      <c r="E62" s="531">
        <v>0.55000000000000004</v>
      </c>
      <c r="F62" s="532" t="s">
        <v>268</v>
      </c>
      <c r="G62" s="532" t="s">
        <v>268</v>
      </c>
      <c r="H62" s="532" t="s">
        <v>268</v>
      </c>
      <c r="I62" s="533" t="s">
        <v>267</v>
      </c>
      <c r="J62" s="534" t="s">
        <v>438</v>
      </c>
      <c r="K62" s="535" t="s">
        <v>527</v>
      </c>
      <c r="L62" s="536" t="s">
        <v>541</v>
      </c>
      <c r="M62" s="537" t="s">
        <v>538</v>
      </c>
      <c r="N62" s="537" t="s">
        <v>576</v>
      </c>
      <c r="O62" s="538" t="s">
        <v>543</v>
      </c>
      <c r="P62" s="539" t="s">
        <v>552</v>
      </c>
      <c r="Q62" s="539" t="s">
        <v>197</v>
      </c>
      <c r="R62" s="539" t="s">
        <v>553</v>
      </c>
      <c r="S62" s="540">
        <v>63</v>
      </c>
      <c r="T62" s="541" t="s">
        <v>851</v>
      </c>
      <c r="U62" s="542">
        <v>1</v>
      </c>
      <c r="V62" s="532" t="s">
        <v>268</v>
      </c>
      <c r="W62" s="532" t="s">
        <v>268</v>
      </c>
      <c r="X62" s="543" t="s">
        <v>267</v>
      </c>
      <c r="Y62" s="532" t="s">
        <v>268</v>
      </c>
      <c r="Z62" s="534" t="s">
        <v>861</v>
      </c>
    </row>
    <row r="63" spans="1:26" ht="5.0999999999999996" customHeight="1" x14ac:dyDescent="0.35">
      <c r="A63" s="558"/>
      <c r="B63" s="559"/>
      <c r="C63" s="560"/>
      <c r="D63" s="560"/>
      <c r="E63" s="561"/>
      <c r="F63" s="560"/>
      <c r="G63" s="560"/>
      <c r="H63" s="560"/>
      <c r="I63" s="560"/>
      <c r="J63" s="560"/>
      <c r="K63" s="562"/>
      <c r="L63" s="562"/>
      <c r="M63" s="562"/>
      <c r="N63" s="562"/>
      <c r="O63" s="562"/>
      <c r="P63" s="563"/>
      <c r="Q63" s="563"/>
      <c r="R63" s="563"/>
      <c r="S63" s="564"/>
      <c r="T63" s="565"/>
      <c r="U63" s="560"/>
      <c r="V63" s="560"/>
      <c r="W63" s="560"/>
      <c r="X63" s="560"/>
      <c r="Y63" s="560"/>
      <c r="Z63" s="566"/>
    </row>
    <row r="64" spans="1:26" ht="50.1" customHeight="1" x14ac:dyDescent="0.25">
      <c r="A64" s="544" t="s">
        <v>846</v>
      </c>
      <c r="B64" s="545">
        <v>1</v>
      </c>
      <c r="C64" s="545">
        <v>1</v>
      </c>
      <c r="D64" s="546" t="s">
        <v>410</v>
      </c>
      <c r="E64" s="547">
        <v>0.55000000000000004</v>
      </c>
      <c r="F64" s="548" t="s">
        <v>268</v>
      </c>
      <c r="G64" s="548" t="s">
        <v>268</v>
      </c>
      <c r="H64" s="548" t="s">
        <v>268</v>
      </c>
      <c r="I64" s="548" t="s">
        <v>268</v>
      </c>
      <c r="J64" s="549" t="s">
        <v>438</v>
      </c>
      <c r="K64" s="550" t="s">
        <v>541</v>
      </c>
      <c r="L64" s="551" t="s">
        <v>527</v>
      </c>
      <c r="M64" s="552" t="s">
        <v>548</v>
      </c>
      <c r="N64" s="552" t="s">
        <v>574</v>
      </c>
      <c r="O64" s="553" t="s">
        <v>542</v>
      </c>
      <c r="P64" s="553" t="s">
        <v>550</v>
      </c>
      <c r="Q64" s="554" t="s">
        <v>196</v>
      </c>
      <c r="R64" s="554" t="s">
        <v>551</v>
      </c>
      <c r="S64" s="555">
        <v>63</v>
      </c>
      <c r="T64" s="556" t="s">
        <v>850</v>
      </c>
      <c r="U64" s="557">
        <v>1</v>
      </c>
      <c r="V64" s="548" t="s">
        <v>268</v>
      </c>
      <c r="W64" s="548" t="s">
        <v>268</v>
      </c>
      <c r="X64" s="548" t="s">
        <v>268</v>
      </c>
      <c r="Y64" s="548" t="s">
        <v>268</v>
      </c>
      <c r="Z64" s="549" t="s">
        <v>861</v>
      </c>
    </row>
    <row r="65" spans="1:26" ht="5.0999999999999996" customHeight="1" x14ac:dyDescent="0.35">
      <c r="A65" s="558"/>
      <c r="B65" s="559"/>
      <c r="C65" s="560"/>
      <c r="D65" s="560"/>
      <c r="E65" s="561"/>
      <c r="F65" s="560"/>
      <c r="G65" s="560"/>
      <c r="H65" s="560"/>
      <c r="I65" s="560"/>
      <c r="J65" s="560"/>
      <c r="K65" s="562"/>
      <c r="L65" s="562"/>
      <c r="M65" s="562"/>
      <c r="N65" s="562"/>
      <c r="O65" s="562"/>
      <c r="P65" s="563"/>
      <c r="Q65" s="563"/>
      <c r="R65" s="563"/>
      <c r="S65" s="564"/>
      <c r="T65" s="565"/>
      <c r="U65" s="560"/>
      <c r="V65" s="560"/>
      <c r="W65" s="560"/>
      <c r="X65" s="560"/>
      <c r="Y65" s="560"/>
      <c r="Z65" s="566"/>
    </row>
  </sheetData>
  <sheetProtection algorithmName="SHA-512" hashValue="3RugHAvjoaMFyT7EGeUDjBgr++NuXSY0DYcMxT/99LhoImXkTAcW0H2fFRpT/YCc5UGOFOZD+i5zOwd29ho0Wg==" saltValue="q3zbLOT+cKStsI18Lej27w==" spinCount="100000" sheet="1" sort="0" autoFilter="0"/>
  <autoFilter ref="A2:Z64"/>
  <mergeCells count="19">
    <mergeCell ref="D1:H1"/>
    <mergeCell ref="I1:J1"/>
    <mergeCell ref="K1:Z1"/>
    <mergeCell ref="A32:A34"/>
    <mergeCell ref="J32:J34"/>
    <mergeCell ref="B32:B34"/>
    <mergeCell ref="B15:B16"/>
    <mergeCell ref="A1:C1"/>
    <mergeCell ref="A51:A55"/>
    <mergeCell ref="B51:B55"/>
    <mergeCell ref="J51:J55"/>
    <mergeCell ref="A61:A62"/>
    <mergeCell ref="A15:A16"/>
    <mergeCell ref="A36:A40"/>
    <mergeCell ref="J36:J40"/>
    <mergeCell ref="B36:B40"/>
    <mergeCell ref="B61:B62"/>
    <mergeCell ref="A42:A45"/>
    <mergeCell ref="J42:J45"/>
  </mergeCells>
  <hyperlinks>
    <hyperlink ref="A3" location="'CONVENTION CAS 1'!A1" display="CONVENTION CAS 1"/>
    <hyperlink ref="A5" location="'CONVENTION CAS 2'!A1" display="CONVENTION CAS 2"/>
    <hyperlink ref="A7" location="'CONVENTION CAS 3'!A1" display="CONVENTION CAS 3"/>
    <hyperlink ref="A9" location="'CONVENTION CAS 4'!A1" display="CONVENTION CAS 4"/>
    <hyperlink ref="A11" location="'CONVENTION CAS 5'!A1" display="CONVENTION CAS 5"/>
    <hyperlink ref="A13" location="'CONVENTION CAS 6'!A1" display="CONVENTION CAS 6"/>
    <hyperlink ref="A15" location="'CONVENTION CAS 7'!A1" display="CONVENTION CAS 7"/>
    <hyperlink ref="A18" location="'CONVENTION CAS 8'!A1" display="CONVENTION CAS 8"/>
    <hyperlink ref="A20" location="'CONVENTION CAS 9'!A1" display="CONVENTION CAS 9"/>
    <hyperlink ref="A22" location="'CONVENTION CAS 10'!A1" display="CONVENTION CAS 10"/>
    <hyperlink ref="A24" location="'CONVENTION CAS 11'!A1" display="CONVENTION CAS 11"/>
    <hyperlink ref="A26" location="'CONVENTION CAS 12'!A1" display="CONVENTION CAS 12"/>
    <hyperlink ref="A28" location="'CONVENTION CAS 13'!A1" display="CONVENTION CAS 13"/>
    <hyperlink ref="A30" location="'CONVENTION CAS 14'!A1" display="CONVENTION CAS 14"/>
    <hyperlink ref="A32" location="'CONVENTION CAS 15'!A1" display="CONVENTION CAS 15"/>
    <hyperlink ref="A36" location="'CONVENTION CAS 16'!A1" display="CONVENTION CAS 16"/>
    <hyperlink ref="A57" location="'TP CONTRE TP CAS 1'!A1" display="TP CONTRE TP CAS 1"/>
    <hyperlink ref="A59" location="'TP CONTRE TP CAS 2'!A1" display="TP CONTRE TP CAS 2"/>
    <hyperlink ref="A61" location="'TP CONTRE TP CAS 3'!A1" display="TP CONTRE TP CAS 3"/>
    <hyperlink ref="A64" location="'TP CONTRE TP CAS 4'!A1" display="TP CONTRE TP CAS 4"/>
    <hyperlink ref="A42:A45" location="'CONVENTION CAS 17'!A1" display="CONVENTION CAS 17"/>
    <hyperlink ref="A47" location="'CONVENTION CAS 3'!A1" display="CONVENTION CAS 3"/>
    <hyperlink ref="A49" location="'CONVENTION CAS 3'!A1" display="CONVENTION CAS 3"/>
    <hyperlink ref="A51" location="'CONVENTION CAS 16'!A1" display="CONVENTION CAS 16"/>
  </hyperlinks>
  <printOptions horizontalCentered="1" verticalCentered="1"/>
  <pageMargins left="0.31496062992125984" right="0.31496062992125984" top="0.35433070866141736" bottom="0.35433070866141736" header="0.11811023622047245" footer="0.11811023622047245"/>
  <pageSetup paperSize="8" scale="33" fitToHeight="4" orientation="landscape" r:id="rId1"/>
  <headerFooter>
    <oddHeader>&amp;C&amp;"-,Gras"&amp;14&amp;U&amp;F / &amp;A</oddHeader>
    <oddFooter>Page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theme="8" tint="-0.499984740745262"/>
    <pageSetUpPr fitToPage="1"/>
  </sheetPr>
  <dimension ref="A1:AI78"/>
  <sheetViews>
    <sheetView view="pageBreakPreview" topLeftCell="A65" zoomScale="115" zoomScaleNormal="25" zoomScaleSheetLayoutView="115" workbookViewId="0">
      <selection activeCell="M79" sqref="M79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30'!A3</f>
        <v>CONVENTION CAS 1</v>
      </c>
      <c r="B5" s="369">
        <f>'LISTE DES CAS ANNEXE 30'!B3</f>
        <v>1</v>
      </c>
      <c r="C5" s="370">
        <f>'LISTE DES CAS ANNEXE 30'!C3</f>
        <v>1</v>
      </c>
      <c r="D5" s="367" t="str">
        <f>'LISTE DES CAS ANNEXE 30'!D3</f>
        <v>MALADIE</v>
      </c>
      <c r="E5" s="368">
        <f>'LISTE DES CAS ANNEXE 30'!E3</f>
        <v>0.55000000000000004</v>
      </c>
      <c r="F5" s="361" t="str">
        <f>'LISTE DES CAS ANNEXE 30'!H3</f>
        <v>NON</v>
      </c>
      <c r="G5" s="384" t="str">
        <f>'LISTE DES CAS ANNEXE 30'!I3</f>
        <v>Sans objet</v>
      </c>
      <c r="H5" s="366" t="str">
        <f>'LISTE DES CAS ANNEXE 30'!J3</f>
        <v>05 - TP AMO SEUL</v>
      </c>
      <c r="I5" s="354" t="str">
        <f>'LISTE DES CAS ANNEXE 30'!K3</f>
        <v>42-SAINT-ETIENNE</v>
      </c>
      <c r="J5" s="355" t="str">
        <f>'LISTE DES CAS ANNEXE 30'!L3</f>
        <v>42-SAINT-ETIENNE</v>
      </c>
      <c r="K5" s="356" t="str">
        <f>'LISTE DES CAS ANNEXE 30'!M3</f>
        <v>01/12/2025 à 10H00</v>
      </c>
      <c r="L5" s="356" t="str">
        <f>'LISTE DES CAS ANNEXE 30'!N3</f>
        <v>01/12/2025 à 10H11</v>
      </c>
      <c r="M5" s="357" t="str">
        <f>'LISTE DES CAS ANNEXE 30'!O3</f>
        <v>AA-001-BB</v>
      </c>
      <c r="N5" s="357" t="str">
        <f>'LISTE DES CAS ANNEXE 30'!P3</f>
        <v>42218 
(SAINT-ETIENNE)</v>
      </c>
      <c r="O5" s="357" t="str">
        <f>'LISTE DES CAS ANNEXE 30'!Q3</f>
        <v>042</v>
      </c>
      <c r="P5" s="357" t="str">
        <f>'LISTE DES CAS ANNEXE 30'!R3</f>
        <v>422 - CPAM DE LA LOIRE</v>
      </c>
      <c r="Q5" s="358">
        <f>'LISTE DES CAS ANNEXE 30'!S3</f>
        <v>3</v>
      </c>
      <c r="R5" s="359" t="str">
        <f>'LISTE DES CAS ANNEXE 30'!T3</f>
        <v>JOUR</v>
      </c>
      <c r="S5" s="360">
        <f>'LISTE DES CAS ANNEXE 30'!U3</f>
        <v>1</v>
      </c>
      <c r="T5" s="356" t="str">
        <f>'LISTE DES CAS ANNEXE 30'!V3</f>
        <v>NON</v>
      </c>
      <c r="U5" s="356" t="str">
        <f>'LISTE DES CAS ANNEXE 30'!W3</f>
        <v>NON</v>
      </c>
      <c r="V5" s="356" t="str">
        <f>'LISTE DES CAS ANNEXE 30'!X3</f>
        <v>NON</v>
      </c>
      <c r="W5" s="356" t="str">
        <f>'LISTE DES CAS ANNEXE 30'!Y3</f>
        <v>NON</v>
      </c>
      <c r="X5" s="361" t="str">
        <f>'LISTE DES CAS ANNEXE 30'!Z3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>
        <v>11111110118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242</v>
      </c>
      <c r="V42" s="193" t="s">
        <v>202</v>
      </c>
      <c r="W42" s="33" t="s">
        <v>590</v>
      </c>
      <c r="X42" s="33" t="s">
        <v>202</v>
      </c>
      <c r="Y42" s="194" t="s">
        <v>591</v>
      </c>
      <c r="Z42" s="194" t="s">
        <v>591</v>
      </c>
      <c r="AA42" s="194" t="s">
        <v>592</v>
      </c>
      <c r="AB42" s="194" t="s">
        <v>593</v>
      </c>
      <c r="AC42" s="194" t="s">
        <v>591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5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5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5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5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5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5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5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5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583</v>
      </c>
      <c r="T56" s="54" t="s">
        <v>263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522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5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5" ht="100.15" customHeight="1" x14ac:dyDescent="0.25">
      <c r="A58" s="614" t="s">
        <v>360</v>
      </c>
      <c r="B58" s="147" t="s">
        <v>13</v>
      </c>
      <c r="C58" s="24" t="s">
        <v>14</v>
      </c>
      <c r="D58" s="24" t="s">
        <v>15</v>
      </c>
      <c r="E58" s="25" t="s">
        <v>16</v>
      </c>
      <c r="F58" s="282" t="s">
        <v>17</v>
      </c>
      <c r="G58" s="24" t="s">
        <v>70</v>
      </c>
      <c r="H58" s="24" t="s">
        <v>15</v>
      </c>
      <c r="I58" s="24" t="s">
        <v>220</v>
      </c>
      <c r="J58" s="24" t="s">
        <v>221</v>
      </c>
      <c r="K58" s="26" t="s">
        <v>222</v>
      </c>
      <c r="L58" s="26" t="s">
        <v>223</v>
      </c>
      <c r="M58" s="24" t="s">
        <v>224</v>
      </c>
      <c r="N58" s="24" t="s">
        <v>225</v>
      </c>
      <c r="O58" s="24" t="s">
        <v>226</v>
      </c>
      <c r="P58" s="24" t="s">
        <v>221</v>
      </c>
      <c r="Q58" s="24" t="s">
        <v>227</v>
      </c>
      <c r="R58" s="24" t="s">
        <v>15</v>
      </c>
      <c r="S58" s="27" t="s">
        <v>228</v>
      </c>
    </row>
    <row r="59" spans="1:35" ht="19.899999999999999" customHeight="1" x14ac:dyDescent="0.25">
      <c r="A59" s="615"/>
      <c r="B59" s="148">
        <v>1</v>
      </c>
      <c r="C59" s="5" t="s">
        <v>47</v>
      </c>
      <c r="D59" s="4">
        <v>11</v>
      </c>
      <c r="E59" s="6" t="s">
        <v>48</v>
      </c>
      <c r="F59" s="283" t="s">
        <v>49</v>
      </c>
      <c r="G59" s="7" t="s">
        <v>50</v>
      </c>
      <c r="H59" s="7" t="s">
        <v>229</v>
      </c>
      <c r="I59" s="7" t="s">
        <v>216</v>
      </c>
      <c r="J59" s="7" t="s">
        <v>230</v>
      </c>
      <c r="K59" s="8" t="s">
        <v>217</v>
      </c>
      <c r="L59" s="8" t="s">
        <v>218</v>
      </c>
      <c r="M59" s="7" t="s">
        <v>179</v>
      </c>
      <c r="N59" s="7" t="s">
        <v>219</v>
      </c>
      <c r="O59" s="7">
        <v>90</v>
      </c>
      <c r="P59" s="7" t="s">
        <v>231</v>
      </c>
      <c r="Q59" s="7">
        <v>94</v>
      </c>
      <c r="R59" s="7" t="s">
        <v>232</v>
      </c>
      <c r="S59" s="28" t="s">
        <v>233</v>
      </c>
    </row>
    <row r="60" spans="1:35" outlineLevel="1" x14ac:dyDescent="0.25">
      <c r="A60" s="615"/>
      <c r="B60" s="148">
        <v>1</v>
      </c>
      <c r="C60" s="4">
        <v>9</v>
      </c>
      <c r="D60" s="4">
        <v>1</v>
      </c>
      <c r="E60" s="9">
        <v>13</v>
      </c>
      <c r="F60" s="284">
        <v>2</v>
      </c>
      <c r="G60" s="4">
        <v>9</v>
      </c>
      <c r="H60" s="4">
        <v>3</v>
      </c>
      <c r="I60" s="4">
        <v>3</v>
      </c>
      <c r="J60" s="4">
        <v>16</v>
      </c>
      <c r="K60" s="10">
        <v>8</v>
      </c>
      <c r="L60" s="10">
        <v>8</v>
      </c>
      <c r="M60" s="4">
        <v>8</v>
      </c>
      <c r="N60" s="4">
        <v>8</v>
      </c>
      <c r="O60" s="4">
        <v>1</v>
      </c>
      <c r="P60" s="4">
        <v>3</v>
      </c>
      <c r="Q60" s="4">
        <v>1</v>
      </c>
      <c r="R60" s="4">
        <v>2</v>
      </c>
      <c r="S60" s="29">
        <v>32</v>
      </c>
    </row>
    <row r="61" spans="1:35" ht="13.5" customHeight="1" outlineLevel="1" x14ac:dyDescent="0.25">
      <c r="A61" s="615"/>
      <c r="B61" s="148" t="s">
        <v>1</v>
      </c>
      <c r="C61" s="4" t="s">
        <v>1</v>
      </c>
      <c r="D61" s="4" t="s">
        <v>69</v>
      </c>
      <c r="E61" s="9" t="s">
        <v>69</v>
      </c>
      <c r="F61" s="284" t="s">
        <v>1</v>
      </c>
      <c r="G61" s="4" t="s">
        <v>1</v>
      </c>
      <c r="H61" s="4" t="s">
        <v>69</v>
      </c>
      <c r="I61" s="4" t="s">
        <v>1</v>
      </c>
      <c r="J61" s="4" t="s">
        <v>69</v>
      </c>
      <c r="K61" s="12" t="s">
        <v>1</v>
      </c>
      <c r="L61" s="12" t="s">
        <v>1</v>
      </c>
      <c r="M61" s="4" t="s">
        <v>1</v>
      </c>
      <c r="N61" s="4" t="s">
        <v>1</v>
      </c>
      <c r="O61" s="4" t="s">
        <v>69</v>
      </c>
      <c r="P61" s="4" t="s">
        <v>69</v>
      </c>
      <c r="Q61" s="4" t="s">
        <v>69</v>
      </c>
      <c r="R61" s="4" t="s">
        <v>69</v>
      </c>
      <c r="S61" s="29" t="s">
        <v>69</v>
      </c>
    </row>
    <row r="62" spans="1:35" outlineLevel="1" x14ac:dyDescent="0.25">
      <c r="A62" s="615"/>
      <c r="B62" s="148" t="s">
        <v>0</v>
      </c>
      <c r="C62" s="4" t="s">
        <v>0</v>
      </c>
      <c r="D62" s="4" t="s">
        <v>4</v>
      </c>
      <c r="E62" s="9" t="s">
        <v>0</v>
      </c>
      <c r="F62" s="284" t="s">
        <v>0</v>
      </c>
      <c r="G62" s="4" t="s">
        <v>0</v>
      </c>
      <c r="H62" s="4" t="s">
        <v>4</v>
      </c>
      <c r="I62" s="4" t="s">
        <v>0</v>
      </c>
      <c r="J62" s="4" t="s">
        <v>0</v>
      </c>
      <c r="K62" s="12" t="s">
        <v>0</v>
      </c>
      <c r="L62" s="12" t="s">
        <v>0</v>
      </c>
      <c r="M62" s="4" t="s">
        <v>0</v>
      </c>
      <c r="N62" s="4" t="s">
        <v>4</v>
      </c>
      <c r="O62" s="4" t="s">
        <v>4</v>
      </c>
      <c r="P62" s="4" t="s">
        <v>0</v>
      </c>
      <c r="Q62" s="4" t="s">
        <v>0</v>
      </c>
      <c r="R62" s="4" t="s">
        <v>4</v>
      </c>
      <c r="S62" s="29" t="s">
        <v>4</v>
      </c>
    </row>
    <row r="63" spans="1:35" s="163" customFormat="1" ht="30" customHeight="1" thickBot="1" x14ac:dyDescent="0.3">
      <c r="A63" s="616"/>
      <c r="B63" s="157">
        <v>5</v>
      </c>
      <c r="C63" s="54" t="s">
        <v>544</v>
      </c>
      <c r="D63" s="55" t="s">
        <v>8</v>
      </c>
      <c r="E63" s="55" t="s">
        <v>198</v>
      </c>
      <c r="F63" s="270">
        <v>77</v>
      </c>
      <c r="G63" s="55">
        <v>250000001</v>
      </c>
      <c r="H63" s="98" t="s">
        <v>9</v>
      </c>
      <c r="I63" s="496" t="s">
        <v>620</v>
      </c>
      <c r="J63" s="98" t="s">
        <v>234</v>
      </c>
      <c r="K63" s="56" t="s">
        <v>596</v>
      </c>
      <c r="L63" s="56" t="s">
        <v>597</v>
      </c>
      <c r="M63" s="56" t="s">
        <v>598</v>
      </c>
      <c r="N63" s="56" t="s">
        <v>599</v>
      </c>
      <c r="O63" s="56" t="s">
        <v>8</v>
      </c>
      <c r="P63" s="56" t="s">
        <v>9</v>
      </c>
      <c r="Q63" s="56" t="s">
        <v>8</v>
      </c>
      <c r="R63" s="56" t="s">
        <v>210</v>
      </c>
      <c r="S63" s="99" t="s">
        <v>235</v>
      </c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</row>
    <row r="64" spans="1:35" ht="15.75" thickBot="1" x14ac:dyDescent="0.3">
      <c r="A64" s="75"/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</row>
    <row r="65" spans="1:35" ht="100.15" customHeight="1" x14ac:dyDescent="0.25">
      <c r="A65" s="608" t="s">
        <v>361</v>
      </c>
      <c r="B65" s="327" t="s">
        <v>13</v>
      </c>
      <c r="C65" s="328" t="s">
        <v>14</v>
      </c>
      <c r="D65" s="328" t="s">
        <v>339</v>
      </c>
      <c r="E65" s="329" t="s">
        <v>469</v>
      </c>
      <c r="F65" s="330" t="s">
        <v>470</v>
      </c>
      <c r="G65" s="328" t="s">
        <v>471</v>
      </c>
      <c r="H65" s="328" t="s">
        <v>340</v>
      </c>
      <c r="I65" s="328" t="s">
        <v>473</v>
      </c>
      <c r="J65" s="328" t="s">
        <v>472</v>
      </c>
      <c r="K65" s="331" t="s">
        <v>312</v>
      </c>
      <c r="L65" s="331" t="s">
        <v>341</v>
      </c>
      <c r="M65" s="328" t="s">
        <v>25</v>
      </c>
      <c r="N65" s="328" t="s">
        <v>15</v>
      </c>
      <c r="O65" s="328" t="s">
        <v>474</v>
      </c>
      <c r="P65" s="328" t="s">
        <v>342</v>
      </c>
      <c r="Q65" s="328" t="s">
        <v>15</v>
      </c>
      <c r="R65" s="328" t="s">
        <v>343</v>
      </c>
      <c r="S65" s="332" t="s">
        <v>228</v>
      </c>
    </row>
    <row r="66" spans="1:35" ht="19.899999999999999" customHeight="1" x14ac:dyDescent="0.25">
      <c r="A66" s="609"/>
      <c r="B66" s="158">
        <v>1</v>
      </c>
      <c r="C66" s="102" t="s">
        <v>47</v>
      </c>
      <c r="D66" s="103" t="s">
        <v>344</v>
      </c>
      <c r="E66" s="104" t="s">
        <v>345</v>
      </c>
      <c r="F66" s="298" t="s">
        <v>346</v>
      </c>
      <c r="G66" s="103" t="s">
        <v>347</v>
      </c>
      <c r="H66" s="103" t="s">
        <v>348</v>
      </c>
      <c r="I66" s="103" t="s">
        <v>349</v>
      </c>
      <c r="J66" s="103" t="s">
        <v>350</v>
      </c>
      <c r="K66" s="105" t="s">
        <v>351</v>
      </c>
      <c r="L66" s="105" t="s">
        <v>352</v>
      </c>
      <c r="M66" s="103" t="s">
        <v>353</v>
      </c>
      <c r="N66" s="103" t="s">
        <v>354</v>
      </c>
      <c r="O66" s="103" t="s">
        <v>355</v>
      </c>
      <c r="P66" s="103" t="s">
        <v>356</v>
      </c>
      <c r="Q66" s="103" t="s">
        <v>357</v>
      </c>
      <c r="R66" s="103" t="s">
        <v>358</v>
      </c>
      <c r="S66" s="333" t="s">
        <v>233</v>
      </c>
    </row>
    <row r="67" spans="1:35" outlineLevel="1" x14ac:dyDescent="0.25">
      <c r="A67" s="609"/>
      <c r="B67" s="158">
        <v>1</v>
      </c>
      <c r="C67" s="101">
        <v>9</v>
      </c>
      <c r="D67" s="101">
        <v>3</v>
      </c>
      <c r="E67" s="101">
        <v>4</v>
      </c>
      <c r="F67" s="299">
        <v>4</v>
      </c>
      <c r="G67" s="101">
        <v>3</v>
      </c>
      <c r="H67" s="101">
        <v>9</v>
      </c>
      <c r="I67" s="101">
        <v>9</v>
      </c>
      <c r="J67" s="101">
        <v>9</v>
      </c>
      <c r="K67" s="107">
        <v>3</v>
      </c>
      <c r="L67" s="107">
        <v>1</v>
      </c>
      <c r="M67" s="101">
        <v>1</v>
      </c>
      <c r="N67" s="101">
        <v>4</v>
      </c>
      <c r="O67" s="101">
        <v>12</v>
      </c>
      <c r="P67" s="101">
        <v>12</v>
      </c>
      <c r="Q67" s="103">
        <v>3</v>
      </c>
      <c r="R67" s="101">
        <v>9</v>
      </c>
      <c r="S67" s="334">
        <v>32</v>
      </c>
    </row>
    <row r="68" spans="1:35" outlineLevel="1" x14ac:dyDescent="0.25">
      <c r="A68" s="609"/>
      <c r="B68" s="158" t="s">
        <v>1</v>
      </c>
      <c r="C68" s="101" t="s">
        <v>1</v>
      </c>
      <c r="D68" s="197" t="s">
        <v>1</v>
      </c>
      <c r="E68" s="106" t="s">
        <v>1</v>
      </c>
      <c r="F68" s="299" t="s">
        <v>1</v>
      </c>
      <c r="G68" s="101" t="s">
        <v>1</v>
      </c>
      <c r="H68" s="101" t="s">
        <v>1</v>
      </c>
      <c r="I68" s="101" t="s">
        <v>1</v>
      </c>
      <c r="J68" s="101" t="s">
        <v>1</v>
      </c>
      <c r="K68" s="108" t="s">
        <v>1</v>
      </c>
      <c r="L68" s="108" t="s">
        <v>69</v>
      </c>
      <c r="M68" s="101" t="s">
        <v>69</v>
      </c>
      <c r="N68" s="101" t="s">
        <v>69</v>
      </c>
      <c r="O68" s="101" t="s">
        <v>69</v>
      </c>
      <c r="P68" s="101" t="s">
        <v>1</v>
      </c>
      <c r="Q68" s="101" t="s">
        <v>69</v>
      </c>
      <c r="R68" s="101" t="s">
        <v>1</v>
      </c>
      <c r="S68" s="334" t="s">
        <v>1</v>
      </c>
    </row>
    <row r="69" spans="1:35" outlineLevel="1" x14ac:dyDescent="0.25">
      <c r="A69" s="609"/>
      <c r="B69" s="158" t="s">
        <v>0</v>
      </c>
      <c r="C69" s="101" t="s">
        <v>0</v>
      </c>
      <c r="D69" s="101" t="s">
        <v>0</v>
      </c>
      <c r="E69" s="106" t="s">
        <v>0</v>
      </c>
      <c r="F69" s="299" t="s">
        <v>0</v>
      </c>
      <c r="G69" s="101" t="s">
        <v>0</v>
      </c>
      <c r="H69" s="101" t="s">
        <v>0</v>
      </c>
      <c r="I69" s="101" t="s">
        <v>0</v>
      </c>
      <c r="J69" s="101" t="s">
        <v>0</v>
      </c>
      <c r="K69" s="108" t="s">
        <v>0</v>
      </c>
      <c r="L69" s="108" t="s">
        <v>4</v>
      </c>
      <c r="M69" s="101" t="s">
        <v>4</v>
      </c>
      <c r="N69" s="101" t="s">
        <v>4</v>
      </c>
      <c r="O69" s="101" t="s">
        <v>4</v>
      </c>
      <c r="P69" s="101" t="s">
        <v>4</v>
      </c>
      <c r="Q69" s="101" t="s">
        <v>4</v>
      </c>
      <c r="R69" s="101" t="s">
        <v>4</v>
      </c>
      <c r="S69" s="334" t="s">
        <v>0</v>
      </c>
    </row>
    <row r="70" spans="1:35" s="163" customFormat="1" ht="30" customHeight="1" thickBot="1" x14ac:dyDescent="0.3">
      <c r="A70" s="610"/>
      <c r="B70" s="183">
        <v>6</v>
      </c>
      <c r="C70" s="335" t="s">
        <v>544</v>
      </c>
      <c r="D70" s="185" t="s">
        <v>195</v>
      </c>
      <c r="E70" s="336" t="s">
        <v>386</v>
      </c>
      <c r="F70" s="337" t="s">
        <v>521</v>
      </c>
      <c r="G70" s="185" t="s">
        <v>195</v>
      </c>
      <c r="H70" s="184" t="s">
        <v>600</v>
      </c>
      <c r="I70" s="184" t="s">
        <v>601</v>
      </c>
      <c r="J70" s="184" t="s">
        <v>209</v>
      </c>
      <c r="K70" s="184" t="s">
        <v>195</v>
      </c>
      <c r="L70" s="186" t="s">
        <v>8</v>
      </c>
      <c r="M70" s="186" t="s">
        <v>8</v>
      </c>
      <c r="N70" s="186" t="s">
        <v>387</v>
      </c>
      <c r="O70" s="186" t="s">
        <v>941</v>
      </c>
      <c r="P70" s="186" t="s">
        <v>388</v>
      </c>
      <c r="Q70" s="186" t="s">
        <v>9</v>
      </c>
      <c r="R70" s="186" t="s">
        <v>389</v>
      </c>
      <c r="S70" s="187" t="s">
        <v>235</v>
      </c>
    </row>
    <row r="71" spans="1:35" ht="9.75" customHeight="1" thickBot="1" x14ac:dyDescent="0.3">
      <c r="B71" s="150" t="s">
        <v>586</v>
      </c>
      <c r="C71" s="150" t="s">
        <v>586</v>
      </c>
      <c r="D71" s="150" t="s">
        <v>586</v>
      </c>
      <c r="E71" s="150" t="s">
        <v>586</v>
      </c>
      <c r="F71" s="276" t="s">
        <v>586</v>
      </c>
      <c r="G71" s="150" t="s">
        <v>586</v>
      </c>
      <c r="H71" s="150" t="s">
        <v>586</v>
      </c>
      <c r="I71" s="150" t="s">
        <v>586</v>
      </c>
      <c r="J71" s="150" t="s">
        <v>586</v>
      </c>
      <c r="K71" s="150" t="s">
        <v>586</v>
      </c>
      <c r="L71" s="150" t="s">
        <v>586</v>
      </c>
      <c r="M71" s="150" t="s">
        <v>586</v>
      </c>
      <c r="N71" s="150" t="s">
        <v>586</v>
      </c>
      <c r="O71" s="150" t="s">
        <v>586</v>
      </c>
      <c r="P71" s="150" t="s">
        <v>586</v>
      </c>
      <c r="Q71" s="150" t="s">
        <v>586</v>
      </c>
      <c r="R71" s="150" t="s">
        <v>586</v>
      </c>
      <c r="S71" s="150" t="s">
        <v>586</v>
      </c>
    </row>
    <row r="72" spans="1:35" ht="100.15" customHeight="1" x14ac:dyDescent="0.25">
      <c r="A72" s="611" t="s">
        <v>371</v>
      </c>
      <c r="B72" s="159" t="s">
        <v>13</v>
      </c>
      <c r="C72" s="117" t="s">
        <v>363</v>
      </c>
      <c r="D72" s="117" t="s">
        <v>364</v>
      </c>
      <c r="E72" s="118" t="s">
        <v>15</v>
      </c>
      <c r="F72" s="300" t="s">
        <v>283</v>
      </c>
      <c r="G72" s="117" t="s">
        <v>365</v>
      </c>
      <c r="H72" s="117" t="s">
        <v>15</v>
      </c>
      <c r="I72" s="117" t="s">
        <v>286</v>
      </c>
      <c r="J72" s="117" t="s">
        <v>287</v>
      </c>
      <c r="K72" s="119" t="s">
        <v>366</v>
      </c>
      <c r="L72" s="119" t="s">
        <v>15</v>
      </c>
      <c r="M72" s="117" t="s">
        <v>367</v>
      </c>
      <c r="N72" s="120" t="s">
        <v>15</v>
      </c>
    </row>
    <row r="73" spans="1:35" ht="19.899999999999999" customHeight="1" x14ac:dyDescent="0.25">
      <c r="A73" s="612"/>
      <c r="B73" s="198" t="s">
        <v>293</v>
      </c>
      <c r="C73" s="110" t="s">
        <v>294</v>
      </c>
      <c r="D73" s="111" t="s">
        <v>295</v>
      </c>
      <c r="E73" s="112" t="s">
        <v>296</v>
      </c>
      <c r="F73" s="301" t="s">
        <v>297</v>
      </c>
      <c r="G73" s="111" t="s">
        <v>298</v>
      </c>
      <c r="H73" s="111" t="s">
        <v>299</v>
      </c>
      <c r="I73" s="111" t="s">
        <v>300</v>
      </c>
      <c r="J73" s="111" t="s">
        <v>301</v>
      </c>
      <c r="K73" s="113" t="s">
        <v>368</v>
      </c>
      <c r="L73" s="113" t="s">
        <v>369</v>
      </c>
      <c r="M73" s="111" t="s">
        <v>307</v>
      </c>
      <c r="N73" s="121" t="s">
        <v>370</v>
      </c>
    </row>
    <row r="74" spans="1:35" outlineLevel="1" x14ac:dyDescent="0.25">
      <c r="A74" s="612"/>
      <c r="B74" s="160">
        <v>3</v>
      </c>
      <c r="C74" s="109">
        <v>2</v>
      </c>
      <c r="D74" s="109">
        <v>14</v>
      </c>
      <c r="E74" s="109">
        <v>6</v>
      </c>
      <c r="F74" s="302">
        <v>2</v>
      </c>
      <c r="G74" s="109">
        <v>14</v>
      </c>
      <c r="H74" s="109">
        <v>6</v>
      </c>
      <c r="I74" s="109">
        <v>2</v>
      </c>
      <c r="J74" s="109">
        <v>6</v>
      </c>
      <c r="K74" s="115">
        <v>8</v>
      </c>
      <c r="L74" s="115">
        <v>19</v>
      </c>
      <c r="M74" s="109">
        <v>3</v>
      </c>
      <c r="N74" s="122">
        <v>43</v>
      </c>
    </row>
    <row r="75" spans="1:35" outlineLevel="1" x14ac:dyDescent="0.25">
      <c r="A75" s="612"/>
      <c r="B75" s="160" t="s">
        <v>1</v>
      </c>
      <c r="C75" s="109" t="s">
        <v>69</v>
      </c>
      <c r="D75" s="109" t="s">
        <v>1</v>
      </c>
      <c r="E75" s="114" t="s">
        <v>69</v>
      </c>
      <c r="F75" s="302" t="s">
        <v>69</v>
      </c>
      <c r="G75" s="109" t="s">
        <v>1</v>
      </c>
      <c r="H75" s="109" t="s">
        <v>69</v>
      </c>
      <c r="I75" s="109" t="s">
        <v>69</v>
      </c>
      <c r="J75" s="109" t="s">
        <v>69</v>
      </c>
      <c r="K75" s="116" t="s">
        <v>1</v>
      </c>
      <c r="L75" s="116" t="s">
        <v>69</v>
      </c>
      <c r="M75" s="109" t="s">
        <v>1</v>
      </c>
      <c r="N75" s="122" t="s">
        <v>69</v>
      </c>
    </row>
    <row r="76" spans="1:35" outlineLevel="1" x14ac:dyDescent="0.25">
      <c r="A76" s="612"/>
      <c r="B76" s="160" t="s">
        <v>0</v>
      </c>
      <c r="C76" s="109" t="s">
        <v>0</v>
      </c>
      <c r="D76" s="109" t="s">
        <v>0</v>
      </c>
      <c r="E76" s="114" t="s">
        <v>4</v>
      </c>
      <c r="F76" s="302" t="s">
        <v>0</v>
      </c>
      <c r="G76" s="109" t="s">
        <v>0</v>
      </c>
      <c r="H76" s="109" t="s">
        <v>4</v>
      </c>
      <c r="I76" s="109" t="s">
        <v>0</v>
      </c>
      <c r="J76" s="109" t="s">
        <v>0</v>
      </c>
      <c r="K76" s="116" t="s">
        <v>0</v>
      </c>
      <c r="L76" s="116" t="s">
        <v>4</v>
      </c>
      <c r="M76" s="109" t="s">
        <v>0</v>
      </c>
      <c r="N76" s="122" t="s">
        <v>4</v>
      </c>
    </row>
    <row r="77" spans="1:35" ht="30" customHeight="1" thickBot="1" x14ac:dyDescent="0.3">
      <c r="A77" s="613"/>
      <c r="B77" s="183">
        <v>999</v>
      </c>
      <c r="C77" s="186" t="s">
        <v>373</v>
      </c>
      <c r="D77" s="174" t="s">
        <v>584</v>
      </c>
      <c r="E77" s="186" t="s">
        <v>374</v>
      </c>
      <c r="F77" s="303" t="s">
        <v>375</v>
      </c>
      <c r="G77" s="174" t="s">
        <v>585</v>
      </c>
      <c r="H77" s="186" t="s">
        <v>374</v>
      </c>
      <c r="I77" s="186" t="s">
        <v>376</v>
      </c>
      <c r="J77" s="184" t="s">
        <v>377</v>
      </c>
      <c r="K77" s="497" t="s">
        <v>893</v>
      </c>
      <c r="L77" s="186" t="s">
        <v>390</v>
      </c>
      <c r="M77" s="185" t="s">
        <v>195</v>
      </c>
      <c r="N77" s="187" t="s">
        <v>391</v>
      </c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</row>
    <row r="78" spans="1:35" x14ac:dyDescent="0.25">
      <c r="B78" s="150" t="s">
        <v>586</v>
      </c>
      <c r="C78" s="150" t="s">
        <v>586</v>
      </c>
      <c r="D78" s="150" t="s">
        <v>586</v>
      </c>
      <c r="E78" s="150" t="s">
        <v>586</v>
      </c>
      <c r="F78" s="276" t="s">
        <v>586</v>
      </c>
      <c r="G78" s="150" t="s">
        <v>586</v>
      </c>
      <c r="H78" s="150" t="s">
        <v>586</v>
      </c>
      <c r="I78" s="150" t="s">
        <v>586</v>
      </c>
      <c r="J78" s="150" t="s">
        <v>586</v>
      </c>
      <c r="K78" s="150" t="s">
        <v>586</v>
      </c>
      <c r="L78" s="150" t="s">
        <v>586</v>
      </c>
      <c r="M78" s="150" t="s">
        <v>586</v>
      </c>
      <c r="N78" s="150" t="s">
        <v>586</v>
      </c>
    </row>
  </sheetData>
  <sheetProtection algorithmName="SHA-512" hashValue="zscNLNiLiI1KwYz09V4K8fPVup+r37rLdG/Z/W60MEc11Uggh4z3EwkQZYgVM+xb7h85HrgN7JlCcZv5lUAJFA==" saltValue="G24+VJt3fq50tivsPTO2Bw==" spinCount="100000" sheet="1" sort="0"/>
  <mergeCells count="18">
    <mergeCell ref="A9:A14"/>
    <mergeCell ref="A16:A21"/>
    <mergeCell ref="D3:F3"/>
    <mergeCell ref="G3:H3"/>
    <mergeCell ref="A58:A63"/>
    <mergeCell ref="A65:A70"/>
    <mergeCell ref="A72:A77"/>
    <mergeCell ref="A23:A28"/>
    <mergeCell ref="A30:A35"/>
    <mergeCell ref="A37:A42"/>
    <mergeCell ref="A44:A49"/>
    <mergeCell ref="A51:A56"/>
    <mergeCell ref="I3:X3"/>
    <mergeCell ref="A3:C3"/>
    <mergeCell ref="B1:AI1"/>
    <mergeCell ref="A7:AI7"/>
    <mergeCell ref="Z3:AE3"/>
    <mergeCell ref="AG3:AI3"/>
  </mergeCells>
  <conditionalFormatting sqref="B28">
    <cfRule type="expression" dxfId="47" priority="2">
      <formula>"B17&lt;&gt;0"</formula>
    </cfRule>
  </conditionalFormatting>
  <conditionalFormatting sqref="F28">
    <cfRule type="expression" dxfId="46" priority="1">
      <formula>"b17&lt;&gt;0"</formula>
    </cfRule>
  </conditionalFormatting>
  <hyperlinks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theme="8" tint="-0.499984740745262"/>
    <pageSetUpPr fitToPage="1"/>
  </sheetPr>
  <dimension ref="A1:AK78"/>
  <sheetViews>
    <sheetView view="pageBreakPreview" topLeftCell="K62" zoomScaleNormal="25" zoomScaleSheetLayoutView="100" workbookViewId="0">
      <selection activeCell="P85" sqref="P85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7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7" ht="15.75" thickBot="1" x14ac:dyDescent="0.3">
      <c r="C2" s="78"/>
    </row>
    <row r="3" spans="1:37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7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7" ht="58.5" customHeight="1" thickBot="1" x14ac:dyDescent="0.3">
      <c r="A5" s="379" t="str">
        <f>'LISTE DES CAS ANNEXE 30'!A5</f>
        <v>CONVENTION CAS 2</v>
      </c>
      <c r="B5" s="369">
        <f>'LISTE DES CAS ANNEXE 30'!B5</f>
        <v>1</v>
      </c>
      <c r="C5" s="370">
        <f>'LISTE DES CAS ANNEXE 30'!C5</f>
        <v>1</v>
      </c>
      <c r="D5" s="367" t="str">
        <f>'LISTE DES CAS ANNEXE 30'!D5</f>
        <v>MALADIE</v>
      </c>
      <c r="E5" s="368">
        <f>'LISTE DES CAS ANNEXE 30'!E5</f>
        <v>0.55000000000000004</v>
      </c>
      <c r="F5" s="361" t="str">
        <f>'LISTE DES CAS ANNEXE 30'!H5</f>
        <v>NON</v>
      </c>
      <c r="G5" s="384" t="str">
        <f>'LISTE DES CAS ANNEXE 30'!I5</f>
        <v>Sans objet</v>
      </c>
      <c r="H5" s="366" t="str">
        <f>'LISTE DES CAS ANNEXE 30'!J5</f>
        <v>05 - TP AMO SEUL</v>
      </c>
      <c r="I5" s="412" t="str">
        <f>'LISTE DES CAS ANNEXE 30'!K5</f>
        <v>69-LYON</v>
      </c>
      <c r="J5" s="355" t="str">
        <f>'LISTE DES CAS ANNEXE 30'!L5</f>
        <v>69-VILLEURBANNE</v>
      </c>
      <c r="K5" s="356" t="str">
        <f>'LISTE DES CAS ANNEXE 30'!M5</f>
        <v>01/12/2025 à 10H00</v>
      </c>
      <c r="L5" s="356" t="str">
        <f>'LISTE DES CAS ANNEXE 30'!N5</f>
        <v>01/12/2025 à 10H11</v>
      </c>
      <c r="M5" s="357" t="str">
        <f>'LISTE DES CAS ANNEXE 30'!O5</f>
        <v>EE-003-FF</v>
      </c>
      <c r="N5" s="357" t="str">
        <f>'LISTE DES CAS ANNEXE 30'!P5</f>
        <v>69123
(LYON)</v>
      </c>
      <c r="O5" s="357" t="str">
        <f>'LISTE DES CAS ANNEXE 30'!Q5</f>
        <v>069</v>
      </c>
      <c r="P5" s="357" t="str">
        <f>'LISTE DES CAS ANNEXE 30'!R5</f>
        <v xml:space="preserve">691 - CPAM DU RHONE </v>
      </c>
      <c r="Q5" s="358">
        <f>'LISTE DES CAS ANNEXE 30'!S5</f>
        <v>3</v>
      </c>
      <c r="R5" s="359" t="str">
        <f>'LISTE DES CAS ANNEXE 30'!T5</f>
        <v>JOUR</v>
      </c>
      <c r="S5" s="360">
        <f>'LISTE DES CAS ANNEXE 30'!U5</f>
        <v>1</v>
      </c>
      <c r="T5" s="356" t="str">
        <f>'LISTE DES CAS ANNEXE 30'!V5</f>
        <v>NON</v>
      </c>
      <c r="U5" s="356" t="str">
        <f>'LISTE DES CAS ANNEXE 30'!W5</f>
        <v>NON</v>
      </c>
      <c r="V5" s="356" t="str">
        <f>'LISTE DES CAS ANNEXE 30'!X5</f>
        <v>NON</v>
      </c>
      <c r="W5" s="356" t="str">
        <f>'LISTE DES CAS ANNEXE 30'!Y5</f>
        <v>NON</v>
      </c>
      <c r="X5" s="361" t="str">
        <f>'LISTE DES CAS ANNEXE 30'!Z5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7" ht="15.75" thickBot="1" x14ac:dyDescent="0.3">
      <c r="C6" s="78"/>
    </row>
    <row r="7" spans="1:37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7" s="371" customFormat="1" ht="15.75" thickBot="1" x14ac:dyDescent="0.3">
      <c r="B8" s="372"/>
      <c r="C8" s="373"/>
      <c r="F8" s="374"/>
      <c r="AJ8" s="77"/>
      <c r="AK8" s="77"/>
    </row>
    <row r="9" spans="1:37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7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7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7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7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7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7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7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602</v>
      </c>
      <c r="Z42" s="194" t="s">
        <v>602</v>
      </c>
      <c r="AA42" s="194" t="s">
        <v>592</v>
      </c>
      <c r="AB42" s="194" t="s">
        <v>603</v>
      </c>
      <c r="AC42" s="194" t="s">
        <v>602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5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5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5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5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5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5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5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5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214</v>
      </c>
      <c r="M56" s="54" t="s">
        <v>543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583</v>
      </c>
      <c r="T56" s="54" t="s">
        <v>256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522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5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</row>
    <row r="58" spans="1:35" ht="100.15" customHeight="1" x14ac:dyDescent="0.25">
      <c r="A58" s="614" t="s">
        <v>360</v>
      </c>
      <c r="B58" s="147" t="s">
        <v>13</v>
      </c>
      <c r="C58" s="24" t="s">
        <v>14</v>
      </c>
      <c r="D58" s="24" t="s">
        <v>15</v>
      </c>
      <c r="E58" s="25" t="s">
        <v>16</v>
      </c>
      <c r="F58" s="282" t="s">
        <v>17</v>
      </c>
      <c r="G58" s="24" t="s">
        <v>70</v>
      </c>
      <c r="H58" s="24" t="s">
        <v>15</v>
      </c>
      <c r="I58" s="24" t="s">
        <v>220</v>
      </c>
      <c r="J58" s="24" t="s">
        <v>221</v>
      </c>
      <c r="K58" s="26" t="s">
        <v>222</v>
      </c>
      <c r="L58" s="26" t="s">
        <v>223</v>
      </c>
      <c r="M58" s="24" t="s">
        <v>224</v>
      </c>
      <c r="N58" s="24" t="s">
        <v>225</v>
      </c>
      <c r="O58" s="24" t="s">
        <v>226</v>
      </c>
      <c r="P58" s="24" t="s">
        <v>221</v>
      </c>
      <c r="Q58" s="24" t="s">
        <v>227</v>
      </c>
      <c r="R58" s="24" t="s">
        <v>15</v>
      </c>
      <c r="S58" s="27" t="s">
        <v>228</v>
      </c>
    </row>
    <row r="59" spans="1:35" ht="19.899999999999999" customHeight="1" x14ac:dyDescent="0.25">
      <c r="A59" s="615"/>
      <c r="B59" s="148">
        <v>1</v>
      </c>
      <c r="C59" s="5" t="s">
        <v>47</v>
      </c>
      <c r="D59" s="4">
        <v>11</v>
      </c>
      <c r="E59" s="6" t="s">
        <v>48</v>
      </c>
      <c r="F59" s="283" t="s">
        <v>49</v>
      </c>
      <c r="G59" s="7" t="s">
        <v>50</v>
      </c>
      <c r="H59" s="7" t="s">
        <v>229</v>
      </c>
      <c r="I59" s="7" t="s">
        <v>216</v>
      </c>
      <c r="J59" s="7" t="s">
        <v>230</v>
      </c>
      <c r="K59" s="8" t="s">
        <v>217</v>
      </c>
      <c r="L59" s="8" t="s">
        <v>218</v>
      </c>
      <c r="M59" s="7" t="s">
        <v>179</v>
      </c>
      <c r="N59" s="7" t="s">
        <v>219</v>
      </c>
      <c r="O59" s="7">
        <v>90</v>
      </c>
      <c r="P59" s="7" t="s">
        <v>231</v>
      </c>
      <c r="Q59" s="7">
        <v>94</v>
      </c>
      <c r="R59" s="7" t="s">
        <v>232</v>
      </c>
      <c r="S59" s="28" t="s">
        <v>233</v>
      </c>
    </row>
    <row r="60" spans="1:35" outlineLevel="1" x14ac:dyDescent="0.25">
      <c r="A60" s="615"/>
      <c r="B60" s="148">
        <v>1</v>
      </c>
      <c r="C60" s="4">
        <v>9</v>
      </c>
      <c r="D60" s="4">
        <v>1</v>
      </c>
      <c r="E60" s="9">
        <v>13</v>
      </c>
      <c r="F60" s="284">
        <v>2</v>
      </c>
      <c r="G60" s="4">
        <v>9</v>
      </c>
      <c r="H60" s="4">
        <v>3</v>
      </c>
      <c r="I60" s="4">
        <v>3</v>
      </c>
      <c r="J60" s="4">
        <v>16</v>
      </c>
      <c r="K60" s="10">
        <v>8</v>
      </c>
      <c r="L60" s="10">
        <v>8</v>
      </c>
      <c r="M60" s="4">
        <v>8</v>
      </c>
      <c r="N60" s="4">
        <v>8</v>
      </c>
      <c r="O60" s="4">
        <v>1</v>
      </c>
      <c r="P60" s="4">
        <v>3</v>
      </c>
      <c r="Q60" s="4">
        <v>1</v>
      </c>
      <c r="R60" s="4">
        <v>2</v>
      </c>
      <c r="S60" s="29">
        <v>32</v>
      </c>
    </row>
    <row r="61" spans="1:35" ht="13.5" customHeight="1" outlineLevel="1" x14ac:dyDescent="0.25">
      <c r="A61" s="615"/>
      <c r="B61" s="148" t="s">
        <v>1</v>
      </c>
      <c r="C61" s="4" t="s">
        <v>1</v>
      </c>
      <c r="D61" s="4" t="s">
        <v>69</v>
      </c>
      <c r="E61" s="9" t="s">
        <v>69</v>
      </c>
      <c r="F61" s="284" t="s">
        <v>1</v>
      </c>
      <c r="G61" s="4" t="s">
        <v>1</v>
      </c>
      <c r="H61" s="4" t="s">
        <v>69</v>
      </c>
      <c r="I61" s="4" t="s">
        <v>1</v>
      </c>
      <c r="J61" s="4" t="s">
        <v>69</v>
      </c>
      <c r="K61" s="12" t="s">
        <v>1</v>
      </c>
      <c r="L61" s="12" t="s">
        <v>1</v>
      </c>
      <c r="M61" s="4" t="s">
        <v>1</v>
      </c>
      <c r="N61" s="4" t="s">
        <v>1</v>
      </c>
      <c r="O61" s="4" t="s">
        <v>69</v>
      </c>
      <c r="P61" s="4" t="s">
        <v>69</v>
      </c>
      <c r="Q61" s="4" t="s">
        <v>69</v>
      </c>
      <c r="R61" s="4" t="s">
        <v>69</v>
      </c>
      <c r="S61" s="29" t="s">
        <v>69</v>
      </c>
    </row>
    <row r="62" spans="1:35" outlineLevel="1" x14ac:dyDescent="0.25">
      <c r="A62" s="615"/>
      <c r="B62" s="148" t="s">
        <v>0</v>
      </c>
      <c r="C62" s="4" t="s">
        <v>0</v>
      </c>
      <c r="D62" s="4" t="s">
        <v>4</v>
      </c>
      <c r="E62" s="9" t="s">
        <v>0</v>
      </c>
      <c r="F62" s="284" t="s">
        <v>0</v>
      </c>
      <c r="G62" s="4" t="s">
        <v>0</v>
      </c>
      <c r="H62" s="4" t="s">
        <v>4</v>
      </c>
      <c r="I62" s="4" t="s">
        <v>0</v>
      </c>
      <c r="J62" s="4" t="s">
        <v>0</v>
      </c>
      <c r="K62" s="12" t="s">
        <v>0</v>
      </c>
      <c r="L62" s="12" t="s">
        <v>0</v>
      </c>
      <c r="M62" s="4" t="s">
        <v>0</v>
      </c>
      <c r="N62" s="4" t="s">
        <v>4</v>
      </c>
      <c r="O62" s="4" t="s">
        <v>4</v>
      </c>
      <c r="P62" s="4" t="s">
        <v>0</v>
      </c>
      <c r="Q62" s="4" t="s">
        <v>0</v>
      </c>
      <c r="R62" s="4" t="s">
        <v>4</v>
      </c>
      <c r="S62" s="29" t="s">
        <v>4</v>
      </c>
    </row>
    <row r="63" spans="1:35" s="163" customFormat="1" ht="30" customHeight="1" thickBot="1" x14ac:dyDescent="0.3">
      <c r="A63" s="616"/>
      <c r="B63" s="157">
        <v>5</v>
      </c>
      <c r="C63" s="54" t="s">
        <v>544</v>
      </c>
      <c r="D63" s="55" t="s">
        <v>8</v>
      </c>
      <c r="E63" s="55" t="s">
        <v>198</v>
      </c>
      <c r="F63" s="270">
        <v>77</v>
      </c>
      <c r="G63" s="55">
        <v>250000001</v>
      </c>
      <c r="H63" s="98" t="s">
        <v>9</v>
      </c>
      <c r="I63" s="496" t="s">
        <v>620</v>
      </c>
      <c r="J63" s="98" t="s">
        <v>234</v>
      </c>
      <c r="K63" s="56" t="s">
        <v>604</v>
      </c>
      <c r="L63" s="56" t="s">
        <v>605</v>
      </c>
      <c r="M63" s="56" t="s">
        <v>606</v>
      </c>
      <c r="N63" s="56" t="s">
        <v>599</v>
      </c>
      <c r="O63" s="56" t="s">
        <v>8</v>
      </c>
      <c r="P63" s="56" t="s">
        <v>9</v>
      </c>
      <c r="Q63" s="56" t="s">
        <v>8</v>
      </c>
      <c r="R63" s="56" t="s">
        <v>210</v>
      </c>
      <c r="S63" s="99" t="s">
        <v>235</v>
      </c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</row>
    <row r="64" spans="1:35" ht="15.75" thickBot="1" x14ac:dyDescent="0.3">
      <c r="A64" s="75"/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</row>
    <row r="65" spans="1:35" ht="100.15" customHeight="1" x14ac:dyDescent="0.25">
      <c r="A65" s="608" t="s">
        <v>361</v>
      </c>
      <c r="B65" s="327" t="s">
        <v>13</v>
      </c>
      <c r="C65" s="328" t="s">
        <v>14</v>
      </c>
      <c r="D65" s="328" t="s">
        <v>339</v>
      </c>
      <c r="E65" s="329" t="s">
        <v>469</v>
      </c>
      <c r="F65" s="330" t="s">
        <v>470</v>
      </c>
      <c r="G65" s="328" t="s">
        <v>471</v>
      </c>
      <c r="H65" s="328" t="s">
        <v>340</v>
      </c>
      <c r="I65" s="328" t="s">
        <v>473</v>
      </c>
      <c r="J65" s="328" t="s">
        <v>472</v>
      </c>
      <c r="K65" s="331" t="s">
        <v>312</v>
      </c>
      <c r="L65" s="331" t="s">
        <v>341</v>
      </c>
      <c r="M65" s="328" t="s">
        <v>25</v>
      </c>
      <c r="N65" s="328" t="s">
        <v>15</v>
      </c>
      <c r="O65" s="328" t="s">
        <v>474</v>
      </c>
      <c r="P65" s="328" t="s">
        <v>342</v>
      </c>
      <c r="Q65" s="328" t="s">
        <v>15</v>
      </c>
      <c r="R65" s="328" t="s">
        <v>343</v>
      </c>
      <c r="S65" s="332" t="s">
        <v>228</v>
      </c>
    </row>
    <row r="66" spans="1:35" ht="19.899999999999999" customHeight="1" x14ac:dyDescent="0.25">
      <c r="A66" s="609"/>
      <c r="B66" s="158">
        <v>1</v>
      </c>
      <c r="C66" s="102" t="s">
        <v>47</v>
      </c>
      <c r="D66" s="103" t="s">
        <v>344</v>
      </c>
      <c r="E66" s="104" t="s">
        <v>345</v>
      </c>
      <c r="F66" s="298" t="s">
        <v>346</v>
      </c>
      <c r="G66" s="103" t="s">
        <v>347</v>
      </c>
      <c r="H66" s="103" t="s">
        <v>348</v>
      </c>
      <c r="I66" s="103" t="s">
        <v>349</v>
      </c>
      <c r="J66" s="103" t="s">
        <v>350</v>
      </c>
      <c r="K66" s="105" t="s">
        <v>351</v>
      </c>
      <c r="L66" s="105" t="s">
        <v>352</v>
      </c>
      <c r="M66" s="103" t="s">
        <v>353</v>
      </c>
      <c r="N66" s="103" t="s">
        <v>354</v>
      </c>
      <c r="O66" s="103" t="s">
        <v>355</v>
      </c>
      <c r="P66" s="103" t="s">
        <v>356</v>
      </c>
      <c r="Q66" s="103" t="s">
        <v>357</v>
      </c>
      <c r="R66" s="103" t="s">
        <v>358</v>
      </c>
      <c r="S66" s="333" t="s">
        <v>233</v>
      </c>
    </row>
    <row r="67" spans="1:35" outlineLevel="1" x14ac:dyDescent="0.25">
      <c r="A67" s="609"/>
      <c r="B67" s="158">
        <v>1</v>
      </c>
      <c r="C67" s="101">
        <v>9</v>
      </c>
      <c r="D67" s="101">
        <v>3</v>
      </c>
      <c r="E67" s="101">
        <v>4</v>
      </c>
      <c r="F67" s="299">
        <v>4</v>
      </c>
      <c r="G67" s="101">
        <v>3</v>
      </c>
      <c r="H67" s="101">
        <v>9</v>
      </c>
      <c r="I67" s="101">
        <v>9</v>
      </c>
      <c r="J67" s="101">
        <v>9</v>
      </c>
      <c r="K67" s="107">
        <v>3</v>
      </c>
      <c r="L67" s="107">
        <v>1</v>
      </c>
      <c r="M67" s="101">
        <v>1</v>
      </c>
      <c r="N67" s="101">
        <v>4</v>
      </c>
      <c r="O67" s="101">
        <v>12</v>
      </c>
      <c r="P67" s="101">
        <v>12</v>
      </c>
      <c r="Q67" s="103">
        <v>3</v>
      </c>
      <c r="R67" s="101">
        <v>9</v>
      </c>
      <c r="S67" s="334">
        <v>32</v>
      </c>
    </row>
    <row r="68" spans="1:35" outlineLevel="1" x14ac:dyDescent="0.25">
      <c r="A68" s="609"/>
      <c r="B68" s="158" t="s">
        <v>1</v>
      </c>
      <c r="C68" s="101" t="s">
        <v>1</v>
      </c>
      <c r="D68" s="197" t="s">
        <v>1</v>
      </c>
      <c r="E68" s="106" t="s">
        <v>1</v>
      </c>
      <c r="F68" s="299" t="s">
        <v>1</v>
      </c>
      <c r="G68" s="101" t="s">
        <v>1</v>
      </c>
      <c r="H68" s="101" t="s">
        <v>1</v>
      </c>
      <c r="I68" s="101" t="s">
        <v>1</v>
      </c>
      <c r="J68" s="101" t="s">
        <v>1</v>
      </c>
      <c r="K68" s="108" t="s">
        <v>1</v>
      </c>
      <c r="L68" s="108" t="s">
        <v>69</v>
      </c>
      <c r="M68" s="101" t="s">
        <v>69</v>
      </c>
      <c r="N68" s="101" t="s">
        <v>69</v>
      </c>
      <c r="O68" s="101" t="s">
        <v>69</v>
      </c>
      <c r="P68" s="101" t="s">
        <v>1</v>
      </c>
      <c r="Q68" s="101" t="s">
        <v>69</v>
      </c>
      <c r="R68" s="101" t="s">
        <v>1</v>
      </c>
      <c r="S68" s="334" t="s">
        <v>1</v>
      </c>
    </row>
    <row r="69" spans="1:35" outlineLevel="1" x14ac:dyDescent="0.25">
      <c r="A69" s="609"/>
      <c r="B69" s="158" t="s">
        <v>0</v>
      </c>
      <c r="C69" s="101" t="s">
        <v>0</v>
      </c>
      <c r="D69" s="101" t="s">
        <v>0</v>
      </c>
      <c r="E69" s="106" t="s">
        <v>0</v>
      </c>
      <c r="F69" s="299" t="s">
        <v>0</v>
      </c>
      <c r="G69" s="101" t="s">
        <v>0</v>
      </c>
      <c r="H69" s="101" t="s">
        <v>0</v>
      </c>
      <c r="I69" s="101" t="s">
        <v>0</v>
      </c>
      <c r="J69" s="101" t="s">
        <v>0</v>
      </c>
      <c r="K69" s="108" t="s">
        <v>0</v>
      </c>
      <c r="L69" s="108" t="s">
        <v>4</v>
      </c>
      <c r="M69" s="101" t="s">
        <v>4</v>
      </c>
      <c r="N69" s="101" t="s">
        <v>4</v>
      </c>
      <c r="O69" s="101" t="s">
        <v>4</v>
      </c>
      <c r="P69" s="101" t="s">
        <v>4</v>
      </c>
      <c r="Q69" s="101" t="s">
        <v>4</v>
      </c>
      <c r="R69" s="101" t="s">
        <v>4</v>
      </c>
      <c r="S69" s="334" t="s">
        <v>0</v>
      </c>
    </row>
    <row r="70" spans="1:35" s="163" customFormat="1" ht="30" customHeight="1" thickBot="1" x14ac:dyDescent="0.3">
      <c r="A70" s="610"/>
      <c r="B70" s="183">
        <v>6</v>
      </c>
      <c r="C70" s="335" t="s">
        <v>544</v>
      </c>
      <c r="D70" s="185" t="s">
        <v>195</v>
      </c>
      <c r="E70" s="336" t="s">
        <v>386</v>
      </c>
      <c r="F70" s="337" t="s">
        <v>521</v>
      </c>
      <c r="G70" s="185" t="s">
        <v>195</v>
      </c>
      <c r="H70" s="184" t="s">
        <v>607</v>
      </c>
      <c r="I70" s="184" t="s">
        <v>608</v>
      </c>
      <c r="J70" s="184" t="s">
        <v>209</v>
      </c>
      <c r="K70" s="184" t="s">
        <v>195</v>
      </c>
      <c r="L70" s="186" t="s">
        <v>8</v>
      </c>
      <c r="M70" s="186" t="s">
        <v>8</v>
      </c>
      <c r="N70" s="186" t="s">
        <v>387</v>
      </c>
      <c r="O70" s="186" t="s">
        <v>941</v>
      </c>
      <c r="P70" s="186" t="s">
        <v>388</v>
      </c>
      <c r="Q70" s="186" t="s">
        <v>9</v>
      </c>
      <c r="R70" s="186" t="s">
        <v>389</v>
      </c>
      <c r="S70" s="187" t="s">
        <v>235</v>
      </c>
    </row>
    <row r="71" spans="1:35" ht="9.75" customHeight="1" thickBot="1" x14ac:dyDescent="0.3">
      <c r="B71" s="150" t="s">
        <v>586</v>
      </c>
      <c r="C71" s="150" t="s">
        <v>586</v>
      </c>
      <c r="D71" s="150" t="s">
        <v>586</v>
      </c>
      <c r="E71" s="150" t="s">
        <v>586</v>
      </c>
      <c r="F71" s="276" t="s">
        <v>586</v>
      </c>
      <c r="G71" s="150" t="s">
        <v>586</v>
      </c>
      <c r="H71" s="150" t="s">
        <v>586</v>
      </c>
      <c r="I71" s="150" t="s">
        <v>586</v>
      </c>
      <c r="J71" s="150" t="s">
        <v>586</v>
      </c>
      <c r="K71" s="150" t="s">
        <v>586</v>
      </c>
      <c r="L71" s="150" t="s">
        <v>586</v>
      </c>
      <c r="M71" s="150" t="s">
        <v>586</v>
      </c>
      <c r="N71" s="150" t="s">
        <v>586</v>
      </c>
      <c r="O71" s="150" t="s">
        <v>586</v>
      </c>
      <c r="P71" s="150" t="s">
        <v>586</v>
      </c>
      <c r="Q71" s="150" t="s">
        <v>586</v>
      </c>
      <c r="R71" s="150" t="s">
        <v>586</v>
      </c>
      <c r="S71" s="150" t="s">
        <v>586</v>
      </c>
    </row>
    <row r="72" spans="1:35" ht="100.15" customHeight="1" x14ac:dyDescent="0.25">
      <c r="A72" s="611" t="s">
        <v>371</v>
      </c>
      <c r="B72" s="159" t="s">
        <v>13</v>
      </c>
      <c r="C72" s="117" t="s">
        <v>363</v>
      </c>
      <c r="D72" s="117" t="s">
        <v>364</v>
      </c>
      <c r="E72" s="118" t="s">
        <v>15</v>
      </c>
      <c r="F72" s="300" t="s">
        <v>283</v>
      </c>
      <c r="G72" s="117" t="s">
        <v>365</v>
      </c>
      <c r="H72" s="117" t="s">
        <v>15</v>
      </c>
      <c r="I72" s="117" t="s">
        <v>286</v>
      </c>
      <c r="J72" s="117" t="s">
        <v>287</v>
      </c>
      <c r="K72" s="119" t="s">
        <v>366</v>
      </c>
      <c r="L72" s="119" t="s">
        <v>15</v>
      </c>
      <c r="M72" s="117" t="s">
        <v>367</v>
      </c>
      <c r="N72" s="120" t="s">
        <v>15</v>
      </c>
    </row>
    <row r="73" spans="1:35" ht="19.899999999999999" customHeight="1" x14ac:dyDescent="0.25">
      <c r="A73" s="612"/>
      <c r="B73" s="198" t="s">
        <v>293</v>
      </c>
      <c r="C73" s="110" t="s">
        <v>294</v>
      </c>
      <c r="D73" s="111" t="s">
        <v>295</v>
      </c>
      <c r="E73" s="112" t="s">
        <v>296</v>
      </c>
      <c r="F73" s="301" t="s">
        <v>297</v>
      </c>
      <c r="G73" s="111" t="s">
        <v>298</v>
      </c>
      <c r="H73" s="111" t="s">
        <v>299</v>
      </c>
      <c r="I73" s="111" t="s">
        <v>300</v>
      </c>
      <c r="J73" s="111" t="s">
        <v>301</v>
      </c>
      <c r="K73" s="113" t="s">
        <v>368</v>
      </c>
      <c r="L73" s="113" t="s">
        <v>369</v>
      </c>
      <c r="M73" s="111" t="s">
        <v>307</v>
      </c>
      <c r="N73" s="121" t="s">
        <v>370</v>
      </c>
    </row>
    <row r="74" spans="1:35" outlineLevel="1" x14ac:dyDescent="0.25">
      <c r="A74" s="612"/>
      <c r="B74" s="160">
        <v>3</v>
      </c>
      <c r="C74" s="109">
        <v>2</v>
      </c>
      <c r="D74" s="109">
        <v>14</v>
      </c>
      <c r="E74" s="109">
        <v>6</v>
      </c>
      <c r="F74" s="302">
        <v>2</v>
      </c>
      <c r="G74" s="109">
        <v>14</v>
      </c>
      <c r="H74" s="109">
        <v>6</v>
      </c>
      <c r="I74" s="109">
        <v>2</v>
      </c>
      <c r="J74" s="109">
        <v>6</v>
      </c>
      <c r="K74" s="115">
        <v>8</v>
      </c>
      <c r="L74" s="115">
        <v>19</v>
      </c>
      <c r="M74" s="109">
        <v>3</v>
      </c>
      <c r="N74" s="122">
        <v>43</v>
      </c>
    </row>
    <row r="75" spans="1:35" outlineLevel="1" x14ac:dyDescent="0.25">
      <c r="A75" s="612"/>
      <c r="B75" s="160" t="s">
        <v>1</v>
      </c>
      <c r="C75" s="109" t="s">
        <v>69</v>
      </c>
      <c r="D75" s="109" t="s">
        <v>1</v>
      </c>
      <c r="E75" s="114" t="s">
        <v>69</v>
      </c>
      <c r="F75" s="302" t="s">
        <v>69</v>
      </c>
      <c r="G75" s="109" t="s">
        <v>1</v>
      </c>
      <c r="H75" s="109" t="s">
        <v>69</v>
      </c>
      <c r="I75" s="109" t="s">
        <v>69</v>
      </c>
      <c r="J75" s="109" t="s">
        <v>69</v>
      </c>
      <c r="K75" s="116" t="s">
        <v>1</v>
      </c>
      <c r="L75" s="116" t="s">
        <v>69</v>
      </c>
      <c r="M75" s="109" t="s">
        <v>1</v>
      </c>
      <c r="N75" s="122" t="s">
        <v>69</v>
      </c>
    </row>
    <row r="76" spans="1:35" outlineLevel="1" x14ac:dyDescent="0.25">
      <c r="A76" s="612"/>
      <c r="B76" s="160" t="s">
        <v>0</v>
      </c>
      <c r="C76" s="109" t="s">
        <v>0</v>
      </c>
      <c r="D76" s="109" t="s">
        <v>0</v>
      </c>
      <c r="E76" s="114" t="s">
        <v>4</v>
      </c>
      <c r="F76" s="302" t="s">
        <v>0</v>
      </c>
      <c r="G76" s="109" t="s">
        <v>0</v>
      </c>
      <c r="H76" s="109" t="s">
        <v>4</v>
      </c>
      <c r="I76" s="109" t="s">
        <v>0</v>
      </c>
      <c r="J76" s="109" t="s">
        <v>0</v>
      </c>
      <c r="K76" s="116" t="s">
        <v>0</v>
      </c>
      <c r="L76" s="116" t="s">
        <v>4</v>
      </c>
      <c r="M76" s="109" t="s">
        <v>0</v>
      </c>
      <c r="N76" s="122" t="s">
        <v>4</v>
      </c>
    </row>
    <row r="77" spans="1:35" ht="30" customHeight="1" thickBot="1" x14ac:dyDescent="0.3">
      <c r="A77" s="613"/>
      <c r="B77" s="183">
        <v>999</v>
      </c>
      <c r="C77" s="186" t="s">
        <v>373</v>
      </c>
      <c r="D77" s="174" t="s">
        <v>584</v>
      </c>
      <c r="E77" s="186" t="s">
        <v>374</v>
      </c>
      <c r="F77" s="303" t="s">
        <v>375</v>
      </c>
      <c r="G77" s="174" t="s">
        <v>585</v>
      </c>
      <c r="H77" s="186" t="s">
        <v>374</v>
      </c>
      <c r="I77" s="186" t="s">
        <v>376</v>
      </c>
      <c r="J77" s="184" t="s">
        <v>377</v>
      </c>
      <c r="K77" s="497" t="s">
        <v>893</v>
      </c>
      <c r="L77" s="186" t="s">
        <v>390</v>
      </c>
      <c r="M77" s="185" t="s">
        <v>195</v>
      </c>
      <c r="N77" s="187" t="s">
        <v>391</v>
      </c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</row>
    <row r="78" spans="1:35" x14ac:dyDescent="0.25">
      <c r="B78" s="150" t="s">
        <v>586</v>
      </c>
      <c r="C78" s="150" t="s">
        <v>586</v>
      </c>
      <c r="D78" s="150" t="s">
        <v>586</v>
      </c>
      <c r="E78" s="150" t="s">
        <v>586</v>
      </c>
      <c r="F78" s="276" t="s">
        <v>586</v>
      </c>
      <c r="G78" s="150" t="s">
        <v>586</v>
      </c>
      <c r="H78" s="150" t="s">
        <v>586</v>
      </c>
      <c r="I78" s="150" t="s">
        <v>586</v>
      </c>
      <c r="J78" s="150" t="s">
        <v>586</v>
      </c>
      <c r="K78" s="150" t="s">
        <v>586</v>
      </c>
      <c r="L78" s="150" t="s">
        <v>586</v>
      </c>
      <c r="M78" s="150" t="s">
        <v>586</v>
      </c>
      <c r="N78" s="150" t="s">
        <v>586</v>
      </c>
    </row>
  </sheetData>
  <sheetProtection algorithmName="SHA-512" hashValue="c37JAytbV6cbTBKWtS7WJ8ZUTD7AcBilAjtg2l5PkE3PW1fS6CkSN7xm6CCuj2tPiPsC1OoATvTtFHLqGETvgw==" saltValue="ZVgf6ug44KbuAN5i2WKd0w==" spinCount="100000" sheet="1" sort="0"/>
  <mergeCells count="18">
    <mergeCell ref="A7:AI7"/>
    <mergeCell ref="A58:A63"/>
    <mergeCell ref="A65:A70"/>
    <mergeCell ref="A72:A77"/>
    <mergeCell ref="A23:A28"/>
    <mergeCell ref="A30:A35"/>
    <mergeCell ref="A37:A42"/>
    <mergeCell ref="A44:A49"/>
    <mergeCell ref="A51:A56"/>
    <mergeCell ref="A9:A14"/>
    <mergeCell ref="A16:A21"/>
    <mergeCell ref="B1:AI1"/>
    <mergeCell ref="A3:C3"/>
    <mergeCell ref="D3:F3"/>
    <mergeCell ref="G3:H3"/>
    <mergeCell ref="I3:X3"/>
    <mergeCell ref="Z3:AE3"/>
    <mergeCell ref="AG3:AI3"/>
  </mergeCells>
  <conditionalFormatting sqref="B28">
    <cfRule type="expression" dxfId="45" priority="2">
      <formula>"B17&lt;&gt;0"</formula>
    </cfRule>
  </conditionalFormatting>
  <conditionalFormatting sqref="F28">
    <cfRule type="expression" dxfId="44" priority="1">
      <formula>"b17&lt;&gt;0"</formula>
    </cfRule>
  </conditionalFormatting>
  <hyperlinks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tabColor theme="8" tint="-0.499984740745262"/>
    <pageSetUpPr fitToPage="1"/>
  </sheetPr>
  <dimension ref="A1:AL85"/>
  <sheetViews>
    <sheetView view="pageBreakPreview" topLeftCell="A22" zoomScale="25" zoomScaleNormal="25" zoomScaleSheetLayoutView="25" workbookViewId="0">
      <selection activeCell="P85" sqref="P85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8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8" ht="15.75" thickBot="1" x14ac:dyDescent="0.3">
      <c r="C2" s="78"/>
    </row>
    <row r="3" spans="1:38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8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8" ht="58.5" customHeight="1" thickBot="1" x14ac:dyDescent="0.3">
      <c r="A5" s="379" t="str">
        <f>'LISTE DES CAS ANNEXE 30'!A7</f>
        <v>CONVENTION CAS 3</v>
      </c>
      <c r="B5" s="369">
        <f>'LISTE DES CAS ANNEXE 30'!B7</f>
        <v>1</v>
      </c>
      <c r="C5" s="370">
        <f>'LISTE DES CAS ANNEXE 30'!C7</f>
        <v>1</v>
      </c>
      <c r="D5" s="367" t="str">
        <f>'LISTE DES CAS ANNEXE 30'!D7</f>
        <v>MALADIE</v>
      </c>
      <c r="E5" s="368">
        <f>'LISTE DES CAS ANNEXE 30'!E7</f>
        <v>0.55000000000000004</v>
      </c>
      <c r="F5" s="361" t="str">
        <f>'LISTE DES CAS ANNEXE 30'!H7</f>
        <v>NON</v>
      </c>
      <c r="G5" s="384" t="str">
        <f>'LISTE DES CAS ANNEXE 30'!I7</f>
        <v>Sans objet</v>
      </c>
      <c r="H5" s="366" t="str">
        <f>'LISTE DES CAS ANNEXE 30'!J7</f>
        <v>05 - TP AMO SEUL</v>
      </c>
      <c r="I5" s="412" t="str">
        <f>'LISTE DES CAS ANNEXE 30'!K7</f>
        <v>69-LYON</v>
      </c>
      <c r="J5" s="355" t="str">
        <f>'LISTE DES CAS ANNEXE 30'!L7</f>
        <v>42-SAINT-ETIENNE</v>
      </c>
      <c r="K5" s="356" t="str">
        <f>'LISTE DES CAS ANNEXE 30'!M7</f>
        <v>01/12/2025 à 10H00</v>
      </c>
      <c r="L5" s="356" t="str">
        <f>'LISTE DES CAS ANNEXE 30'!N7</f>
        <v>01/12/2025 à 11h15</v>
      </c>
      <c r="M5" s="357" t="str">
        <f>'LISTE DES CAS ANNEXE 30'!O7</f>
        <v>EE-003-FF</v>
      </c>
      <c r="N5" s="357" t="str">
        <f>'LISTE DES CAS ANNEXE 30'!P7</f>
        <v>69123
(LYON)</v>
      </c>
      <c r="O5" s="357" t="str">
        <f>'LISTE DES CAS ANNEXE 30'!Q7</f>
        <v>069</v>
      </c>
      <c r="P5" s="357" t="str">
        <f>'LISTE DES CAS ANNEXE 30'!R7</f>
        <v xml:space="preserve">691 - CPAM DU RHONE </v>
      </c>
      <c r="Q5" s="358">
        <f>'LISTE DES CAS ANNEXE 30'!S7</f>
        <v>63</v>
      </c>
      <c r="R5" s="359" t="str">
        <f>'LISTE DES CAS ANNEXE 30'!T7</f>
        <v>JOUR</v>
      </c>
      <c r="S5" s="360">
        <f>'LISTE DES CAS ANNEXE 30'!U7</f>
        <v>1</v>
      </c>
      <c r="T5" s="356" t="str">
        <f>'LISTE DES CAS ANNEXE 30'!V7</f>
        <v>NON</v>
      </c>
      <c r="U5" s="356" t="str">
        <f>'LISTE DES CAS ANNEXE 30'!W7</f>
        <v>NON</v>
      </c>
      <c r="V5" s="356" t="str">
        <f>'LISTE DES CAS ANNEXE 30'!X7</f>
        <v>NON</v>
      </c>
      <c r="W5" s="356" t="str">
        <f>'LISTE DES CAS ANNEXE 30'!Y7</f>
        <v>NON</v>
      </c>
      <c r="X5" s="361" t="str">
        <f>'LISTE DES CAS ANNEXE 30'!Z7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8" ht="15.75" thickBot="1" x14ac:dyDescent="0.3">
      <c r="C6" s="78"/>
    </row>
    <row r="7" spans="1:38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8" s="371" customFormat="1" ht="15.75" thickBot="1" x14ac:dyDescent="0.3">
      <c r="B8" s="372"/>
      <c r="C8" s="373"/>
      <c r="F8" s="374"/>
      <c r="AJ8" s="77"/>
      <c r="AK8" s="77"/>
      <c r="AL8" s="77"/>
    </row>
    <row r="9" spans="1:38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8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8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8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8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8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8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8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602</v>
      </c>
      <c r="Z42" s="194" t="s">
        <v>602</v>
      </c>
      <c r="AA42" s="194" t="s">
        <v>592</v>
      </c>
      <c r="AB42" s="194" t="s">
        <v>603</v>
      </c>
      <c r="AC42" s="194" t="s">
        <v>602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5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5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5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5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5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5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5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5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214</v>
      </c>
      <c r="M56" s="54" t="s">
        <v>543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609</v>
      </c>
      <c r="T56" s="54" t="s">
        <v>263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5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5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5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5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5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5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5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611</v>
      </c>
      <c r="Z63" s="96" t="s">
        <v>611</v>
      </c>
      <c r="AA63" s="97" t="s">
        <v>592</v>
      </c>
      <c r="AB63" s="96" t="s">
        <v>612</v>
      </c>
      <c r="AC63" s="96" t="s">
        <v>611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5" s="75" customFormat="1" ht="15.75" thickBot="1" x14ac:dyDescent="0.3">
      <c r="A64" s="77"/>
      <c r="B64" s="144"/>
      <c r="C64" s="77"/>
      <c r="D64" s="77"/>
      <c r="E64" s="77"/>
      <c r="F64" s="271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</row>
    <row r="65" spans="1:35" ht="100.15" customHeight="1" x14ac:dyDescent="0.25">
      <c r="A65" s="614" t="s">
        <v>360</v>
      </c>
      <c r="B65" s="147" t="s">
        <v>13</v>
      </c>
      <c r="C65" s="24" t="s">
        <v>14</v>
      </c>
      <c r="D65" s="24" t="s">
        <v>15</v>
      </c>
      <c r="E65" s="25" t="s">
        <v>16</v>
      </c>
      <c r="F65" s="282" t="s">
        <v>17</v>
      </c>
      <c r="G65" s="24" t="s">
        <v>70</v>
      </c>
      <c r="H65" s="24" t="s">
        <v>15</v>
      </c>
      <c r="I65" s="24" t="s">
        <v>220</v>
      </c>
      <c r="J65" s="24" t="s">
        <v>221</v>
      </c>
      <c r="K65" s="26" t="s">
        <v>222</v>
      </c>
      <c r="L65" s="26" t="s">
        <v>223</v>
      </c>
      <c r="M65" s="24" t="s">
        <v>224</v>
      </c>
      <c r="N65" s="24" t="s">
        <v>225</v>
      </c>
      <c r="O65" s="24" t="s">
        <v>226</v>
      </c>
      <c r="P65" s="24" t="s">
        <v>221</v>
      </c>
      <c r="Q65" s="24" t="s">
        <v>227</v>
      </c>
      <c r="R65" s="24" t="s">
        <v>15</v>
      </c>
      <c r="S65" s="27" t="s">
        <v>228</v>
      </c>
    </row>
    <row r="66" spans="1:35" ht="19.899999999999999" customHeight="1" x14ac:dyDescent="0.25">
      <c r="A66" s="615"/>
      <c r="B66" s="148">
        <v>1</v>
      </c>
      <c r="C66" s="5" t="s">
        <v>47</v>
      </c>
      <c r="D66" s="4">
        <v>11</v>
      </c>
      <c r="E66" s="6" t="s">
        <v>48</v>
      </c>
      <c r="F66" s="283" t="s">
        <v>49</v>
      </c>
      <c r="G66" s="7" t="s">
        <v>50</v>
      </c>
      <c r="H66" s="7" t="s">
        <v>229</v>
      </c>
      <c r="I66" s="7" t="s">
        <v>216</v>
      </c>
      <c r="J66" s="7" t="s">
        <v>230</v>
      </c>
      <c r="K66" s="8" t="s">
        <v>217</v>
      </c>
      <c r="L66" s="8" t="s">
        <v>218</v>
      </c>
      <c r="M66" s="7" t="s">
        <v>179</v>
      </c>
      <c r="N66" s="7" t="s">
        <v>219</v>
      </c>
      <c r="O66" s="7">
        <v>90</v>
      </c>
      <c r="P66" s="7" t="s">
        <v>231</v>
      </c>
      <c r="Q66" s="7">
        <v>94</v>
      </c>
      <c r="R66" s="7" t="s">
        <v>232</v>
      </c>
      <c r="S66" s="28" t="s">
        <v>233</v>
      </c>
    </row>
    <row r="67" spans="1:35" outlineLevel="1" x14ac:dyDescent="0.25">
      <c r="A67" s="615"/>
      <c r="B67" s="148">
        <v>1</v>
      </c>
      <c r="C67" s="4">
        <v>9</v>
      </c>
      <c r="D67" s="4">
        <v>1</v>
      </c>
      <c r="E67" s="9">
        <v>13</v>
      </c>
      <c r="F67" s="284">
        <v>2</v>
      </c>
      <c r="G67" s="4">
        <v>9</v>
      </c>
      <c r="H67" s="4">
        <v>3</v>
      </c>
      <c r="I67" s="4">
        <v>3</v>
      </c>
      <c r="J67" s="4">
        <v>16</v>
      </c>
      <c r="K67" s="10">
        <v>8</v>
      </c>
      <c r="L67" s="10">
        <v>8</v>
      </c>
      <c r="M67" s="4">
        <v>8</v>
      </c>
      <c r="N67" s="4">
        <v>8</v>
      </c>
      <c r="O67" s="4">
        <v>1</v>
      </c>
      <c r="P67" s="4">
        <v>3</v>
      </c>
      <c r="Q67" s="4">
        <v>1</v>
      </c>
      <c r="R67" s="4">
        <v>2</v>
      </c>
      <c r="S67" s="29">
        <v>32</v>
      </c>
    </row>
    <row r="68" spans="1:35" ht="13.5" customHeight="1" outlineLevel="1" x14ac:dyDescent="0.25">
      <c r="A68" s="615"/>
      <c r="B68" s="148" t="s">
        <v>1</v>
      </c>
      <c r="C68" s="4" t="s">
        <v>1</v>
      </c>
      <c r="D68" s="4" t="s">
        <v>69</v>
      </c>
      <c r="E68" s="9" t="s">
        <v>69</v>
      </c>
      <c r="F68" s="284" t="s">
        <v>1</v>
      </c>
      <c r="G68" s="4" t="s">
        <v>1</v>
      </c>
      <c r="H68" s="4" t="s">
        <v>69</v>
      </c>
      <c r="I68" s="4" t="s">
        <v>1</v>
      </c>
      <c r="J68" s="4" t="s">
        <v>69</v>
      </c>
      <c r="K68" s="12" t="s">
        <v>1</v>
      </c>
      <c r="L68" s="12" t="s">
        <v>1</v>
      </c>
      <c r="M68" s="4" t="s">
        <v>1</v>
      </c>
      <c r="N68" s="4" t="s">
        <v>1</v>
      </c>
      <c r="O68" s="4" t="s">
        <v>69</v>
      </c>
      <c r="P68" s="4" t="s">
        <v>69</v>
      </c>
      <c r="Q68" s="4" t="s">
        <v>69</v>
      </c>
      <c r="R68" s="4" t="s">
        <v>69</v>
      </c>
      <c r="S68" s="29" t="s">
        <v>69</v>
      </c>
    </row>
    <row r="69" spans="1:35" outlineLevel="1" x14ac:dyDescent="0.25">
      <c r="A69" s="615"/>
      <c r="B69" s="148" t="s">
        <v>0</v>
      </c>
      <c r="C69" s="4" t="s">
        <v>0</v>
      </c>
      <c r="D69" s="4" t="s">
        <v>4</v>
      </c>
      <c r="E69" s="9" t="s">
        <v>0</v>
      </c>
      <c r="F69" s="284" t="s">
        <v>0</v>
      </c>
      <c r="G69" s="4" t="s">
        <v>0</v>
      </c>
      <c r="H69" s="4" t="s">
        <v>4</v>
      </c>
      <c r="I69" s="4" t="s">
        <v>0</v>
      </c>
      <c r="J69" s="4" t="s">
        <v>0</v>
      </c>
      <c r="K69" s="12" t="s">
        <v>0</v>
      </c>
      <c r="L69" s="12" t="s">
        <v>0</v>
      </c>
      <c r="M69" s="4" t="s">
        <v>0</v>
      </c>
      <c r="N69" s="4" t="s">
        <v>4</v>
      </c>
      <c r="O69" s="4" t="s">
        <v>4</v>
      </c>
      <c r="P69" s="4" t="s">
        <v>0</v>
      </c>
      <c r="Q69" s="4" t="s">
        <v>0</v>
      </c>
      <c r="R69" s="4" t="s">
        <v>4</v>
      </c>
      <c r="S69" s="29" t="s">
        <v>4</v>
      </c>
    </row>
    <row r="70" spans="1:35" s="163" customFormat="1" ht="30" customHeight="1" thickBot="1" x14ac:dyDescent="0.3">
      <c r="A70" s="616"/>
      <c r="B70" s="157">
        <v>5</v>
      </c>
      <c r="C70" s="54" t="s">
        <v>544</v>
      </c>
      <c r="D70" s="55" t="s">
        <v>8</v>
      </c>
      <c r="E70" s="55" t="s">
        <v>198</v>
      </c>
      <c r="F70" s="270">
        <v>77</v>
      </c>
      <c r="G70" s="55">
        <v>250000001</v>
      </c>
      <c r="H70" s="98" t="s">
        <v>9</v>
      </c>
      <c r="I70" s="496" t="s">
        <v>885</v>
      </c>
      <c r="J70" s="98" t="s">
        <v>234</v>
      </c>
      <c r="K70" s="56" t="s">
        <v>613</v>
      </c>
      <c r="L70" s="56" t="s">
        <v>614</v>
      </c>
      <c r="M70" s="56" t="s">
        <v>615</v>
      </c>
      <c r="N70" s="56" t="s">
        <v>599</v>
      </c>
      <c r="O70" s="56" t="s">
        <v>8</v>
      </c>
      <c r="P70" s="56" t="s">
        <v>9</v>
      </c>
      <c r="Q70" s="56" t="s">
        <v>8</v>
      </c>
      <c r="R70" s="56" t="s">
        <v>210</v>
      </c>
      <c r="S70" s="99" t="s">
        <v>235</v>
      </c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</row>
    <row r="71" spans="1:35" ht="15.75" thickBot="1" x14ac:dyDescent="0.3">
      <c r="A71" s="75"/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</row>
    <row r="72" spans="1:35" ht="100.15" customHeight="1" x14ac:dyDescent="0.25">
      <c r="A72" s="608" t="s">
        <v>361</v>
      </c>
      <c r="B72" s="327" t="s">
        <v>13</v>
      </c>
      <c r="C72" s="328" t="s">
        <v>14</v>
      </c>
      <c r="D72" s="328" t="s">
        <v>339</v>
      </c>
      <c r="E72" s="329" t="s">
        <v>469</v>
      </c>
      <c r="F72" s="330" t="s">
        <v>470</v>
      </c>
      <c r="G72" s="328" t="s">
        <v>471</v>
      </c>
      <c r="H72" s="328" t="s">
        <v>340</v>
      </c>
      <c r="I72" s="328" t="s">
        <v>473</v>
      </c>
      <c r="J72" s="328" t="s">
        <v>472</v>
      </c>
      <c r="K72" s="331" t="s">
        <v>312</v>
      </c>
      <c r="L72" s="331" t="s">
        <v>341</v>
      </c>
      <c r="M72" s="328" t="s">
        <v>25</v>
      </c>
      <c r="N72" s="328" t="s">
        <v>15</v>
      </c>
      <c r="O72" s="328" t="s">
        <v>474</v>
      </c>
      <c r="P72" s="328" t="s">
        <v>342</v>
      </c>
      <c r="Q72" s="328" t="s">
        <v>15</v>
      </c>
      <c r="R72" s="328" t="s">
        <v>343</v>
      </c>
      <c r="S72" s="332" t="s">
        <v>228</v>
      </c>
    </row>
    <row r="73" spans="1:35" ht="19.899999999999999" customHeight="1" x14ac:dyDescent="0.25">
      <c r="A73" s="609"/>
      <c r="B73" s="158">
        <v>1</v>
      </c>
      <c r="C73" s="102" t="s">
        <v>47</v>
      </c>
      <c r="D73" s="103" t="s">
        <v>344</v>
      </c>
      <c r="E73" s="104" t="s">
        <v>345</v>
      </c>
      <c r="F73" s="298" t="s">
        <v>346</v>
      </c>
      <c r="G73" s="103" t="s">
        <v>347</v>
      </c>
      <c r="H73" s="103" t="s">
        <v>348</v>
      </c>
      <c r="I73" s="103" t="s">
        <v>349</v>
      </c>
      <c r="J73" s="103" t="s">
        <v>350</v>
      </c>
      <c r="K73" s="105" t="s">
        <v>351</v>
      </c>
      <c r="L73" s="105" t="s">
        <v>352</v>
      </c>
      <c r="M73" s="103" t="s">
        <v>353</v>
      </c>
      <c r="N73" s="103" t="s">
        <v>354</v>
      </c>
      <c r="O73" s="103" t="s">
        <v>355</v>
      </c>
      <c r="P73" s="103" t="s">
        <v>356</v>
      </c>
      <c r="Q73" s="103" t="s">
        <v>357</v>
      </c>
      <c r="R73" s="103" t="s">
        <v>358</v>
      </c>
      <c r="S73" s="333" t="s">
        <v>233</v>
      </c>
    </row>
    <row r="74" spans="1:35" outlineLevel="1" x14ac:dyDescent="0.25">
      <c r="A74" s="609"/>
      <c r="B74" s="158">
        <v>1</v>
      </c>
      <c r="C74" s="101">
        <v>9</v>
      </c>
      <c r="D74" s="101">
        <v>3</v>
      </c>
      <c r="E74" s="101">
        <v>4</v>
      </c>
      <c r="F74" s="299">
        <v>4</v>
      </c>
      <c r="G74" s="101">
        <v>3</v>
      </c>
      <c r="H74" s="101">
        <v>9</v>
      </c>
      <c r="I74" s="101">
        <v>9</v>
      </c>
      <c r="J74" s="101">
        <v>9</v>
      </c>
      <c r="K74" s="107">
        <v>3</v>
      </c>
      <c r="L74" s="107">
        <v>1</v>
      </c>
      <c r="M74" s="101">
        <v>1</v>
      </c>
      <c r="N74" s="101">
        <v>4</v>
      </c>
      <c r="O74" s="101">
        <v>12</v>
      </c>
      <c r="P74" s="101">
        <v>12</v>
      </c>
      <c r="Q74" s="103">
        <v>3</v>
      </c>
      <c r="R74" s="101">
        <v>9</v>
      </c>
      <c r="S74" s="334">
        <v>32</v>
      </c>
    </row>
    <row r="75" spans="1:35" outlineLevel="1" x14ac:dyDescent="0.25">
      <c r="A75" s="609"/>
      <c r="B75" s="158" t="s">
        <v>1</v>
      </c>
      <c r="C75" s="101" t="s">
        <v>1</v>
      </c>
      <c r="D75" s="197" t="s">
        <v>1</v>
      </c>
      <c r="E75" s="106" t="s">
        <v>1</v>
      </c>
      <c r="F75" s="299" t="s">
        <v>1</v>
      </c>
      <c r="G75" s="101" t="s">
        <v>1</v>
      </c>
      <c r="H75" s="101" t="s">
        <v>1</v>
      </c>
      <c r="I75" s="101" t="s">
        <v>1</v>
      </c>
      <c r="J75" s="101" t="s">
        <v>1</v>
      </c>
      <c r="K75" s="108" t="s">
        <v>1</v>
      </c>
      <c r="L75" s="108" t="s">
        <v>69</v>
      </c>
      <c r="M75" s="101" t="s">
        <v>69</v>
      </c>
      <c r="N75" s="101" t="s">
        <v>69</v>
      </c>
      <c r="O75" s="101" t="s">
        <v>69</v>
      </c>
      <c r="P75" s="101" t="s">
        <v>1</v>
      </c>
      <c r="Q75" s="101" t="s">
        <v>69</v>
      </c>
      <c r="R75" s="101" t="s">
        <v>1</v>
      </c>
      <c r="S75" s="334" t="s">
        <v>1</v>
      </c>
    </row>
    <row r="76" spans="1:35" outlineLevel="1" x14ac:dyDescent="0.25">
      <c r="A76" s="609"/>
      <c r="B76" s="158" t="s">
        <v>0</v>
      </c>
      <c r="C76" s="101" t="s">
        <v>0</v>
      </c>
      <c r="D76" s="101" t="s">
        <v>0</v>
      </c>
      <c r="E76" s="106" t="s">
        <v>0</v>
      </c>
      <c r="F76" s="299" t="s">
        <v>0</v>
      </c>
      <c r="G76" s="101" t="s">
        <v>0</v>
      </c>
      <c r="H76" s="101" t="s">
        <v>0</v>
      </c>
      <c r="I76" s="101" t="s">
        <v>0</v>
      </c>
      <c r="J76" s="101" t="s">
        <v>0</v>
      </c>
      <c r="K76" s="108" t="s">
        <v>0</v>
      </c>
      <c r="L76" s="108" t="s">
        <v>4</v>
      </c>
      <c r="M76" s="101" t="s">
        <v>4</v>
      </c>
      <c r="N76" s="101" t="s">
        <v>4</v>
      </c>
      <c r="O76" s="101" t="s">
        <v>4</v>
      </c>
      <c r="P76" s="101" t="s">
        <v>4</v>
      </c>
      <c r="Q76" s="101" t="s">
        <v>4</v>
      </c>
      <c r="R76" s="101" t="s">
        <v>4</v>
      </c>
      <c r="S76" s="334" t="s">
        <v>0</v>
      </c>
    </row>
    <row r="77" spans="1:35" s="163" customFormat="1" ht="30" customHeight="1" thickBot="1" x14ac:dyDescent="0.3">
      <c r="A77" s="610"/>
      <c r="B77" s="183">
        <v>6</v>
      </c>
      <c r="C77" s="335" t="s">
        <v>544</v>
      </c>
      <c r="D77" s="185" t="s">
        <v>195</v>
      </c>
      <c r="E77" s="336" t="s">
        <v>521</v>
      </c>
      <c r="F77" s="337" t="s">
        <v>521</v>
      </c>
      <c r="G77" s="185" t="s">
        <v>195</v>
      </c>
      <c r="H77" s="184" t="s">
        <v>616</v>
      </c>
      <c r="I77" s="184" t="s">
        <v>617</v>
      </c>
      <c r="J77" s="184" t="s">
        <v>209</v>
      </c>
      <c r="K77" s="184" t="s">
        <v>195</v>
      </c>
      <c r="L77" s="186" t="s">
        <v>8</v>
      </c>
      <c r="M77" s="186" t="s">
        <v>8</v>
      </c>
      <c r="N77" s="186" t="s">
        <v>387</v>
      </c>
      <c r="O77" s="186" t="s">
        <v>941</v>
      </c>
      <c r="P77" s="186" t="s">
        <v>388</v>
      </c>
      <c r="Q77" s="186" t="s">
        <v>9</v>
      </c>
      <c r="R77" s="186" t="s">
        <v>389</v>
      </c>
      <c r="S77" s="187" t="s">
        <v>235</v>
      </c>
    </row>
    <row r="78" spans="1:35" ht="9.75" customHeight="1" thickBot="1" x14ac:dyDescent="0.3">
      <c r="B78" s="150" t="s">
        <v>586</v>
      </c>
      <c r="C78" s="150" t="s">
        <v>586</v>
      </c>
      <c r="D78" s="150" t="s">
        <v>586</v>
      </c>
      <c r="E78" s="150" t="s">
        <v>586</v>
      </c>
      <c r="F78" s="276" t="s">
        <v>586</v>
      </c>
      <c r="G78" s="150" t="s">
        <v>586</v>
      </c>
      <c r="H78" s="150" t="s">
        <v>586</v>
      </c>
      <c r="I78" s="150" t="s">
        <v>586</v>
      </c>
      <c r="J78" s="150" t="s">
        <v>586</v>
      </c>
      <c r="K78" s="150" t="s">
        <v>586</v>
      </c>
      <c r="L78" s="150" t="s">
        <v>586</v>
      </c>
      <c r="M78" s="150" t="s">
        <v>586</v>
      </c>
      <c r="N78" s="150" t="s">
        <v>586</v>
      </c>
      <c r="O78" s="150" t="s">
        <v>586</v>
      </c>
      <c r="P78" s="150" t="s">
        <v>586</v>
      </c>
      <c r="Q78" s="150" t="s">
        <v>586</v>
      </c>
      <c r="R78" s="150" t="s">
        <v>586</v>
      </c>
      <c r="S78" s="150" t="s">
        <v>586</v>
      </c>
    </row>
    <row r="79" spans="1:35" ht="100.15" customHeight="1" x14ac:dyDescent="0.25">
      <c r="A79" s="611" t="s">
        <v>371</v>
      </c>
      <c r="B79" s="159" t="s">
        <v>13</v>
      </c>
      <c r="C79" s="117" t="s">
        <v>363</v>
      </c>
      <c r="D79" s="117" t="s">
        <v>364</v>
      </c>
      <c r="E79" s="118" t="s">
        <v>15</v>
      </c>
      <c r="F79" s="300" t="s">
        <v>283</v>
      </c>
      <c r="G79" s="117" t="s">
        <v>365</v>
      </c>
      <c r="H79" s="117" t="s">
        <v>15</v>
      </c>
      <c r="I79" s="117" t="s">
        <v>286</v>
      </c>
      <c r="J79" s="117" t="s">
        <v>287</v>
      </c>
      <c r="K79" s="119" t="s">
        <v>366</v>
      </c>
      <c r="L79" s="119" t="s">
        <v>15</v>
      </c>
      <c r="M79" s="117" t="s">
        <v>367</v>
      </c>
      <c r="N79" s="120" t="s">
        <v>15</v>
      </c>
    </row>
    <row r="80" spans="1:35" ht="19.899999999999999" customHeight="1" x14ac:dyDescent="0.25">
      <c r="A80" s="612"/>
      <c r="B80" s="198" t="s">
        <v>293</v>
      </c>
      <c r="C80" s="110" t="s">
        <v>294</v>
      </c>
      <c r="D80" s="111" t="s">
        <v>295</v>
      </c>
      <c r="E80" s="112" t="s">
        <v>296</v>
      </c>
      <c r="F80" s="301" t="s">
        <v>297</v>
      </c>
      <c r="G80" s="111" t="s">
        <v>298</v>
      </c>
      <c r="H80" s="111" t="s">
        <v>299</v>
      </c>
      <c r="I80" s="111" t="s">
        <v>300</v>
      </c>
      <c r="J80" s="111" t="s">
        <v>301</v>
      </c>
      <c r="K80" s="113" t="s">
        <v>368</v>
      </c>
      <c r="L80" s="113" t="s">
        <v>369</v>
      </c>
      <c r="M80" s="111" t="s">
        <v>307</v>
      </c>
      <c r="N80" s="121" t="s">
        <v>370</v>
      </c>
    </row>
    <row r="81" spans="1:35" outlineLevel="1" x14ac:dyDescent="0.25">
      <c r="A81" s="612"/>
      <c r="B81" s="160">
        <v>3</v>
      </c>
      <c r="C81" s="109">
        <v>2</v>
      </c>
      <c r="D81" s="109">
        <v>14</v>
      </c>
      <c r="E81" s="109">
        <v>6</v>
      </c>
      <c r="F81" s="302">
        <v>2</v>
      </c>
      <c r="G81" s="109">
        <v>14</v>
      </c>
      <c r="H81" s="109">
        <v>6</v>
      </c>
      <c r="I81" s="109">
        <v>2</v>
      </c>
      <c r="J81" s="109">
        <v>6</v>
      </c>
      <c r="K81" s="115">
        <v>8</v>
      </c>
      <c r="L81" s="115">
        <v>19</v>
      </c>
      <c r="M81" s="109">
        <v>3</v>
      </c>
      <c r="N81" s="122">
        <v>43</v>
      </c>
    </row>
    <row r="82" spans="1:35" outlineLevel="1" x14ac:dyDescent="0.25">
      <c r="A82" s="612"/>
      <c r="B82" s="160" t="s">
        <v>1</v>
      </c>
      <c r="C82" s="109" t="s">
        <v>69</v>
      </c>
      <c r="D82" s="109" t="s">
        <v>1</v>
      </c>
      <c r="E82" s="114" t="s">
        <v>69</v>
      </c>
      <c r="F82" s="302" t="s">
        <v>69</v>
      </c>
      <c r="G82" s="109" t="s">
        <v>1</v>
      </c>
      <c r="H82" s="109" t="s">
        <v>69</v>
      </c>
      <c r="I82" s="109" t="s">
        <v>69</v>
      </c>
      <c r="J82" s="109" t="s">
        <v>69</v>
      </c>
      <c r="K82" s="116" t="s">
        <v>1</v>
      </c>
      <c r="L82" s="116" t="s">
        <v>69</v>
      </c>
      <c r="M82" s="109" t="s">
        <v>1</v>
      </c>
      <c r="N82" s="122" t="s">
        <v>69</v>
      </c>
    </row>
    <row r="83" spans="1:35" outlineLevel="1" x14ac:dyDescent="0.25">
      <c r="A83" s="612"/>
      <c r="B83" s="160" t="s">
        <v>0</v>
      </c>
      <c r="C83" s="109" t="s">
        <v>0</v>
      </c>
      <c r="D83" s="109" t="s">
        <v>0</v>
      </c>
      <c r="E83" s="114" t="s">
        <v>4</v>
      </c>
      <c r="F83" s="302" t="s">
        <v>0</v>
      </c>
      <c r="G83" s="109" t="s">
        <v>0</v>
      </c>
      <c r="H83" s="109" t="s">
        <v>4</v>
      </c>
      <c r="I83" s="109" t="s">
        <v>0</v>
      </c>
      <c r="J83" s="109" t="s">
        <v>0</v>
      </c>
      <c r="K83" s="116" t="s">
        <v>0</v>
      </c>
      <c r="L83" s="116" t="s">
        <v>4</v>
      </c>
      <c r="M83" s="109" t="s">
        <v>0</v>
      </c>
      <c r="N83" s="122" t="s">
        <v>4</v>
      </c>
    </row>
    <row r="84" spans="1:35" ht="30" customHeight="1" thickBot="1" x14ac:dyDescent="0.3">
      <c r="A84" s="613"/>
      <c r="B84" s="183">
        <v>999</v>
      </c>
      <c r="C84" s="186" t="s">
        <v>373</v>
      </c>
      <c r="D84" s="174" t="s">
        <v>584</v>
      </c>
      <c r="E84" s="186" t="s">
        <v>374</v>
      </c>
      <c r="F84" s="303" t="s">
        <v>375</v>
      </c>
      <c r="G84" s="174" t="s">
        <v>585</v>
      </c>
      <c r="H84" s="186" t="s">
        <v>374</v>
      </c>
      <c r="I84" s="186" t="s">
        <v>376</v>
      </c>
      <c r="J84" s="184" t="s">
        <v>377</v>
      </c>
      <c r="K84" s="497" t="s">
        <v>908</v>
      </c>
      <c r="L84" s="186" t="s">
        <v>390</v>
      </c>
      <c r="M84" s="185" t="s">
        <v>195</v>
      </c>
      <c r="N84" s="187" t="s">
        <v>391</v>
      </c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</row>
    <row r="85" spans="1:35" x14ac:dyDescent="0.25">
      <c r="B85" s="150" t="s">
        <v>586</v>
      </c>
      <c r="C85" s="150" t="s">
        <v>586</v>
      </c>
      <c r="D85" s="150" t="s">
        <v>586</v>
      </c>
      <c r="E85" s="150" t="s">
        <v>586</v>
      </c>
      <c r="F85" s="276" t="s">
        <v>586</v>
      </c>
      <c r="G85" s="150" t="s">
        <v>586</v>
      </c>
      <c r="H85" s="150" t="s">
        <v>586</v>
      </c>
      <c r="I85" s="150" t="s">
        <v>586</v>
      </c>
      <c r="J85" s="150" t="s">
        <v>586</v>
      </c>
      <c r="K85" s="150" t="s">
        <v>586</v>
      </c>
      <c r="L85" s="150" t="s">
        <v>586</v>
      </c>
      <c r="M85" s="150" t="s">
        <v>586</v>
      </c>
      <c r="N85" s="150" t="s">
        <v>586</v>
      </c>
    </row>
  </sheetData>
  <sheetProtection algorithmName="SHA-512" hashValue="zOM8cCe6vQNvVpgrTdd3TX7/YUllHCowsZVwJOHpA+tPLBumzuh/ZMzpqEAXjHZQ3W+Byu/ssouaHeTWG3ScVg==" saltValue="xTEcTMwsnavnbVy8aPnPMA==" spinCount="100000" sheet="1" sort="0"/>
  <mergeCells count="19">
    <mergeCell ref="A7:AI7"/>
    <mergeCell ref="A65:A70"/>
    <mergeCell ref="A72:A77"/>
    <mergeCell ref="A79:A84"/>
    <mergeCell ref="A58:A63"/>
    <mergeCell ref="A23:A28"/>
    <mergeCell ref="A30:A35"/>
    <mergeCell ref="A37:A42"/>
    <mergeCell ref="A44:A49"/>
    <mergeCell ref="A51:A56"/>
    <mergeCell ref="A9:A14"/>
    <mergeCell ref="A16:A21"/>
    <mergeCell ref="B1:AI1"/>
    <mergeCell ref="A3:C3"/>
    <mergeCell ref="D3:F3"/>
    <mergeCell ref="G3:H3"/>
    <mergeCell ref="I3:X3"/>
    <mergeCell ref="Z3:AE3"/>
    <mergeCell ref="AG3:AI3"/>
  </mergeCells>
  <conditionalFormatting sqref="B28">
    <cfRule type="expression" dxfId="43" priority="2">
      <formula>"B17&lt;&gt;0"</formula>
    </cfRule>
  </conditionalFormatting>
  <conditionalFormatting sqref="F28">
    <cfRule type="expression" dxfId="42" priority="1">
      <formula>"b17&lt;&gt;0"</formula>
    </cfRule>
  </conditionalFormatting>
  <hyperlinks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tabColor theme="8" tint="-0.499984740745262"/>
    <pageSetUpPr fitToPage="1"/>
  </sheetPr>
  <dimension ref="A1:AM92"/>
  <sheetViews>
    <sheetView view="pageBreakPreview" topLeftCell="A58" zoomScale="55" zoomScaleNormal="55" zoomScaleSheetLayoutView="55" workbookViewId="0">
      <selection activeCell="P85" sqref="P85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9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9" ht="15.75" thickBot="1" x14ac:dyDescent="0.3">
      <c r="C2" s="78"/>
    </row>
    <row r="3" spans="1:39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9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9" ht="58.5" customHeight="1" thickBot="1" x14ac:dyDescent="0.3">
      <c r="A5" s="379" t="str">
        <f>'LISTE DES CAS ANNEXE 30'!A9</f>
        <v>CONVENTION CAS 4</v>
      </c>
      <c r="B5" s="369">
        <f>'LISTE DES CAS ANNEXE 30'!B9</f>
        <v>1</v>
      </c>
      <c r="C5" s="370">
        <f>'LISTE DES CAS ANNEXE 30'!C9</f>
        <v>1</v>
      </c>
      <c r="D5" s="367" t="str">
        <f>'LISTE DES CAS ANNEXE 30'!D9</f>
        <v>MALADIE</v>
      </c>
      <c r="E5" s="368">
        <f>'LISTE DES CAS ANNEXE 30'!E9</f>
        <v>0.55000000000000004</v>
      </c>
      <c r="F5" s="361" t="str">
        <f>'LISTE DES CAS ANNEXE 30'!H9</f>
        <v>NON</v>
      </c>
      <c r="G5" s="384" t="str">
        <f>'LISTE DES CAS ANNEXE 30'!I9</f>
        <v>Sans objet</v>
      </c>
      <c r="H5" s="366" t="str">
        <f>'LISTE DES CAS ANNEXE 30'!J9</f>
        <v>05 - TP AMO SEUL</v>
      </c>
      <c r="I5" s="354" t="str">
        <f>'LISTE DES CAS ANNEXE 30'!K9</f>
        <v>42-SAINT-ETIENNE</v>
      </c>
      <c r="J5" s="413" t="str">
        <f>'LISTE DES CAS ANNEXE 30'!L9</f>
        <v>69-LYON</v>
      </c>
      <c r="K5" s="356" t="str">
        <f>'LISTE DES CAS ANNEXE 30'!M9</f>
        <v>01/12/2025 à 10H00</v>
      </c>
      <c r="L5" s="356" t="str">
        <f>'LISTE DES CAS ANNEXE 30'!N9</f>
        <v>01/12/2025 à 11h15</v>
      </c>
      <c r="M5" s="357" t="str">
        <f>'LISTE DES CAS ANNEXE 30'!O9</f>
        <v>AA-001-BB</v>
      </c>
      <c r="N5" s="357" t="str">
        <f>'LISTE DES CAS ANNEXE 30'!P9</f>
        <v>42218 
(SAINT-ETIENNE)</v>
      </c>
      <c r="O5" s="357" t="str">
        <f>'LISTE DES CAS ANNEXE 30'!Q9</f>
        <v>042</v>
      </c>
      <c r="P5" s="357" t="str">
        <f>'LISTE DES CAS ANNEXE 30'!R9</f>
        <v>422 - CPAM DE LA LOIRE</v>
      </c>
      <c r="Q5" s="358">
        <f>'LISTE DES CAS ANNEXE 30'!S9</f>
        <v>63</v>
      </c>
      <c r="R5" s="359" t="str">
        <f>'LISTE DES CAS ANNEXE 30'!T9</f>
        <v>JOUR</v>
      </c>
      <c r="S5" s="360">
        <f>'LISTE DES CAS ANNEXE 30'!U9</f>
        <v>1</v>
      </c>
      <c r="T5" s="356" t="str">
        <f>'LISTE DES CAS ANNEXE 30'!V9</f>
        <v>NON</v>
      </c>
      <c r="U5" s="356" t="str">
        <f>'LISTE DES CAS ANNEXE 30'!W9</f>
        <v>NON</v>
      </c>
      <c r="V5" s="356" t="str">
        <f>'LISTE DES CAS ANNEXE 30'!X9</f>
        <v>NON</v>
      </c>
      <c r="W5" s="428" t="str">
        <f>'LISTE DES CAS ANNEXE 30'!Y9</f>
        <v>OUI</v>
      </c>
      <c r="X5" s="361" t="str">
        <f>'LISTE DES CAS ANNEXE 30'!Z9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9" ht="15.75" thickBot="1" x14ac:dyDescent="0.3">
      <c r="C6" s="78"/>
    </row>
    <row r="7" spans="1:39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9" s="371" customFormat="1" ht="15.75" thickBot="1" x14ac:dyDescent="0.3">
      <c r="B8" s="372"/>
      <c r="C8" s="373"/>
      <c r="F8" s="374"/>
      <c r="AJ8" s="77"/>
      <c r="AK8" s="77"/>
      <c r="AL8" s="77"/>
      <c r="AM8" s="77"/>
    </row>
    <row r="9" spans="1:39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9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9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9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9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9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9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9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602</v>
      </c>
      <c r="Z42" s="194" t="s">
        <v>602</v>
      </c>
      <c r="AA42" s="194" t="s">
        <v>592</v>
      </c>
      <c r="AB42" s="194" t="s">
        <v>603</v>
      </c>
      <c r="AC42" s="194" t="s">
        <v>602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609</v>
      </c>
      <c r="T56" s="54" t="s">
        <v>214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618</v>
      </c>
      <c r="Z63" s="96" t="s">
        <v>618</v>
      </c>
      <c r="AA63" s="97" t="s">
        <v>592</v>
      </c>
      <c r="AB63" s="96" t="s">
        <v>619</v>
      </c>
      <c r="AC63" s="96" t="s">
        <v>618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919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  <c r="AG65" s="2"/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</row>
    <row r="69" spans="1:35" ht="13.5" customHeight="1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280</v>
      </c>
      <c r="V70" s="33" t="s">
        <v>202</v>
      </c>
      <c r="W70" s="54" t="s">
        <v>590</v>
      </c>
      <c r="X70" s="33" t="s">
        <v>202</v>
      </c>
      <c r="Y70" s="54" t="s">
        <v>595</v>
      </c>
      <c r="Z70" s="96" t="s">
        <v>595</v>
      </c>
      <c r="AA70" s="54" t="s">
        <v>6</v>
      </c>
      <c r="AB70" s="54" t="s">
        <v>212</v>
      </c>
      <c r="AC70" s="54" t="s">
        <v>212</v>
      </c>
      <c r="AD70" s="193" t="s">
        <v>498</v>
      </c>
      <c r="AE70" s="193" t="s">
        <v>200</v>
      </c>
      <c r="AF70" s="54" t="s">
        <v>212</v>
      </c>
      <c r="AG70" s="188" t="s">
        <v>589</v>
      </c>
      <c r="AH70" s="76"/>
      <c r="AI70" s="76"/>
    </row>
    <row r="71" spans="1:35" s="75" customFormat="1" ht="15.75" thickBot="1" x14ac:dyDescent="0.3">
      <c r="A71" s="77"/>
      <c r="B71" s="144"/>
      <c r="C71" s="77"/>
      <c r="D71" s="77"/>
      <c r="E71" s="77"/>
      <c r="F71" s="271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</row>
    <row r="72" spans="1:35" ht="100.15" customHeight="1" x14ac:dyDescent="0.25">
      <c r="A72" s="614" t="s">
        <v>360</v>
      </c>
      <c r="B72" s="147" t="s">
        <v>13</v>
      </c>
      <c r="C72" s="24" t="s">
        <v>14</v>
      </c>
      <c r="D72" s="24" t="s">
        <v>15</v>
      </c>
      <c r="E72" s="25" t="s">
        <v>16</v>
      </c>
      <c r="F72" s="282" t="s">
        <v>17</v>
      </c>
      <c r="G72" s="24" t="s">
        <v>70</v>
      </c>
      <c r="H72" s="24" t="s">
        <v>15</v>
      </c>
      <c r="I72" s="24" t="s">
        <v>220</v>
      </c>
      <c r="J72" s="24" t="s">
        <v>221</v>
      </c>
      <c r="K72" s="26" t="s">
        <v>222</v>
      </c>
      <c r="L72" s="26" t="s">
        <v>223</v>
      </c>
      <c r="M72" s="24" t="s">
        <v>224</v>
      </c>
      <c r="N72" s="24" t="s">
        <v>225</v>
      </c>
      <c r="O72" s="24" t="s">
        <v>226</v>
      </c>
      <c r="P72" s="24" t="s">
        <v>221</v>
      </c>
      <c r="Q72" s="24" t="s">
        <v>227</v>
      </c>
      <c r="R72" s="24" t="s">
        <v>15</v>
      </c>
      <c r="S72" s="27" t="s">
        <v>228</v>
      </c>
    </row>
    <row r="73" spans="1:35" ht="19.899999999999999" customHeight="1" x14ac:dyDescent="0.25">
      <c r="A73" s="615"/>
      <c r="B73" s="148">
        <v>1</v>
      </c>
      <c r="C73" s="5" t="s">
        <v>47</v>
      </c>
      <c r="D73" s="4">
        <v>11</v>
      </c>
      <c r="E73" s="6" t="s">
        <v>48</v>
      </c>
      <c r="F73" s="283" t="s">
        <v>49</v>
      </c>
      <c r="G73" s="7" t="s">
        <v>50</v>
      </c>
      <c r="H73" s="7" t="s">
        <v>229</v>
      </c>
      <c r="I73" s="7" t="s">
        <v>216</v>
      </c>
      <c r="J73" s="7" t="s">
        <v>230</v>
      </c>
      <c r="K73" s="8" t="s">
        <v>217</v>
      </c>
      <c r="L73" s="8" t="s">
        <v>218</v>
      </c>
      <c r="M73" s="7" t="s">
        <v>179</v>
      </c>
      <c r="N73" s="7" t="s">
        <v>219</v>
      </c>
      <c r="O73" s="7">
        <v>90</v>
      </c>
      <c r="P73" s="7" t="s">
        <v>231</v>
      </c>
      <c r="Q73" s="7">
        <v>94</v>
      </c>
      <c r="R73" s="7" t="s">
        <v>232</v>
      </c>
      <c r="S73" s="28" t="s">
        <v>233</v>
      </c>
    </row>
    <row r="74" spans="1:35" outlineLevel="1" x14ac:dyDescent="0.25">
      <c r="A74" s="615"/>
      <c r="B74" s="148">
        <v>1</v>
      </c>
      <c r="C74" s="4">
        <v>9</v>
      </c>
      <c r="D74" s="4">
        <v>1</v>
      </c>
      <c r="E74" s="9">
        <v>13</v>
      </c>
      <c r="F74" s="284">
        <v>2</v>
      </c>
      <c r="G74" s="4">
        <v>9</v>
      </c>
      <c r="H74" s="4">
        <v>3</v>
      </c>
      <c r="I74" s="4">
        <v>3</v>
      </c>
      <c r="J74" s="4">
        <v>16</v>
      </c>
      <c r="K74" s="10">
        <v>8</v>
      </c>
      <c r="L74" s="10">
        <v>8</v>
      </c>
      <c r="M74" s="4">
        <v>8</v>
      </c>
      <c r="N74" s="4">
        <v>8</v>
      </c>
      <c r="O74" s="4">
        <v>1</v>
      </c>
      <c r="P74" s="4">
        <v>3</v>
      </c>
      <c r="Q74" s="4">
        <v>1</v>
      </c>
      <c r="R74" s="4">
        <v>2</v>
      </c>
      <c r="S74" s="29">
        <v>32</v>
      </c>
    </row>
    <row r="75" spans="1:35" ht="13.5" customHeight="1" outlineLevel="1" x14ac:dyDescent="0.25">
      <c r="A75" s="615"/>
      <c r="B75" s="148" t="s">
        <v>1</v>
      </c>
      <c r="C75" s="4" t="s">
        <v>1</v>
      </c>
      <c r="D75" s="4" t="s">
        <v>69</v>
      </c>
      <c r="E75" s="9" t="s">
        <v>69</v>
      </c>
      <c r="F75" s="284" t="s">
        <v>1</v>
      </c>
      <c r="G75" s="4" t="s">
        <v>1</v>
      </c>
      <c r="H75" s="4" t="s">
        <v>69</v>
      </c>
      <c r="I75" s="4" t="s">
        <v>1</v>
      </c>
      <c r="J75" s="4" t="s">
        <v>69</v>
      </c>
      <c r="K75" s="12" t="s">
        <v>1</v>
      </c>
      <c r="L75" s="12" t="s">
        <v>1</v>
      </c>
      <c r="M75" s="4" t="s">
        <v>1</v>
      </c>
      <c r="N75" s="4" t="s">
        <v>1</v>
      </c>
      <c r="O75" s="4" t="s">
        <v>69</v>
      </c>
      <c r="P75" s="4" t="s">
        <v>69</v>
      </c>
      <c r="Q75" s="4" t="s">
        <v>69</v>
      </c>
      <c r="R75" s="4" t="s">
        <v>69</v>
      </c>
      <c r="S75" s="29" t="s">
        <v>69</v>
      </c>
    </row>
    <row r="76" spans="1:35" outlineLevel="1" x14ac:dyDescent="0.25">
      <c r="A76" s="615"/>
      <c r="B76" s="148" t="s">
        <v>0</v>
      </c>
      <c r="C76" s="4" t="s">
        <v>0</v>
      </c>
      <c r="D76" s="4" t="s">
        <v>4</v>
      </c>
      <c r="E76" s="9" t="s">
        <v>0</v>
      </c>
      <c r="F76" s="284" t="s">
        <v>0</v>
      </c>
      <c r="G76" s="4" t="s">
        <v>0</v>
      </c>
      <c r="H76" s="4" t="s">
        <v>4</v>
      </c>
      <c r="I76" s="4" t="s">
        <v>0</v>
      </c>
      <c r="J76" s="4" t="s">
        <v>0</v>
      </c>
      <c r="K76" s="12" t="s">
        <v>0</v>
      </c>
      <c r="L76" s="12" t="s">
        <v>0</v>
      </c>
      <c r="M76" s="4" t="s">
        <v>0</v>
      </c>
      <c r="N76" s="4" t="s">
        <v>4</v>
      </c>
      <c r="O76" s="4" t="s">
        <v>4</v>
      </c>
      <c r="P76" s="4" t="s">
        <v>0</v>
      </c>
      <c r="Q76" s="4" t="s">
        <v>0</v>
      </c>
      <c r="R76" s="4" t="s">
        <v>4</v>
      </c>
      <c r="S76" s="29" t="s">
        <v>4</v>
      </c>
    </row>
    <row r="77" spans="1:35" s="163" customFormat="1" ht="30" customHeight="1" thickBot="1" x14ac:dyDescent="0.3">
      <c r="A77" s="616"/>
      <c r="B77" s="157">
        <v>5</v>
      </c>
      <c r="C77" s="54" t="s">
        <v>544</v>
      </c>
      <c r="D77" s="55" t="s">
        <v>8</v>
      </c>
      <c r="E77" s="55" t="s">
        <v>198</v>
      </c>
      <c r="F77" s="270">
        <v>77</v>
      </c>
      <c r="G77" s="55">
        <v>250000001</v>
      </c>
      <c r="H77" s="98" t="s">
        <v>9</v>
      </c>
      <c r="I77" s="496" t="s">
        <v>904</v>
      </c>
      <c r="J77" s="98" t="s">
        <v>234</v>
      </c>
      <c r="K77" s="56" t="s">
        <v>621</v>
      </c>
      <c r="L77" s="56" t="s">
        <v>622</v>
      </c>
      <c r="M77" s="56" t="s">
        <v>623</v>
      </c>
      <c r="N77" s="56" t="s">
        <v>599</v>
      </c>
      <c r="O77" s="56" t="s">
        <v>8</v>
      </c>
      <c r="P77" s="56" t="s">
        <v>9</v>
      </c>
      <c r="Q77" s="56" t="s">
        <v>8</v>
      </c>
      <c r="R77" s="56" t="s">
        <v>210</v>
      </c>
      <c r="S77" s="99" t="s">
        <v>235</v>
      </c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</row>
    <row r="78" spans="1:35" ht="15.75" thickBot="1" x14ac:dyDescent="0.3">
      <c r="A78" s="75"/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</row>
    <row r="79" spans="1:35" ht="100.15" customHeight="1" x14ac:dyDescent="0.25">
      <c r="A79" s="608" t="s">
        <v>361</v>
      </c>
      <c r="B79" s="327" t="s">
        <v>13</v>
      </c>
      <c r="C79" s="328" t="s">
        <v>14</v>
      </c>
      <c r="D79" s="328" t="s">
        <v>339</v>
      </c>
      <c r="E79" s="329" t="s">
        <v>469</v>
      </c>
      <c r="F79" s="330" t="s">
        <v>470</v>
      </c>
      <c r="G79" s="328" t="s">
        <v>471</v>
      </c>
      <c r="H79" s="328" t="s">
        <v>340</v>
      </c>
      <c r="I79" s="328" t="s">
        <v>473</v>
      </c>
      <c r="J79" s="328" t="s">
        <v>472</v>
      </c>
      <c r="K79" s="331" t="s">
        <v>312</v>
      </c>
      <c r="L79" s="331" t="s">
        <v>341</v>
      </c>
      <c r="M79" s="328" t="s">
        <v>25</v>
      </c>
      <c r="N79" s="328" t="s">
        <v>15</v>
      </c>
      <c r="O79" s="328" t="s">
        <v>474</v>
      </c>
      <c r="P79" s="328" t="s">
        <v>342</v>
      </c>
      <c r="Q79" s="328" t="s">
        <v>15</v>
      </c>
      <c r="R79" s="328" t="s">
        <v>343</v>
      </c>
      <c r="S79" s="332" t="s">
        <v>228</v>
      </c>
    </row>
    <row r="80" spans="1:35" ht="19.899999999999999" customHeight="1" x14ac:dyDescent="0.25">
      <c r="A80" s="609"/>
      <c r="B80" s="158">
        <v>1</v>
      </c>
      <c r="C80" s="102" t="s">
        <v>47</v>
      </c>
      <c r="D80" s="103" t="s">
        <v>344</v>
      </c>
      <c r="E80" s="104" t="s">
        <v>345</v>
      </c>
      <c r="F80" s="298" t="s">
        <v>346</v>
      </c>
      <c r="G80" s="103" t="s">
        <v>347</v>
      </c>
      <c r="H80" s="103" t="s">
        <v>348</v>
      </c>
      <c r="I80" s="103" t="s">
        <v>349</v>
      </c>
      <c r="J80" s="103" t="s">
        <v>350</v>
      </c>
      <c r="K80" s="105" t="s">
        <v>351</v>
      </c>
      <c r="L80" s="105" t="s">
        <v>352</v>
      </c>
      <c r="M80" s="103" t="s">
        <v>353</v>
      </c>
      <c r="N80" s="103" t="s">
        <v>354</v>
      </c>
      <c r="O80" s="103" t="s">
        <v>355</v>
      </c>
      <c r="P80" s="103" t="s">
        <v>356</v>
      </c>
      <c r="Q80" s="103" t="s">
        <v>357</v>
      </c>
      <c r="R80" s="103" t="s">
        <v>358</v>
      </c>
      <c r="S80" s="333" t="s">
        <v>233</v>
      </c>
    </row>
    <row r="81" spans="1:35" outlineLevel="1" x14ac:dyDescent="0.25">
      <c r="A81" s="609"/>
      <c r="B81" s="158">
        <v>1</v>
      </c>
      <c r="C81" s="101">
        <v>9</v>
      </c>
      <c r="D81" s="101">
        <v>3</v>
      </c>
      <c r="E81" s="101">
        <v>4</v>
      </c>
      <c r="F81" s="299">
        <v>4</v>
      </c>
      <c r="G81" s="101">
        <v>3</v>
      </c>
      <c r="H81" s="101">
        <v>9</v>
      </c>
      <c r="I81" s="101">
        <v>9</v>
      </c>
      <c r="J81" s="101">
        <v>9</v>
      </c>
      <c r="K81" s="107">
        <v>3</v>
      </c>
      <c r="L81" s="107">
        <v>1</v>
      </c>
      <c r="M81" s="101">
        <v>1</v>
      </c>
      <c r="N81" s="101">
        <v>4</v>
      </c>
      <c r="O81" s="101">
        <v>12</v>
      </c>
      <c r="P81" s="101">
        <v>12</v>
      </c>
      <c r="Q81" s="103">
        <v>3</v>
      </c>
      <c r="R81" s="101">
        <v>9</v>
      </c>
      <c r="S81" s="334">
        <v>32</v>
      </c>
    </row>
    <row r="82" spans="1:35" outlineLevel="1" x14ac:dyDescent="0.25">
      <c r="A82" s="609"/>
      <c r="B82" s="158" t="s">
        <v>1</v>
      </c>
      <c r="C82" s="101" t="s">
        <v>1</v>
      </c>
      <c r="D82" s="197" t="s">
        <v>1</v>
      </c>
      <c r="E82" s="106" t="s">
        <v>1</v>
      </c>
      <c r="F82" s="299" t="s">
        <v>1</v>
      </c>
      <c r="G82" s="101" t="s">
        <v>1</v>
      </c>
      <c r="H82" s="101" t="s">
        <v>1</v>
      </c>
      <c r="I82" s="101" t="s">
        <v>1</v>
      </c>
      <c r="J82" s="101" t="s">
        <v>1</v>
      </c>
      <c r="K82" s="108" t="s">
        <v>1</v>
      </c>
      <c r="L82" s="108" t="s">
        <v>69</v>
      </c>
      <c r="M82" s="101" t="s">
        <v>69</v>
      </c>
      <c r="N82" s="101" t="s">
        <v>69</v>
      </c>
      <c r="O82" s="101" t="s">
        <v>69</v>
      </c>
      <c r="P82" s="101" t="s">
        <v>1</v>
      </c>
      <c r="Q82" s="101" t="s">
        <v>69</v>
      </c>
      <c r="R82" s="101" t="s">
        <v>1</v>
      </c>
      <c r="S82" s="334" t="s">
        <v>1</v>
      </c>
    </row>
    <row r="83" spans="1:35" outlineLevel="1" x14ac:dyDescent="0.25">
      <c r="A83" s="609"/>
      <c r="B83" s="158" t="s">
        <v>0</v>
      </c>
      <c r="C83" s="101" t="s">
        <v>0</v>
      </c>
      <c r="D83" s="101" t="s">
        <v>0</v>
      </c>
      <c r="E83" s="106" t="s">
        <v>0</v>
      </c>
      <c r="F83" s="299" t="s">
        <v>0</v>
      </c>
      <c r="G83" s="101" t="s">
        <v>0</v>
      </c>
      <c r="H83" s="101" t="s">
        <v>0</v>
      </c>
      <c r="I83" s="101" t="s">
        <v>0</v>
      </c>
      <c r="J83" s="101" t="s">
        <v>0</v>
      </c>
      <c r="K83" s="108" t="s">
        <v>0</v>
      </c>
      <c r="L83" s="108" t="s">
        <v>4</v>
      </c>
      <c r="M83" s="101" t="s">
        <v>4</v>
      </c>
      <c r="N83" s="101" t="s">
        <v>4</v>
      </c>
      <c r="O83" s="101" t="s">
        <v>4</v>
      </c>
      <c r="P83" s="101" t="s">
        <v>4</v>
      </c>
      <c r="Q83" s="101" t="s">
        <v>4</v>
      </c>
      <c r="R83" s="101" t="s">
        <v>4</v>
      </c>
      <c r="S83" s="334" t="s">
        <v>0</v>
      </c>
    </row>
    <row r="84" spans="1:35" s="163" customFormat="1" ht="30" customHeight="1" thickBot="1" x14ac:dyDescent="0.3">
      <c r="A84" s="610"/>
      <c r="B84" s="183">
        <v>6</v>
      </c>
      <c r="C84" s="335" t="s">
        <v>544</v>
      </c>
      <c r="D84" s="185" t="s">
        <v>195</v>
      </c>
      <c r="E84" s="336" t="s">
        <v>522</v>
      </c>
      <c r="F84" s="337" t="s">
        <v>521</v>
      </c>
      <c r="G84" s="185" t="s">
        <v>195</v>
      </c>
      <c r="H84" s="184" t="s">
        <v>624</v>
      </c>
      <c r="I84" s="184" t="s">
        <v>625</v>
      </c>
      <c r="J84" s="184" t="s">
        <v>209</v>
      </c>
      <c r="K84" s="184" t="s">
        <v>195</v>
      </c>
      <c r="L84" s="186" t="s">
        <v>8</v>
      </c>
      <c r="M84" s="186" t="s">
        <v>8</v>
      </c>
      <c r="N84" s="186" t="s">
        <v>387</v>
      </c>
      <c r="O84" s="186" t="s">
        <v>941</v>
      </c>
      <c r="P84" s="186" t="s">
        <v>388</v>
      </c>
      <c r="Q84" s="186" t="s">
        <v>9</v>
      </c>
      <c r="R84" s="186" t="s">
        <v>389</v>
      </c>
      <c r="S84" s="187" t="s">
        <v>235</v>
      </c>
    </row>
    <row r="85" spans="1:35" ht="9.75" customHeight="1" thickBot="1" x14ac:dyDescent="0.3">
      <c r="B85" s="150" t="s">
        <v>586</v>
      </c>
      <c r="C85" s="150" t="s">
        <v>586</v>
      </c>
      <c r="D85" s="150" t="s">
        <v>586</v>
      </c>
      <c r="E85" s="150" t="s">
        <v>586</v>
      </c>
      <c r="F85" s="276" t="s">
        <v>586</v>
      </c>
      <c r="G85" s="150" t="s">
        <v>586</v>
      </c>
      <c r="H85" s="150" t="s">
        <v>586</v>
      </c>
      <c r="I85" s="150" t="s">
        <v>586</v>
      </c>
      <c r="J85" s="150" t="s">
        <v>586</v>
      </c>
      <c r="K85" s="150" t="s">
        <v>586</v>
      </c>
      <c r="L85" s="150" t="s">
        <v>586</v>
      </c>
      <c r="M85" s="150" t="s">
        <v>586</v>
      </c>
      <c r="N85" s="150" t="s">
        <v>586</v>
      </c>
      <c r="O85" s="150" t="s">
        <v>586</v>
      </c>
      <c r="P85" s="150" t="s">
        <v>586</v>
      </c>
      <c r="Q85" s="150" t="s">
        <v>586</v>
      </c>
      <c r="R85" s="150" t="s">
        <v>586</v>
      </c>
      <c r="S85" s="150" t="s">
        <v>586</v>
      </c>
    </row>
    <row r="86" spans="1:35" ht="100.15" customHeight="1" x14ac:dyDescent="0.25">
      <c r="A86" s="611" t="s">
        <v>371</v>
      </c>
      <c r="B86" s="159" t="s">
        <v>13</v>
      </c>
      <c r="C86" s="117" t="s">
        <v>363</v>
      </c>
      <c r="D86" s="117" t="s">
        <v>364</v>
      </c>
      <c r="E86" s="118" t="s">
        <v>15</v>
      </c>
      <c r="F86" s="300" t="s">
        <v>283</v>
      </c>
      <c r="G86" s="117" t="s">
        <v>365</v>
      </c>
      <c r="H86" s="117" t="s">
        <v>15</v>
      </c>
      <c r="I86" s="117" t="s">
        <v>286</v>
      </c>
      <c r="J86" s="117" t="s">
        <v>287</v>
      </c>
      <c r="K86" s="119" t="s">
        <v>366</v>
      </c>
      <c r="L86" s="119" t="s">
        <v>15</v>
      </c>
      <c r="M86" s="117" t="s">
        <v>367</v>
      </c>
      <c r="N86" s="120" t="s">
        <v>15</v>
      </c>
    </row>
    <row r="87" spans="1:35" ht="19.899999999999999" customHeight="1" x14ac:dyDescent="0.25">
      <c r="A87" s="612"/>
      <c r="B87" s="198" t="s">
        <v>293</v>
      </c>
      <c r="C87" s="110" t="s">
        <v>294</v>
      </c>
      <c r="D87" s="111" t="s">
        <v>295</v>
      </c>
      <c r="E87" s="112" t="s">
        <v>296</v>
      </c>
      <c r="F87" s="301" t="s">
        <v>297</v>
      </c>
      <c r="G87" s="111" t="s">
        <v>298</v>
      </c>
      <c r="H87" s="111" t="s">
        <v>299</v>
      </c>
      <c r="I87" s="111" t="s">
        <v>300</v>
      </c>
      <c r="J87" s="111" t="s">
        <v>301</v>
      </c>
      <c r="K87" s="113" t="s">
        <v>368</v>
      </c>
      <c r="L87" s="113" t="s">
        <v>369</v>
      </c>
      <c r="M87" s="111" t="s">
        <v>307</v>
      </c>
      <c r="N87" s="121" t="s">
        <v>370</v>
      </c>
    </row>
    <row r="88" spans="1:35" outlineLevel="1" x14ac:dyDescent="0.25">
      <c r="A88" s="612"/>
      <c r="B88" s="160">
        <v>3</v>
      </c>
      <c r="C88" s="109">
        <v>2</v>
      </c>
      <c r="D88" s="109">
        <v>14</v>
      </c>
      <c r="E88" s="109">
        <v>6</v>
      </c>
      <c r="F88" s="302">
        <v>2</v>
      </c>
      <c r="G88" s="109">
        <v>14</v>
      </c>
      <c r="H88" s="109">
        <v>6</v>
      </c>
      <c r="I88" s="109">
        <v>2</v>
      </c>
      <c r="J88" s="109">
        <v>6</v>
      </c>
      <c r="K88" s="115">
        <v>8</v>
      </c>
      <c r="L88" s="115">
        <v>19</v>
      </c>
      <c r="M88" s="109">
        <v>3</v>
      </c>
      <c r="N88" s="122">
        <v>43</v>
      </c>
    </row>
    <row r="89" spans="1:35" outlineLevel="1" x14ac:dyDescent="0.25">
      <c r="A89" s="612"/>
      <c r="B89" s="160" t="s">
        <v>1</v>
      </c>
      <c r="C89" s="109" t="s">
        <v>69</v>
      </c>
      <c r="D89" s="109" t="s">
        <v>1</v>
      </c>
      <c r="E89" s="114" t="s">
        <v>69</v>
      </c>
      <c r="F89" s="302" t="s">
        <v>69</v>
      </c>
      <c r="G89" s="109" t="s">
        <v>1</v>
      </c>
      <c r="H89" s="109" t="s">
        <v>69</v>
      </c>
      <c r="I89" s="109" t="s">
        <v>69</v>
      </c>
      <c r="J89" s="109" t="s">
        <v>69</v>
      </c>
      <c r="K89" s="116" t="s">
        <v>1</v>
      </c>
      <c r="L89" s="116" t="s">
        <v>69</v>
      </c>
      <c r="M89" s="109" t="s">
        <v>1</v>
      </c>
      <c r="N89" s="122" t="s">
        <v>69</v>
      </c>
    </row>
    <row r="90" spans="1:35" outlineLevel="1" x14ac:dyDescent="0.25">
      <c r="A90" s="612"/>
      <c r="B90" s="160" t="s">
        <v>0</v>
      </c>
      <c r="C90" s="109" t="s">
        <v>0</v>
      </c>
      <c r="D90" s="109" t="s">
        <v>0</v>
      </c>
      <c r="E90" s="114" t="s">
        <v>4</v>
      </c>
      <c r="F90" s="302" t="s">
        <v>0</v>
      </c>
      <c r="G90" s="109" t="s">
        <v>0</v>
      </c>
      <c r="H90" s="109" t="s">
        <v>4</v>
      </c>
      <c r="I90" s="109" t="s">
        <v>0</v>
      </c>
      <c r="J90" s="109" t="s">
        <v>0</v>
      </c>
      <c r="K90" s="116" t="s">
        <v>0</v>
      </c>
      <c r="L90" s="116" t="s">
        <v>4</v>
      </c>
      <c r="M90" s="109" t="s">
        <v>0</v>
      </c>
      <c r="N90" s="122" t="s">
        <v>4</v>
      </c>
    </row>
    <row r="91" spans="1:35" ht="30" customHeight="1" thickBot="1" x14ac:dyDescent="0.3">
      <c r="A91" s="613"/>
      <c r="B91" s="183">
        <v>999</v>
      </c>
      <c r="C91" s="186" t="s">
        <v>373</v>
      </c>
      <c r="D91" s="174" t="s">
        <v>584</v>
      </c>
      <c r="E91" s="186" t="s">
        <v>374</v>
      </c>
      <c r="F91" s="303" t="s">
        <v>375</v>
      </c>
      <c r="G91" s="174" t="s">
        <v>585</v>
      </c>
      <c r="H91" s="186" t="s">
        <v>374</v>
      </c>
      <c r="I91" s="186" t="s">
        <v>376</v>
      </c>
      <c r="J91" s="184" t="s">
        <v>377</v>
      </c>
      <c r="K91" s="497" t="s">
        <v>675</v>
      </c>
      <c r="L91" s="186" t="s">
        <v>390</v>
      </c>
      <c r="M91" s="185" t="s">
        <v>195</v>
      </c>
      <c r="N91" s="187" t="s">
        <v>391</v>
      </c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</row>
    <row r="92" spans="1:35" x14ac:dyDescent="0.25">
      <c r="B92" s="150" t="s">
        <v>586</v>
      </c>
      <c r="C92" s="150" t="s">
        <v>586</v>
      </c>
      <c r="D92" s="150" t="s">
        <v>586</v>
      </c>
      <c r="E92" s="150" t="s">
        <v>586</v>
      </c>
      <c r="F92" s="276" t="s">
        <v>586</v>
      </c>
      <c r="G92" s="150" t="s">
        <v>586</v>
      </c>
      <c r="H92" s="150" t="s">
        <v>586</v>
      </c>
      <c r="I92" s="150" t="s">
        <v>586</v>
      </c>
      <c r="J92" s="150" t="s">
        <v>586</v>
      </c>
      <c r="K92" s="150" t="s">
        <v>586</v>
      </c>
      <c r="L92" s="150" t="s">
        <v>586</v>
      </c>
      <c r="M92" s="150" t="s">
        <v>586</v>
      </c>
      <c r="N92" s="150" t="s">
        <v>586</v>
      </c>
    </row>
  </sheetData>
  <sheetProtection algorithmName="SHA-512" hashValue="Jyoz0wkc3FjBE1XXMZVd77Oauz638bKNB7vu35jyoWyaaXdWIO2K2P95zkEjl9GABwFabXU5vsePzkA+lnigIg==" saltValue="Qi6ZE5OgzcqJUCj+AxzEFA==" spinCount="100000" sheet="1" sort="0"/>
  <mergeCells count="20">
    <mergeCell ref="B1:AI1"/>
    <mergeCell ref="A3:C3"/>
    <mergeCell ref="D3:F3"/>
    <mergeCell ref="G3:H3"/>
    <mergeCell ref="I3:X3"/>
    <mergeCell ref="Z3:AE3"/>
    <mergeCell ref="AG3:AI3"/>
    <mergeCell ref="A7:AI7"/>
    <mergeCell ref="A65:A70"/>
    <mergeCell ref="A72:A77"/>
    <mergeCell ref="A79:A84"/>
    <mergeCell ref="A86:A91"/>
    <mergeCell ref="A58:A63"/>
    <mergeCell ref="A23:A28"/>
    <mergeCell ref="A30:A35"/>
    <mergeCell ref="A37:A42"/>
    <mergeCell ref="A44:A49"/>
    <mergeCell ref="A51:A56"/>
    <mergeCell ref="A9:A14"/>
    <mergeCell ref="A16:A21"/>
  </mergeCells>
  <conditionalFormatting sqref="B28">
    <cfRule type="expression" dxfId="41" priority="2">
      <formula>"B17&lt;&gt;0"</formula>
    </cfRule>
  </conditionalFormatting>
  <conditionalFormatting sqref="F28">
    <cfRule type="expression" dxfId="40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tabColor theme="8" tint="-0.499984740745262"/>
    <pageSetUpPr fitToPage="1"/>
  </sheetPr>
  <dimension ref="A1:AI92"/>
  <sheetViews>
    <sheetView view="pageBreakPreview" topLeftCell="A64" zoomScale="55" zoomScaleNormal="10" zoomScaleSheetLayoutView="55" workbookViewId="0">
      <selection activeCell="O84" sqref="O84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30'!A11</f>
        <v>CONVENTION CAS 5</v>
      </c>
      <c r="B5" s="369">
        <f>'LISTE DES CAS ANNEXE 30'!B11</f>
        <v>1</v>
      </c>
      <c r="C5" s="370">
        <f>'LISTE DES CAS ANNEXE 30'!C11</f>
        <v>1</v>
      </c>
      <c r="D5" s="367" t="str">
        <f>'LISTE DES CAS ANNEXE 30'!D11</f>
        <v>MALADIE</v>
      </c>
      <c r="E5" s="368">
        <f>'LISTE DES CAS ANNEXE 30'!E11</f>
        <v>0.55000000000000004</v>
      </c>
      <c r="F5" s="361" t="str">
        <f>'LISTE DES CAS ANNEXE 30'!H11</f>
        <v>NON</v>
      </c>
      <c r="G5" s="384" t="str">
        <f>'LISTE DES CAS ANNEXE 30'!I11</f>
        <v>Sans objet</v>
      </c>
      <c r="H5" s="366" t="str">
        <f>'LISTE DES CAS ANNEXE 30'!J11</f>
        <v>05 - TP AMO SEUL</v>
      </c>
      <c r="I5" s="354" t="str">
        <f>'LISTE DES CAS ANNEXE 30'!K11</f>
        <v>42-SAINT-ETIENNE</v>
      </c>
      <c r="J5" s="355" t="str">
        <f>'LISTE DES CAS ANNEXE 30'!L11</f>
        <v>42-MONTBRISON</v>
      </c>
      <c r="K5" s="356" t="str">
        <f>'LISTE DES CAS ANNEXE 30'!M11</f>
        <v>01/12/2025 à 10H00</v>
      </c>
      <c r="L5" s="356" t="str">
        <f>'LISTE DES CAS ANNEXE 30'!N11</f>
        <v>01/12/2025 à 10h50</v>
      </c>
      <c r="M5" s="357" t="str">
        <f>'LISTE DES CAS ANNEXE 30'!O11</f>
        <v>AA-001-BB</v>
      </c>
      <c r="N5" s="357" t="str">
        <f>'LISTE DES CAS ANNEXE 30'!P11</f>
        <v>42218 
(SAINT-ETIENNE)</v>
      </c>
      <c r="O5" s="357" t="str">
        <f>'LISTE DES CAS ANNEXE 30'!Q11</f>
        <v>042</v>
      </c>
      <c r="P5" s="357" t="str">
        <f>'LISTE DES CAS ANNEXE 30'!R11</f>
        <v>422 - CPAM DE LA LOIRE</v>
      </c>
      <c r="Q5" s="358">
        <f>'LISTE DES CAS ANNEXE 30'!S11</f>
        <v>40</v>
      </c>
      <c r="R5" s="359" t="str">
        <f>'LISTE DES CAS ANNEXE 30'!T11</f>
        <v>JOUR</v>
      </c>
      <c r="S5" s="360">
        <f>'LISTE DES CAS ANNEXE 30'!U11</f>
        <v>1</v>
      </c>
      <c r="T5" s="428" t="str">
        <f>'LISTE DES CAS ANNEXE 30'!V11</f>
        <v>OUI 
(TYPES 1 &amp; 2)</v>
      </c>
      <c r="U5" s="356" t="str">
        <f>'LISTE DES CAS ANNEXE 30'!W11</f>
        <v>NON</v>
      </c>
      <c r="V5" s="356" t="str">
        <f>'LISTE DES CAS ANNEXE 30'!X11</f>
        <v>NON</v>
      </c>
      <c r="W5" s="356" t="str">
        <f>'LISTE DES CAS ANNEXE 30'!Y11</f>
        <v>NON</v>
      </c>
      <c r="X5" s="361" t="str">
        <f>'LISTE DES CAS ANNEXE 30'!Z11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242</v>
      </c>
      <c r="V42" s="193" t="s">
        <v>202</v>
      </c>
      <c r="W42" s="33" t="s">
        <v>590</v>
      </c>
      <c r="X42" s="33" t="s">
        <v>202</v>
      </c>
      <c r="Y42" s="194" t="s">
        <v>591</v>
      </c>
      <c r="Z42" s="194" t="s">
        <v>591</v>
      </c>
      <c r="AA42" s="194" t="s">
        <v>592</v>
      </c>
      <c r="AB42" s="194" t="s">
        <v>593</v>
      </c>
      <c r="AC42" s="194" t="s">
        <v>591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626</v>
      </c>
      <c r="T56" s="54" t="s">
        <v>262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627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628</v>
      </c>
      <c r="Z63" s="96" t="s">
        <v>628</v>
      </c>
      <c r="AA63" s="97" t="s">
        <v>592</v>
      </c>
      <c r="AB63" s="96" t="s">
        <v>629</v>
      </c>
      <c r="AC63" s="96" t="s">
        <v>628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630</v>
      </c>
      <c r="Z70" s="96" t="s">
        <v>630</v>
      </c>
      <c r="AA70" s="54" t="s">
        <v>592</v>
      </c>
      <c r="AB70" s="54" t="s">
        <v>631</v>
      </c>
      <c r="AC70" s="54" t="s">
        <v>630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14" t="s">
        <v>360</v>
      </c>
      <c r="B72" s="147" t="s">
        <v>13</v>
      </c>
      <c r="C72" s="24" t="s">
        <v>14</v>
      </c>
      <c r="D72" s="24" t="s">
        <v>15</v>
      </c>
      <c r="E72" s="25" t="s">
        <v>16</v>
      </c>
      <c r="F72" s="282" t="s">
        <v>17</v>
      </c>
      <c r="G72" s="24" t="s">
        <v>70</v>
      </c>
      <c r="H72" s="24" t="s">
        <v>15</v>
      </c>
      <c r="I72" s="24" t="s">
        <v>220</v>
      </c>
      <c r="J72" s="24" t="s">
        <v>221</v>
      </c>
      <c r="K72" s="26" t="s">
        <v>222</v>
      </c>
      <c r="L72" s="26" t="s">
        <v>223</v>
      </c>
      <c r="M72" s="24" t="s">
        <v>224</v>
      </c>
      <c r="N72" s="24" t="s">
        <v>225</v>
      </c>
      <c r="O72" s="24" t="s">
        <v>226</v>
      </c>
      <c r="P72" s="24" t="s">
        <v>221</v>
      </c>
      <c r="Q72" s="24" t="s">
        <v>227</v>
      </c>
      <c r="R72" s="24" t="s">
        <v>15</v>
      </c>
      <c r="S72" s="27" t="s">
        <v>228</v>
      </c>
    </row>
    <row r="73" spans="1:35" ht="19.899999999999999" customHeight="1" x14ac:dyDescent="0.25">
      <c r="A73" s="615"/>
      <c r="B73" s="148">
        <v>1</v>
      </c>
      <c r="C73" s="5" t="s">
        <v>47</v>
      </c>
      <c r="D73" s="4">
        <v>11</v>
      </c>
      <c r="E73" s="6" t="s">
        <v>48</v>
      </c>
      <c r="F73" s="283" t="s">
        <v>49</v>
      </c>
      <c r="G73" s="7" t="s">
        <v>50</v>
      </c>
      <c r="H73" s="7" t="s">
        <v>229</v>
      </c>
      <c r="I73" s="7" t="s">
        <v>216</v>
      </c>
      <c r="J73" s="7" t="s">
        <v>230</v>
      </c>
      <c r="K73" s="8" t="s">
        <v>217</v>
      </c>
      <c r="L73" s="8" t="s">
        <v>218</v>
      </c>
      <c r="M73" s="7" t="s">
        <v>179</v>
      </c>
      <c r="N73" s="7" t="s">
        <v>219</v>
      </c>
      <c r="O73" s="7">
        <v>90</v>
      </c>
      <c r="P73" s="7" t="s">
        <v>231</v>
      </c>
      <c r="Q73" s="7">
        <v>94</v>
      </c>
      <c r="R73" s="7" t="s">
        <v>232</v>
      </c>
      <c r="S73" s="28" t="s">
        <v>233</v>
      </c>
    </row>
    <row r="74" spans="1:35" outlineLevel="1" x14ac:dyDescent="0.25">
      <c r="A74" s="615"/>
      <c r="B74" s="148">
        <v>1</v>
      </c>
      <c r="C74" s="4">
        <v>9</v>
      </c>
      <c r="D74" s="4">
        <v>1</v>
      </c>
      <c r="E74" s="9">
        <v>13</v>
      </c>
      <c r="F74" s="284">
        <v>2</v>
      </c>
      <c r="G74" s="4">
        <v>9</v>
      </c>
      <c r="H74" s="4">
        <v>3</v>
      </c>
      <c r="I74" s="4">
        <v>3</v>
      </c>
      <c r="J74" s="4">
        <v>16</v>
      </c>
      <c r="K74" s="10">
        <v>8</v>
      </c>
      <c r="L74" s="10">
        <v>8</v>
      </c>
      <c r="M74" s="4">
        <v>8</v>
      </c>
      <c r="N74" s="4">
        <v>8</v>
      </c>
      <c r="O74" s="4">
        <v>1</v>
      </c>
      <c r="P74" s="4">
        <v>3</v>
      </c>
      <c r="Q74" s="4">
        <v>1</v>
      </c>
      <c r="R74" s="4">
        <v>2</v>
      </c>
      <c r="S74" s="29">
        <v>32</v>
      </c>
    </row>
    <row r="75" spans="1:35" ht="13.5" customHeight="1" outlineLevel="1" x14ac:dyDescent="0.25">
      <c r="A75" s="615"/>
      <c r="B75" s="148" t="s">
        <v>1</v>
      </c>
      <c r="C75" s="4" t="s">
        <v>1</v>
      </c>
      <c r="D75" s="4" t="s">
        <v>69</v>
      </c>
      <c r="E75" s="9" t="s">
        <v>69</v>
      </c>
      <c r="F75" s="284" t="s">
        <v>1</v>
      </c>
      <c r="G75" s="4" t="s">
        <v>1</v>
      </c>
      <c r="H75" s="4" t="s">
        <v>69</v>
      </c>
      <c r="I75" s="4" t="s">
        <v>1</v>
      </c>
      <c r="J75" s="4" t="s">
        <v>69</v>
      </c>
      <c r="K75" s="12" t="s">
        <v>1</v>
      </c>
      <c r="L75" s="12" t="s">
        <v>1</v>
      </c>
      <c r="M75" s="4" t="s">
        <v>1</v>
      </c>
      <c r="N75" s="4" t="s">
        <v>1</v>
      </c>
      <c r="O75" s="4" t="s">
        <v>69</v>
      </c>
      <c r="P75" s="4" t="s">
        <v>69</v>
      </c>
      <c r="Q75" s="4" t="s">
        <v>69</v>
      </c>
      <c r="R75" s="4" t="s">
        <v>69</v>
      </c>
      <c r="S75" s="29" t="s">
        <v>69</v>
      </c>
    </row>
    <row r="76" spans="1:35" outlineLevel="1" x14ac:dyDescent="0.25">
      <c r="A76" s="615"/>
      <c r="B76" s="148" t="s">
        <v>0</v>
      </c>
      <c r="C76" s="4" t="s">
        <v>0</v>
      </c>
      <c r="D76" s="4" t="s">
        <v>4</v>
      </c>
      <c r="E76" s="9" t="s">
        <v>0</v>
      </c>
      <c r="F76" s="284" t="s">
        <v>0</v>
      </c>
      <c r="G76" s="4" t="s">
        <v>0</v>
      </c>
      <c r="H76" s="4" t="s">
        <v>4</v>
      </c>
      <c r="I76" s="4" t="s">
        <v>0</v>
      </c>
      <c r="J76" s="4" t="s">
        <v>0</v>
      </c>
      <c r="K76" s="12" t="s">
        <v>0</v>
      </c>
      <c r="L76" s="12" t="s">
        <v>0</v>
      </c>
      <c r="M76" s="4" t="s">
        <v>0</v>
      </c>
      <c r="N76" s="4" t="s">
        <v>4</v>
      </c>
      <c r="O76" s="4" t="s">
        <v>4</v>
      </c>
      <c r="P76" s="4" t="s">
        <v>0</v>
      </c>
      <c r="Q76" s="4" t="s">
        <v>0</v>
      </c>
      <c r="R76" s="4" t="s">
        <v>4</v>
      </c>
      <c r="S76" s="29" t="s">
        <v>4</v>
      </c>
    </row>
    <row r="77" spans="1:35" s="163" customFormat="1" ht="30" customHeight="1" thickBot="1" x14ac:dyDescent="0.3">
      <c r="A77" s="616"/>
      <c r="B77" s="157">
        <v>5</v>
      </c>
      <c r="C77" s="54" t="s">
        <v>544</v>
      </c>
      <c r="D77" s="55" t="s">
        <v>8</v>
      </c>
      <c r="E77" s="55" t="s">
        <v>198</v>
      </c>
      <c r="F77" s="270">
        <v>77</v>
      </c>
      <c r="G77" s="55">
        <v>250000001</v>
      </c>
      <c r="H77" s="98" t="s">
        <v>9</v>
      </c>
      <c r="I77" s="496" t="s">
        <v>904</v>
      </c>
      <c r="J77" s="98" t="s">
        <v>234</v>
      </c>
      <c r="K77" s="56" t="s">
        <v>632</v>
      </c>
      <c r="L77" s="56" t="s">
        <v>633</v>
      </c>
      <c r="M77" s="56" t="s">
        <v>634</v>
      </c>
      <c r="N77" s="56" t="s">
        <v>599</v>
      </c>
      <c r="O77" s="56" t="s">
        <v>8</v>
      </c>
      <c r="P77" s="56" t="s">
        <v>9</v>
      </c>
      <c r="Q77" s="56" t="s">
        <v>8</v>
      </c>
      <c r="R77" s="56" t="s">
        <v>210</v>
      </c>
      <c r="S77" s="99" t="s">
        <v>235</v>
      </c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</row>
    <row r="78" spans="1:35" ht="15.75" thickBot="1" x14ac:dyDescent="0.3">
      <c r="A78" s="75"/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</row>
    <row r="79" spans="1:35" ht="100.15" customHeight="1" x14ac:dyDescent="0.25">
      <c r="A79" s="608" t="s">
        <v>361</v>
      </c>
      <c r="B79" s="327" t="s">
        <v>13</v>
      </c>
      <c r="C79" s="328" t="s">
        <v>14</v>
      </c>
      <c r="D79" s="328" t="s">
        <v>339</v>
      </c>
      <c r="E79" s="329" t="s">
        <v>469</v>
      </c>
      <c r="F79" s="330" t="s">
        <v>470</v>
      </c>
      <c r="G79" s="328" t="s">
        <v>471</v>
      </c>
      <c r="H79" s="328" t="s">
        <v>340</v>
      </c>
      <c r="I79" s="328" t="s">
        <v>473</v>
      </c>
      <c r="J79" s="328" t="s">
        <v>472</v>
      </c>
      <c r="K79" s="331" t="s">
        <v>312</v>
      </c>
      <c r="L79" s="331" t="s">
        <v>341</v>
      </c>
      <c r="M79" s="328" t="s">
        <v>25</v>
      </c>
      <c r="N79" s="328" t="s">
        <v>15</v>
      </c>
      <c r="O79" s="328" t="s">
        <v>474</v>
      </c>
      <c r="P79" s="328" t="s">
        <v>342</v>
      </c>
      <c r="Q79" s="328" t="s">
        <v>15</v>
      </c>
      <c r="R79" s="328" t="s">
        <v>343</v>
      </c>
      <c r="S79" s="332" t="s">
        <v>228</v>
      </c>
    </row>
    <row r="80" spans="1:35" ht="19.899999999999999" customHeight="1" x14ac:dyDescent="0.25">
      <c r="A80" s="609"/>
      <c r="B80" s="158">
        <v>1</v>
      </c>
      <c r="C80" s="102" t="s">
        <v>47</v>
      </c>
      <c r="D80" s="103" t="s">
        <v>344</v>
      </c>
      <c r="E80" s="104" t="s">
        <v>345</v>
      </c>
      <c r="F80" s="298" t="s">
        <v>346</v>
      </c>
      <c r="G80" s="103" t="s">
        <v>347</v>
      </c>
      <c r="H80" s="103" t="s">
        <v>348</v>
      </c>
      <c r="I80" s="103" t="s">
        <v>349</v>
      </c>
      <c r="J80" s="103" t="s">
        <v>350</v>
      </c>
      <c r="K80" s="105" t="s">
        <v>351</v>
      </c>
      <c r="L80" s="105" t="s">
        <v>352</v>
      </c>
      <c r="M80" s="103" t="s">
        <v>353</v>
      </c>
      <c r="N80" s="103" t="s">
        <v>354</v>
      </c>
      <c r="O80" s="103" t="s">
        <v>355</v>
      </c>
      <c r="P80" s="103" t="s">
        <v>356</v>
      </c>
      <c r="Q80" s="103" t="s">
        <v>357</v>
      </c>
      <c r="R80" s="103" t="s">
        <v>358</v>
      </c>
      <c r="S80" s="333" t="s">
        <v>233</v>
      </c>
    </row>
    <row r="81" spans="1:35" outlineLevel="1" x14ac:dyDescent="0.25">
      <c r="A81" s="609"/>
      <c r="B81" s="158">
        <v>1</v>
      </c>
      <c r="C81" s="101">
        <v>9</v>
      </c>
      <c r="D81" s="101">
        <v>3</v>
      </c>
      <c r="E81" s="101">
        <v>4</v>
      </c>
      <c r="F81" s="299">
        <v>4</v>
      </c>
      <c r="G81" s="101">
        <v>3</v>
      </c>
      <c r="H81" s="101">
        <v>9</v>
      </c>
      <c r="I81" s="101">
        <v>9</v>
      </c>
      <c r="J81" s="101">
        <v>9</v>
      </c>
      <c r="K81" s="107">
        <v>3</v>
      </c>
      <c r="L81" s="107">
        <v>1</v>
      </c>
      <c r="M81" s="101">
        <v>1</v>
      </c>
      <c r="N81" s="101">
        <v>4</v>
      </c>
      <c r="O81" s="101">
        <v>12</v>
      </c>
      <c r="P81" s="101">
        <v>12</v>
      </c>
      <c r="Q81" s="103">
        <v>3</v>
      </c>
      <c r="R81" s="101">
        <v>9</v>
      </c>
      <c r="S81" s="334">
        <v>32</v>
      </c>
    </row>
    <row r="82" spans="1:35" outlineLevel="1" x14ac:dyDescent="0.25">
      <c r="A82" s="609"/>
      <c r="B82" s="158" t="s">
        <v>1</v>
      </c>
      <c r="C82" s="101" t="s">
        <v>1</v>
      </c>
      <c r="D82" s="197" t="s">
        <v>1</v>
      </c>
      <c r="E82" s="106" t="s">
        <v>1</v>
      </c>
      <c r="F82" s="299" t="s">
        <v>1</v>
      </c>
      <c r="G82" s="101" t="s">
        <v>1</v>
      </c>
      <c r="H82" s="101" t="s">
        <v>1</v>
      </c>
      <c r="I82" s="101" t="s">
        <v>1</v>
      </c>
      <c r="J82" s="101" t="s">
        <v>1</v>
      </c>
      <c r="K82" s="108" t="s">
        <v>1</v>
      </c>
      <c r="L82" s="108" t="s">
        <v>69</v>
      </c>
      <c r="M82" s="101" t="s">
        <v>69</v>
      </c>
      <c r="N82" s="101" t="s">
        <v>69</v>
      </c>
      <c r="O82" s="101" t="s">
        <v>69</v>
      </c>
      <c r="P82" s="101" t="s">
        <v>1</v>
      </c>
      <c r="Q82" s="101" t="s">
        <v>69</v>
      </c>
      <c r="R82" s="101" t="s">
        <v>1</v>
      </c>
      <c r="S82" s="334" t="s">
        <v>1</v>
      </c>
    </row>
    <row r="83" spans="1:35" outlineLevel="1" x14ac:dyDescent="0.25">
      <c r="A83" s="609"/>
      <c r="B83" s="158" t="s">
        <v>0</v>
      </c>
      <c r="C83" s="101" t="s">
        <v>0</v>
      </c>
      <c r="D83" s="101" t="s">
        <v>0</v>
      </c>
      <c r="E83" s="106" t="s">
        <v>0</v>
      </c>
      <c r="F83" s="299" t="s">
        <v>0</v>
      </c>
      <c r="G83" s="101" t="s">
        <v>0</v>
      </c>
      <c r="H83" s="101" t="s">
        <v>0</v>
      </c>
      <c r="I83" s="101" t="s">
        <v>0</v>
      </c>
      <c r="J83" s="101" t="s">
        <v>0</v>
      </c>
      <c r="K83" s="108" t="s">
        <v>0</v>
      </c>
      <c r="L83" s="108" t="s">
        <v>4</v>
      </c>
      <c r="M83" s="101" t="s">
        <v>4</v>
      </c>
      <c r="N83" s="101" t="s">
        <v>4</v>
      </c>
      <c r="O83" s="101" t="s">
        <v>4</v>
      </c>
      <c r="P83" s="101" t="s">
        <v>4</v>
      </c>
      <c r="Q83" s="101" t="s">
        <v>4</v>
      </c>
      <c r="R83" s="101" t="s">
        <v>4</v>
      </c>
      <c r="S83" s="334" t="s">
        <v>0</v>
      </c>
    </row>
    <row r="84" spans="1:35" s="163" customFormat="1" ht="30" customHeight="1" thickBot="1" x14ac:dyDescent="0.3">
      <c r="A84" s="610"/>
      <c r="B84" s="183">
        <v>6</v>
      </c>
      <c r="C84" s="335" t="s">
        <v>544</v>
      </c>
      <c r="D84" s="185" t="s">
        <v>195</v>
      </c>
      <c r="E84" s="336" t="s">
        <v>522</v>
      </c>
      <c r="F84" s="337" t="s">
        <v>521</v>
      </c>
      <c r="G84" s="185" t="s">
        <v>195</v>
      </c>
      <c r="H84" s="184" t="s">
        <v>635</v>
      </c>
      <c r="I84" s="184" t="s">
        <v>636</v>
      </c>
      <c r="J84" s="184" t="s">
        <v>209</v>
      </c>
      <c r="K84" s="184" t="s">
        <v>195</v>
      </c>
      <c r="L84" s="186" t="s">
        <v>8</v>
      </c>
      <c r="M84" s="186" t="s">
        <v>8</v>
      </c>
      <c r="N84" s="186" t="s">
        <v>387</v>
      </c>
      <c r="O84" s="186" t="s">
        <v>941</v>
      </c>
      <c r="P84" s="186" t="s">
        <v>388</v>
      </c>
      <c r="Q84" s="186" t="s">
        <v>9</v>
      </c>
      <c r="R84" s="186" t="s">
        <v>389</v>
      </c>
      <c r="S84" s="187" t="s">
        <v>235</v>
      </c>
    </row>
    <row r="85" spans="1:35" ht="9.75" customHeight="1" thickBot="1" x14ac:dyDescent="0.3">
      <c r="B85" s="150" t="s">
        <v>586</v>
      </c>
      <c r="C85" s="150" t="s">
        <v>586</v>
      </c>
      <c r="D85" s="150" t="s">
        <v>586</v>
      </c>
      <c r="E85" s="150" t="s">
        <v>586</v>
      </c>
      <c r="F85" s="276" t="s">
        <v>586</v>
      </c>
      <c r="G85" s="150" t="s">
        <v>586</v>
      </c>
      <c r="H85" s="150" t="s">
        <v>586</v>
      </c>
      <c r="I85" s="150" t="s">
        <v>586</v>
      </c>
      <c r="J85" s="150" t="s">
        <v>586</v>
      </c>
      <c r="K85" s="150" t="s">
        <v>586</v>
      </c>
      <c r="L85" s="150" t="s">
        <v>586</v>
      </c>
      <c r="M85" s="150" t="s">
        <v>586</v>
      </c>
      <c r="N85" s="150" t="s">
        <v>586</v>
      </c>
      <c r="O85" s="150" t="s">
        <v>586</v>
      </c>
      <c r="P85" s="150" t="s">
        <v>586</v>
      </c>
      <c r="Q85" s="150" t="s">
        <v>586</v>
      </c>
      <c r="R85" s="150" t="s">
        <v>586</v>
      </c>
      <c r="S85" s="150" t="s">
        <v>586</v>
      </c>
    </row>
    <row r="86" spans="1:35" ht="100.15" customHeight="1" x14ac:dyDescent="0.25">
      <c r="A86" s="611" t="s">
        <v>371</v>
      </c>
      <c r="B86" s="159" t="s">
        <v>13</v>
      </c>
      <c r="C86" s="117" t="s">
        <v>363</v>
      </c>
      <c r="D86" s="117" t="s">
        <v>364</v>
      </c>
      <c r="E86" s="118" t="s">
        <v>15</v>
      </c>
      <c r="F86" s="300" t="s">
        <v>283</v>
      </c>
      <c r="G86" s="117" t="s">
        <v>365</v>
      </c>
      <c r="H86" s="117" t="s">
        <v>15</v>
      </c>
      <c r="I86" s="117" t="s">
        <v>286</v>
      </c>
      <c r="J86" s="117" t="s">
        <v>287</v>
      </c>
      <c r="K86" s="119" t="s">
        <v>366</v>
      </c>
      <c r="L86" s="119" t="s">
        <v>15</v>
      </c>
      <c r="M86" s="117" t="s">
        <v>367</v>
      </c>
      <c r="N86" s="120" t="s">
        <v>15</v>
      </c>
    </row>
    <row r="87" spans="1:35" ht="19.899999999999999" customHeight="1" x14ac:dyDescent="0.25">
      <c r="A87" s="612"/>
      <c r="B87" s="198" t="s">
        <v>293</v>
      </c>
      <c r="C87" s="110" t="s">
        <v>294</v>
      </c>
      <c r="D87" s="111" t="s">
        <v>295</v>
      </c>
      <c r="E87" s="112" t="s">
        <v>296</v>
      </c>
      <c r="F87" s="301" t="s">
        <v>297</v>
      </c>
      <c r="G87" s="111" t="s">
        <v>298</v>
      </c>
      <c r="H87" s="111" t="s">
        <v>299</v>
      </c>
      <c r="I87" s="111" t="s">
        <v>300</v>
      </c>
      <c r="J87" s="111" t="s">
        <v>301</v>
      </c>
      <c r="K87" s="113" t="s">
        <v>368</v>
      </c>
      <c r="L87" s="113" t="s">
        <v>369</v>
      </c>
      <c r="M87" s="111" t="s">
        <v>307</v>
      </c>
      <c r="N87" s="121" t="s">
        <v>370</v>
      </c>
    </row>
    <row r="88" spans="1:35" outlineLevel="1" x14ac:dyDescent="0.25">
      <c r="A88" s="612"/>
      <c r="B88" s="160">
        <v>3</v>
      </c>
      <c r="C88" s="109">
        <v>2</v>
      </c>
      <c r="D88" s="109">
        <v>14</v>
      </c>
      <c r="E88" s="109">
        <v>6</v>
      </c>
      <c r="F88" s="302">
        <v>2</v>
      </c>
      <c r="G88" s="109">
        <v>14</v>
      </c>
      <c r="H88" s="109">
        <v>6</v>
      </c>
      <c r="I88" s="109">
        <v>2</v>
      </c>
      <c r="J88" s="109">
        <v>6</v>
      </c>
      <c r="K88" s="115">
        <v>8</v>
      </c>
      <c r="L88" s="115">
        <v>19</v>
      </c>
      <c r="M88" s="109">
        <v>3</v>
      </c>
      <c r="N88" s="122">
        <v>43</v>
      </c>
    </row>
    <row r="89" spans="1:35" outlineLevel="1" x14ac:dyDescent="0.25">
      <c r="A89" s="612"/>
      <c r="B89" s="160" t="s">
        <v>1</v>
      </c>
      <c r="C89" s="109" t="s">
        <v>69</v>
      </c>
      <c r="D89" s="109" t="s">
        <v>1</v>
      </c>
      <c r="E89" s="114" t="s">
        <v>69</v>
      </c>
      <c r="F89" s="302" t="s">
        <v>69</v>
      </c>
      <c r="G89" s="109" t="s">
        <v>1</v>
      </c>
      <c r="H89" s="109" t="s">
        <v>69</v>
      </c>
      <c r="I89" s="109" t="s">
        <v>69</v>
      </c>
      <c r="J89" s="109" t="s">
        <v>69</v>
      </c>
      <c r="K89" s="116" t="s">
        <v>1</v>
      </c>
      <c r="L89" s="116" t="s">
        <v>69</v>
      </c>
      <c r="M89" s="109" t="s">
        <v>1</v>
      </c>
      <c r="N89" s="122" t="s">
        <v>69</v>
      </c>
    </row>
    <row r="90" spans="1:35" outlineLevel="1" x14ac:dyDescent="0.25">
      <c r="A90" s="612"/>
      <c r="B90" s="160" t="s">
        <v>0</v>
      </c>
      <c r="C90" s="109" t="s">
        <v>0</v>
      </c>
      <c r="D90" s="109" t="s">
        <v>0</v>
      </c>
      <c r="E90" s="114" t="s">
        <v>4</v>
      </c>
      <c r="F90" s="302" t="s">
        <v>0</v>
      </c>
      <c r="G90" s="109" t="s">
        <v>0</v>
      </c>
      <c r="H90" s="109" t="s">
        <v>4</v>
      </c>
      <c r="I90" s="109" t="s">
        <v>0</v>
      </c>
      <c r="J90" s="109" t="s">
        <v>0</v>
      </c>
      <c r="K90" s="116" t="s">
        <v>0</v>
      </c>
      <c r="L90" s="116" t="s">
        <v>4</v>
      </c>
      <c r="M90" s="109" t="s">
        <v>0</v>
      </c>
      <c r="N90" s="122" t="s">
        <v>4</v>
      </c>
    </row>
    <row r="91" spans="1:35" ht="30" customHeight="1" thickBot="1" x14ac:dyDescent="0.3">
      <c r="A91" s="613"/>
      <c r="B91" s="183">
        <v>999</v>
      </c>
      <c r="C91" s="186" t="s">
        <v>373</v>
      </c>
      <c r="D91" s="174" t="s">
        <v>584</v>
      </c>
      <c r="E91" s="186" t="s">
        <v>374</v>
      </c>
      <c r="F91" s="303" t="s">
        <v>375</v>
      </c>
      <c r="G91" s="174" t="s">
        <v>585</v>
      </c>
      <c r="H91" s="186" t="s">
        <v>374</v>
      </c>
      <c r="I91" s="186" t="s">
        <v>376</v>
      </c>
      <c r="J91" s="184" t="s">
        <v>377</v>
      </c>
      <c r="K91" s="497" t="s">
        <v>675</v>
      </c>
      <c r="L91" s="186" t="s">
        <v>390</v>
      </c>
      <c r="M91" s="185" t="s">
        <v>195</v>
      </c>
      <c r="N91" s="187" t="s">
        <v>391</v>
      </c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</row>
    <row r="92" spans="1:35" x14ac:dyDescent="0.25">
      <c r="B92" s="150" t="s">
        <v>586</v>
      </c>
      <c r="C92" s="150" t="s">
        <v>586</v>
      </c>
      <c r="D92" s="150" t="s">
        <v>586</v>
      </c>
      <c r="E92" s="150" t="s">
        <v>586</v>
      </c>
      <c r="F92" s="276" t="s">
        <v>586</v>
      </c>
      <c r="G92" s="150" t="s">
        <v>586</v>
      </c>
      <c r="H92" s="150" t="s">
        <v>586</v>
      </c>
      <c r="I92" s="150" t="s">
        <v>586</v>
      </c>
      <c r="J92" s="150" t="s">
        <v>586</v>
      </c>
      <c r="K92" s="150" t="s">
        <v>586</v>
      </c>
      <c r="L92" s="150" t="s">
        <v>586</v>
      </c>
      <c r="M92" s="150" t="s">
        <v>586</v>
      </c>
      <c r="N92" s="150" t="s">
        <v>586</v>
      </c>
    </row>
  </sheetData>
  <sheetProtection algorithmName="SHA-512" hashValue="gHrhlsao01vipxZDn2zH6DEPhhSpBJPyXZq4HWPw9KxA4Xq3NjBZLeE15t6JkMwnKPNvH+pUdNel4t69dBdeRg==" saltValue="td7nven2k2C9qz4f46+xXw==" spinCount="100000" sheet="1" sort="0"/>
  <mergeCells count="20">
    <mergeCell ref="B1:AI1"/>
    <mergeCell ref="A3:C3"/>
    <mergeCell ref="D3:F3"/>
    <mergeCell ref="G3:H3"/>
    <mergeCell ref="I3:X3"/>
    <mergeCell ref="Z3:AE3"/>
    <mergeCell ref="AG3:AI3"/>
    <mergeCell ref="A7:AI7"/>
    <mergeCell ref="A72:A77"/>
    <mergeCell ref="A79:A84"/>
    <mergeCell ref="A86:A91"/>
    <mergeCell ref="A58:A63"/>
    <mergeCell ref="A65:A70"/>
    <mergeCell ref="A23:A28"/>
    <mergeCell ref="A30:A35"/>
    <mergeCell ref="A37:A42"/>
    <mergeCell ref="A44:A49"/>
    <mergeCell ref="A51:A56"/>
    <mergeCell ref="A9:A14"/>
    <mergeCell ref="A16:A21"/>
  </mergeCells>
  <conditionalFormatting sqref="B28">
    <cfRule type="expression" dxfId="39" priority="2">
      <formula>"B17&lt;&gt;0"</formula>
    </cfRule>
  </conditionalFormatting>
  <conditionalFormatting sqref="F28">
    <cfRule type="expression" dxfId="38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tabColor theme="8" tint="-0.499984740745262"/>
  </sheetPr>
  <dimension ref="A1:AI92"/>
  <sheetViews>
    <sheetView view="pageBreakPreview" topLeftCell="A46" zoomScale="40" zoomScaleNormal="55" zoomScaleSheetLayoutView="40" workbookViewId="0">
      <selection activeCell="O84" sqref="O84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30'!A13</f>
        <v>CONVENTION CAS 6</v>
      </c>
      <c r="B5" s="369">
        <f>'LISTE DES CAS ANNEXE 30'!B13</f>
        <v>1</v>
      </c>
      <c r="C5" s="370">
        <f>'LISTE DES CAS ANNEXE 30'!C13</f>
        <v>1</v>
      </c>
      <c r="D5" s="367" t="str">
        <f>'LISTE DES CAS ANNEXE 30'!D13</f>
        <v>MALADIE</v>
      </c>
      <c r="E5" s="368">
        <f>'LISTE DES CAS ANNEXE 30'!E13</f>
        <v>0.55000000000000004</v>
      </c>
      <c r="F5" s="361" t="str">
        <f>'LISTE DES CAS ANNEXE 30'!H13</f>
        <v>NON</v>
      </c>
      <c r="G5" s="384" t="str">
        <f>'LISTE DES CAS ANNEXE 30'!I13</f>
        <v>Sans objet</v>
      </c>
      <c r="H5" s="366" t="str">
        <f>'LISTE DES CAS ANNEXE 30'!J13</f>
        <v>05 - TP AMO SEUL</v>
      </c>
      <c r="I5" s="354" t="str">
        <f>'LISTE DES CAS ANNEXE 30'!K13</f>
        <v>42-SAINT-ETIENNE</v>
      </c>
      <c r="J5" s="355" t="str">
        <f>'LISTE DES CAS ANNEXE 30'!L13</f>
        <v>42-MONTBRISON</v>
      </c>
      <c r="K5" s="356" t="str">
        <f>'LISTE DES CAS ANNEXE 30'!M13</f>
        <v>01/12/2025 à 10H00</v>
      </c>
      <c r="L5" s="356" t="str">
        <f>'LISTE DES CAS ANNEXE 30'!N13</f>
        <v>01/12/2025 à 10h40</v>
      </c>
      <c r="M5" s="357" t="str">
        <f>'LISTE DES CAS ANNEXE 30'!O13</f>
        <v>AA-001-BB</v>
      </c>
      <c r="N5" s="357" t="str">
        <f>'LISTE DES CAS ANNEXE 30'!P13</f>
        <v>42218 
(SAINT-ETIENNE)</v>
      </c>
      <c r="O5" s="357" t="str">
        <f>'LISTE DES CAS ANNEXE 30'!Q13</f>
        <v>042</v>
      </c>
      <c r="P5" s="357" t="str">
        <f>'LISTE DES CAS ANNEXE 30'!R13</f>
        <v>422 - CPAM DE LA LOIRE</v>
      </c>
      <c r="Q5" s="358">
        <f>'LISTE DES CAS ANNEXE 30'!S13</f>
        <v>43</v>
      </c>
      <c r="R5" s="359" t="str">
        <f>'LISTE DES CAS ANNEXE 30'!T13</f>
        <v>JOUR</v>
      </c>
      <c r="S5" s="360">
        <f>'LISTE DES CAS ANNEXE 30'!U13</f>
        <v>1</v>
      </c>
      <c r="T5" s="356" t="str">
        <f>'LISTE DES CAS ANNEXE 30'!V13</f>
        <v>NON</v>
      </c>
      <c r="U5" s="428" t="str">
        <f>'LISTE DES CAS ANNEXE 30'!W13</f>
        <v>OUI
(à 1,20€)</v>
      </c>
      <c r="V5" s="356" t="str">
        <f>'LISTE DES CAS ANNEXE 30'!X13</f>
        <v>NON</v>
      </c>
      <c r="W5" s="356" t="str">
        <f>'LISTE DES CAS ANNEXE 30'!Y13</f>
        <v>NON</v>
      </c>
      <c r="X5" s="361" t="str">
        <f>'LISTE DES CAS ANNEXE 30'!Z13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242</v>
      </c>
      <c r="V42" s="193" t="s">
        <v>202</v>
      </c>
      <c r="W42" s="33" t="s">
        <v>590</v>
      </c>
      <c r="X42" s="33" t="s">
        <v>202</v>
      </c>
      <c r="Y42" s="194" t="s">
        <v>591</v>
      </c>
      <c r="Z42" s="194" t="s">
        <v>591</v>
      </c>
      <c r="AA42" s="194" t="s">
        <v>592</v>
      </c>
      <c r="AB42" s="194" t="s">
        <v>593</v>
      </c>
      <c r="AC42" s="194" t="s">
        <v>591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637</v>
      </c>
      <c r="T56" s="54" t="s">
        <v>262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638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639</v>
      </c>
      <c r="Z63" s="96" t="s">
        <v>639</v>
      </c>
      <c r="AA63" s="97" t="s">
        <v>592</v>
      </c>
      <c r="AB63" s="96" t="s">
        <v>640</v>
      </c>
      <c r="AC63" s="96" t="s">
        <v>639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925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  <c r="AG67" s="2"/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247</v>
      </c>
      <c r="V70" s="55" t="s">
        <v>202</v>
      </c>
      <c r="W70" s="54" t="s">
        <v>590</v>
      </c>
      <c r="X70" s="33" t="s">
        <v>202</v>
      </c>
      <c r="Y70" s="54" t="s">
        <v>641</v>
      </c>
      <c r="Z70" s="96" t="s">
        <v>641</v>
      </c>
      <c r="AA70" s="54" t="s">
        <v>592</v>
      </c>
      <c r="AB70" s="54" t="s">
        <v>642</v>
      </c>
      <c r="AC70" s="54" t="s">
        <v>641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14" t="s">
        <v>360</v>
      </c>
      <c r="B72" s="147" t="s">
        <v>13</v>
      </c>
      <c r="C72" s="24" t="s">
        <v>14</v>
      </c>
      <c r="D72" s="24" t="s">
        <v>15</v>
      </c>
      <c r="E72" s="25" t="s">
        <v>16</v>
      </c>
      <c r="F72" s="282" t="s">
        <v>17</v>
      </c>
      <c r="G72" s="24" t="s">
        <v>70</v>
      </c>
      <c r="H72" s="24" t="s">
        <v>15</v>
      </c>
      <c r="I72" s="24" t="s">
        <v>220</v>
      </c>
      <c r="J72" s="24" t="s">
        <v>221</v>
      </c>
      <c r="K72" s="26" t="s">
        <v>222</v>
      </c>
      <c r="L72" s="26" t="s">
        <v>223</v>
      </c>
      <c r="M72" s="24" t="s">
        <v>224</v>
      </c>
      <c r="N72" s="24" t="s">
        <v>225</v>
      </c>
      <c r="O72" s="24" t="s">
        <v>226</v>
      </c>
      <c r="P72" s="24" t="s">
        <v>221</v>
      </c>
      <c r="Q72" s="24" t="s">
        <v>227</v>
      </c>
      <c r="R72" s="24" t="s">
        <v>15</v>
      </c>
      <c r="S72" s="27" t="s">
        <v>228</v>
      </c>
    </row>
    <row r="73" spans="1:35" ht="19.899999999999999" customHeight="1" x14ac:dyDescent="0.25">
      <c r="A73" s="615"/>
      <c r="B73" s="148">
        <v>1</v>
      </c>
      <c r="C73" s="5" t="s">
        <v>47</v>
      </c>
      <c r="D73" s="4">
        <v>11</v>
      </c>
      <c r="E73" s="6" t="s">
        <v>48</v>
      </c>
      <c r="F73" s="283" t="s">
        <v>49</v>
      </c>
      <c r="G73" s="7" t="s">
        <v>50</v>
      </c>
      <c r="H73" s="7" t="s">
        <v>229</v>
      </c>
      <c r="I73" s="7" t="s">
        <v>216</v>
      </c>
      <c r="J73" s="7" t="s">
        <v>230</v>
      </c>
      <c r="K73" s="8" t="s">
        <v>217</v>
      </c>
      <c r="L73" s="8" t="s">
        <v>218</v>
      </c>
      <c r="M73" s="7" t="s">
        <v>179</v>
      </c>
      <c r="N73" s="7" t="s">
        <v>219</v>
      </c>
      <c r="O73" s="7">
        <v>90</v>
      </c>
      <c r="P73" s="7" t="s">
        <v>231</v>
      </c>
      <c r="Q73" s="7">
        <v>94</v>
      </c>
      <c r="R73" s="7" t="s">
        <v>232</v>
      </c>
      <c r="S73" s="28" t="s">
        <v>233</v>
      </c>
    </row>
    <row r="74" spans="1:35" outlineLevel="1" x14ac:dyDescent="0.25">
      <c r="A74" s="615"/>
      <c r="B74" s="148">
        <v>1</v>
      </c>
      <c r="C74" s="4">
        <v>9</v>
      </c>
      <c r="D74" s="4">
        <v>1</v>
      </c>
      <c r="E74" s="9">
        <v>13</v>
      </c>
      <c r="F74" s="284">
        <v>2</v>
      </c>
      <c r="G74" s="4">
        <v>9</v>
      </c>
      <c r="H74" s="4">
        <v>3</v>
      </c>
      <c r="I74" s="4">
        <v>3</v>
      </c>
      <c r="J74" s="4">
        <v>16</v>
      </c>
      <c r="K74" s="10">
        <v>8</v>
      </c>
      <c r="L74" s="10">
        <v>8</v>
      </c>
      <c r="M74" s="4">
        <v>8</v>
      </c>
      <c r="N74" s="4">
        <v>8</v>
      </c>
      <c r="O74" s="4">
        <v>1</v>
      </c>
      <c r="P74" s="4">
        <v>3</v>
      </c>
      <c r="Q74" s="4">
        <v>1</v>
      </c>
      <c r="R74" s="4">
        <v>2</v>
      </c>
      <c r="S74" s="29">
        <v>32</v>
      </c>
    </row>
    <row r="75" spans="1:35" ht="13.5" customHeight="1" outlineLevel="1" x14ac:dyDescent="0.25">
      <c r="A75" s="615"/>
      <c r="B75" s="148" t="s">
        <v>1</v>
      </c>
      <c r="C75" s="4" t="s">
        <v>1</v>
      </c>
      <c r="D75" s="4" t="s">
        <v>69</v>
      </c>
      <c r="E75" s="9" t="s">
        <v>69</v>
      </c>
      <c r="F75" s="284" t="s">
        <v>1</v>
      </c>
      <c r="G75" s="4" t="s">
        <v>1</v>
      </c>
      <c r="H75" s="4" t="s">
        <v>69</v>
      </c>
      <c r="I75" s="4" t="s">
        <v>1</v>
      </c>
      <c r="J75" s="4" t="s">
        <v>69</v>
      </c>
      <c r="K75" s="12" t="s">
        <v>1</v>
      </c>
      <c r="L75" s="12" t="s">
        <v>1</v>
      </c>
      <c r="M75" s="4" t="s">
        <v>1</v>
      </c>
      <c r="N75" s="4" t="s">
        <v>1</v>
      </c>
      <c r="O75" s="4" t="s">
        <v>69</v>
      </c>
      <c r="P75" s="4" t="s">
        <v>69</v>
      </c>
      <c r="Q75" s="4" t="s">
        <v>69</v>
      </c>
      <c r="R75" s="4" t="s">
        <v>69</v>
      </c>
      <c r="S75" s="29" t="s">
        <v>69</v>
      </c>
    </row>
    <row r="76" spans="1:35" outlineLevel="1" x14ac:dyDescent="0.25">
      <c r="A76" s="615"/>
      <c r="B76" s="148" t="s">
        <v>0</v>
      </c>
      <c r="C76" s="4" t="s">
        <v>0</v>
      </c>
      <c r="D76" s="4" t="s">
        <v>4</v>
      </c>
      <c r="E76" s="9" t="s">
        <v>0</v>
      </c>
      <c r="F76" s="284" t="s">
        <v>0</v>
      </c>
      <c r="G76" s="4" t="s">
        <v>0</v>
      </c>
      <c r="H76" s="4" t="s">
        <v>4</v>
      </c>
      <c r="I76" s="4" t="s">
        <v>0</v>
      </c>
      <c r="J76" s="4" t="s">
        <v>0</v>
      </c>
      <c r="K76" s="12" t="s">
        <v>0</v>
      </c>
      <c r="L76" s="12" t="s">
        <v>0</v>
      </c>
      <c r="M76" s="4" t="s">
        <v>0</v>
      </c>
      <c r="N76" s="4" t="s">
        <v>4</v>
      </c>
      <c r="O76" s="4" t="s">
        <v>4</v>
      </c>
      <c r="P76" s="4" t="s">
        <v>0</v>
      </c>
      <c r="Q76" s="4" t="s">
        <v>0</v>
      </c>
      <c r="R76" s="4" t="s">
        <v>4</v>
      </c>
      <c r="S76" s="29" t="s">
        <v>4</v>
      </c>
    </row>
    <row r="77" spans="1:35" s="163" customFormat="1" ht="30" customHeight="1" thickBot="1" x14ac:dyDescent="0.3">
      <c r="A77" s="616"/>
      <c r="B77" s="157">
        <v>5</v>
      </c>
      <c r="C77" s="54" t="s">
        <v>544</v>
      </c>
      <c r="D77" s="55" t="s">
        <v>8</v>
      </c>
      <c r="E77" s="55" t="s">
        <v>198</v>
      </c>
      <c r="F77" s="270">
        <v>77</v>
      </c>
      <c r="G77" s="55">
        <v>250000001</v>
      </c>
      <c r="H77" s="98" t="s">
        <v>9</v>
      </c>
      <c r="I77" s="496" t="s">
        <v>904</v>
      </c>
      <c r="J77" s="98" t="s">
        <v>234</v>
      </c>
      <c r="K77" s="56" t="s">
        <v>643</v>
      </c>
      <c r="L77" s="56" t="s">
        <v>644</v>
      </c>
      <c r="M77" s="56" t="s">
        <v>645</v>
      </c>
      <c r="N77" s="56" t="s">
        <v>599</v>
      </c>
      <c r="O77" s="56" t="s">
        <v>8</v>
      </c>
      <c r="P77" s="56" t="s">
        <v>9</v>
      </c>
      <c r="Q77" s="56" t="s">
        <v>8</v>
      </c>
      <c r="R77" s="56" t="s">
        <v>210</v>
      </c>
      <c r="S77" s="99" t="s">
        <v>235</v>
      </c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</row>
    <row r="78" spans="1:35" ht="15.75" thickBot="1" x14ac:dyDescent="0.3">
      <c r="A78" s="75"/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</row>
    <row r="79" spans="1:35" ht="100.15" customHeight="1" x14ac:dyDescent="0.25">
      <c r="A79" s="608" t="s">
        <v>361</v>
      </c>
      <c r="B79" s="327" t="s">
        <v>13</v>
      </c>
      <c r="C79" s="328" t="s">
        <v>14</v>
      </c>
      <c r="D79" s="328" t="s">
        <v>339</v>
      </c>
      <c r="E79" s="329" t="s">
        <v>469</v>
      </c>
      <c r="F79" s="330" t="s">
        <v>470</v>
      </c>
      <c r="G79" s="328" t="s">
        <v>471</v>
      </c>
      <c r="H79" s="328" t="s">
        <v>340</v>
      </c>
      <c r="I79" s="328" t="s">
        <v>473</v>
      </c>
      <c r="J79" s="328" t="s">
        <v>472</v>
      </c>
      <c r="K79" s="331" t="s">
        <v>312</v>
      </c>
      <c r="L79" s="331" t="s">
        <v>341</v>
      </c>
      <c r="M79" s="328" t="s">
        <v>25</v>
      </c>
      <c r="N79" s="328" t="s">
        <v>15</v>
      </c>
      <c r="O79" s="328" t="s">
        <v>474</v>
      </c>
      <c r="P79" s="328" t="s">
        <v>342</v>
      </c>
      <c r="Q79" s="328" t="s">
        <v>15</v>
      </c>
      <c r="R79" s="328" t="s">
        <v>343</v>
      </c>
      <c r="S79" s="332" t="s">
        <v>228</v>
      </c>
    </row>
    <row r="80" spans="1:35" ht="19.899999999999999" customHeight="1" x14ac:dyDescent="0.25">
      <c r="A80" s="609"/>
      <c r="B80" s="158">
        <v>1</v>
      </c>
      <c r="C80" s="102" t="s">
        <v>47</v>
      </c>
      <c r="D80" s="103" t="s">
        <v>344</v>
      </c>
      <c r="E80" s="104" t="s">
        <v>345</v>
      </c>
      <c r="F80" s="298" t="s">
        <v>346</v>
      </c>
      <c r="G80" s="103" t="s">
        <v>347</v>
      </c>
      <c r="H80" s="103" t="s">
        <v>348</v>
      </c>
      <c r="I80" s="103" t="s">
        <v>349</v>
      </c>
      <c r="J80" s="103" t="s">
        <v>350</v>
      </c>
      <c r="K80" s="105" t="s">
        <v>351</v>
      </c>
      <c r="L80" s="105" t="s">
        <v>352</v>
      </c>
      <c r="M80" s="103" t="s">
        <v>353</v>
      </c>
      <c r="N80" s="103" t="s">
        <v>354</v>
      </c>
      <c r="O80" s="103" t="s">
        <v>355</v>
      </c>
      <c r="P80" s="103" t="s">
        <v>356</v>
      </c>
      <c r="Q80" s="103" t="s">
        <v>357</v>
      </c>
      <c r="R80" s="103" t="s">
        <v>358</v>
      </c>
      <c r="S80" s="333" t="s">
        <v>233</v>
      </c>
    </row>
    <row r="81" spans="1:35" outlineLevel="1" x14ac:dyDescent="0.25">
      <c r="A81" s="609"/>
      <c r="B81" s="158">
        <v>1</v>
      </c>
      <c r="C81" s="101">
        <v>9</v>
      </c>
      <c r="D81" s="101">
        <v>3</v>
      </c>
      <c r="E81" s="101">
        <v>4</v>
      </c>
      <c r="F81" s="299">
        <v>4</v>
      </c>
      <c r="G81" s="101">
        <v>3</v>
      </c>
      <c r="H81" s="101">
        <v>9</v>
      </c>
      <c r="I81" s="101">
        <v>9</v>
      </c>
      <c r="J81" s="101">
        <v>9</v>
      </c>
      <c r="K81" s="107">
        <v>3</v>
      </c>
      <c r="L81" s="107">
        <v>1</v>
      </c>
      <c r="M81" s="101">
        <v>1</v>
      </c>
      <c r="N81" s="101">
        <v>4</v>
      </c>
      <c r="O81" s="101">
        <v>12</v>
      </c>
      <c r="P81" s="101">
        <v>12</v>
      </c>
      <c r="Q81" s="103">
        <v>3</v>
      </c>
      <c r="R81" s="101">
        <v>9</v>
      </c>
      <c r="S81" s="334">
        <v>32</v>
      </c>
    </row>
    <row r="82" spans="1:35" outlineLevel="1" x14ac:dyDescent="0.25">
      <c r="A82" s="609"/>
      <c r="B82" s="158" t="s">
        <v>1</v>
      </c>
      <c r="C82" s="101" t="s">
        <v>1</v>
      </c>
      <c r="D82" s="197" t="s">
        <v>1</v>
      </c>
      <c r="E82" s="106" t="s">
        <v>1</v>
      </c>
      <c r="F82" s="299" t="s">
        <v>1</v>
      </c>
      <c r="G82" s="101" t="s">
        <v>1</v>
      </c>
      <c r="H82" s="101" t="s">
        <v>1</v>
      </c>
      <c r="I82" s="101" t="s">
        <v>1</v>
      </c>
      <c r="J82" s="101" t="s">
        <v>1</v>
      </c>
      <c r="K82" s="108" t="s">
        <v>1</v>
      </c>
      <c r="L82" s="108" t="s">
        <v>69</v>
      </c>
      <c r="M82" s="101" t="s">
        <v>69</v>
      </c>
      <c r="N82" s="101" t="s">
        <v>69</v>
      </c>
      <c r="O82" s="101" t="s">
        <v>69</v>
      </c>
      <c r="P82" s="101" t="s">
        <v>1</v>
      </c>
      <c r="Q82" s="101" t="s">
        <v>69</v>
      </c>
      <c r="R82" s="101" t="s">
        <v>1</v>
      </c>
      <c r="S82" s="334" t="s">
        <v>1</v>
      </c>
    </row>
    <row r="83" spans="1:35" outlineLevel="1" x14ac:dyDescent="0.25">
      <c r="A83" s="609"/>
      <c r="B83" s="158" t="s">
        <v>0</v>
      </c>
      <c r="C83" s="101" t="s">
        <v>0</v>
      </c>
      <c r="D83" s="101" t="s">
        <v>0</v>
      </c>
      <c r="E83" s="106" t="s">
        <v>0</v>
      </c>
      <c r="F83" s="299" t="s">
        <v>0</v>
      </c>
      <c r="G83" s="101" t="s">
        <v>0</v>
      </c>
      <c r="H83" s="101" t="s">
        <v>0</v>
      </c>
      <c r="I83" s="101" t="s">
        <v>0</v>
      </c>
      <c r="J83" s="101" t="s">
        <v>0</v>
      </c>
      <c r="K83" s="108" t="s">
        <v>0</v>
      </c>
      <c r="L83" s="108" t="s">
        <v>4</v>
      </c>
      <c r="M83" s="101" t="s">
        <v>4</v>
      </c>
      <c r="N83" s="101" t="s">
        <v>4</v>
      </c>
      <c r="O83" s="101" t="s">
        <v>4</v>
      </c>
      <c r="P83" s="101" t="s">
        <v>4</v>
      </c>
      <c r="Q83" s="101" t="s">
        <v>4</v>
      </c>
      <c r="R83" s="101" t="s">
        <v>4</v>
      </c>
      <c r="S83" s="334" t="s">
        <v>0</v>
      </c>
    </row>
    <row r="84" spans="1:35" s="163" customFormat="1" ht="30" customHeight="1" thickBot="1" x14ac:dyDescent="0.3">
      <c r="A84" s="610"/>
      <c r="B84" s="183">
        <v>6</v>
      </c>
      <c r="C84" s="335" t="s">
        <v>544</v>
      </c>
      <c r="D84" s="185" t="s">
        <v>195</v>
      </c>
      <c r="E84" s="336" t="s">
        <v>522</v>
      </c>
      <c r="F84" s="337" t="s">
        <v>521</v>
      </c>
      <c r="G84" s="185" t="s">
        <v>195</v>
      </c>
      <c r="H84" s="184" t="s">
        <v>646</v>
      </c>
      <c r="I84" s="184" t="s">
        <v>647</v>
      </c>
      <c r="J84" s="184" t="s">
        <v>209</v>
      </c>
      <c r="K84" s="184" t="s">
        <v>195</v>
      </c>
      <c r="L84" s="186" t="s">
        <v>8</v>
      </c>
      <c r="M84" s="186" t="s">
        <v>8</v>
      </c>
      <c r="N84" s="186" t="s">
        <v>387</v>
      </c>
      <c r="O84" s="186" t="s">
        <v>941</v>
      </c>
      <c r="P84" s="186" t="s">
        <v>388</v>
      </c>
      <c r="Q84" s="186" t="s">
        <v>9</v>
      </c>
      <c r="R84" s="186" t="s">
        <v>389</v>
      </c>
      <c r="S84" s="187" t="s">
        <v>235</v>
      </c>
    </row>
    <row r="85" spans="1:35" ht="9.75" customHeight="1" thickBot="1" x14ac:dyDescent="0.3">
      <c r="B85" s="150" t="s">
        <v>586</v>
      </c>
      <c r="C85" s="150" t="s">
        <v>586</v>
      </c>
      <c r="D85" s="150" t="s">
        <v>586</v>
      </c>
      <c r="E85" s="150" t="s">
        <v>586</v>
      </c>
      <c r="F85" s="276" t="s">
        <v>586</v>
      </c>
      <c r="G85" s="150" t="s">
        <v>586</v>
      </c>
      <c r="H85" s="150" t="s">
        <v>586</v>
      </c>
      <c r="I85" s="150" t="s">
        <v>586</v>
      </c>
      <c r="J85" s="150" t="s">
        <v>586</v>
      </c>
      <c r="K85" s="150" t="s">
        <v>586</v>
      </c>
      <c r="L85" s="150" t="s">
        <v>586</v>
      </c>
      <c r="M85" s="150" t="s">
        <v>586</v>
      </c>
      <c r="N85" s="150" t="s">
        <v>586</v>
      </c>
      <c r="O85" s="150" t="s">
        <v>586</v>
      </c>
      <c r="P85" s="150" t="s">
        <v>586</v>
      </c>
      <c r="Q85" s="150" t="s">
        <v>586</v>
      </c>
      <c r="R85" s="150" t="s">
        <v>586</v>
      </c>
      <c r="S85" s="150" t="s">
        <v>586</v>
      </c>
    </row>
    <row r="86" spans="1:35" ht="100.15" customHeight="1" x14ac:dyDescent="0.25">
      <c r="A86" s="611" t="s">
        <v>371</v>
      </c>
      <c r="B86" s="159" t="s">
        <v>13</v>
      </c>
      <c r="C86" s="117" t="s">
        <v>363</v>
      </c>
      <c r="D86" s="117" t="s">
        <v>364</v>
      </c>
      <c r="E86" s="118" t="s">
        <v>15</v>
      </c>
      <c r="F86" s="300" t="s">
        <v>283</v>
      </c>
      <c r="G86" s="117" t="s">
        <v>365</v>
      </c>
      <c r="H86" s="117" t="s">
        <v>15</v>
      </c>
      <c r="I86" s="117" t="s">
        <v>286</v>
      </c>
      <c r="J86" s="117" t="s">
        <v>287</v>
      </c>
      <c r="K86" s="119" t="s">
        <v>366</v>
      </c>
      <c r="L86" s="119" t="s">
        <v>15</v>
      </c>
      <c r="M86" s="117" t="s">
        <v>367</v>
      </c>
      <c r="N86" s="120" t="s">
        <v>15</v>
      </c>
    </row>
    <row r="87" spans="1:35" ht="19.899999999999999" customHeight="1" x14ac:dyDescent="0.25">
      <c r="A87" s="612"/>
      <c r="B87" s="198" t="s">
        <v>293</v>
      </c>
      <c r="C87" s="110" t="s">
        <v>294</v>
      </c>
      <c r="D87" s="111" t="s">
        <v>295</v>
      </c>
      <c r="E87" s="112" t="s">
        <v>296</v>
      </c>
      <c r="F87" s="301" t="s">
        <v>297</v>
      </c>
      <c r="G87" s="111" t="s">
        <v>298</v>
      </c>
      <c r="H87" s="111" t="s">
        <v>299</v>
      </c>
      <c r="I87" s="111" t="s">
        <v>300</v>
      </c>
      <c r="J87" s="111" t="s">
        <v>301</v>
      </c>
      <c r="K87" s="113" t="s">
        <v>368</v>
      </c>
      <c r="L87" s="113" t="s">
        <v>369</v>
      </c>
      <c r="M87" s="111" t="s">
        <v>307</v>
      </c>
      <c r="N87" s="121" t="s">
        <v>370</v>
      </c>
    </row>
    <row r="88" spans="1:35" outlineLevel="1" x14ac:dyDescent="0.25">
      <c r="A88" s="612"/>
      <c r="B88" s="160">
        <v>3</v>
      </c>
      <c r="C88" s="109">
        <v>2</v>
      </c>
      <c r="D88" s="109">
        <v>14</v>
      </c>
      <c r="E88" s="109">
        <v>6</v>
      </c>
      <c r="F88" s="302">
        <v>2</v>
      </c>
      <c r="G88" s="109">
        <v>14</v>
      </c>
      <c r="H88" s="109">
        <v>6</v>
      </c>
      <c r="I88" s="109">
        <v>2</v>
      </c>
      <c r="J88" s="109">
        <v>6</v>
      </c>
      <c r="K88" s="115">
        <v>8</v>
      </c>
      <c r="L88" s="115">
        <v>19</v>
      </c>
      <c r="M88" s="109">
        <v>3</v>
      </c>
      <c r="N88" s="122">
        <v>43</v>
      </c>
    </row>
    <row r="89" spans="1:35" outlineLevel="1" x14ac:dyDescent="0.25">
      <c r="A89" s="612"/>
      <c r="B89" s="160" t="s">
        <v>1</v>
      </c>
      <c r="C89" s="109" t="s">
        <v>69</v>
      </c>
      <c r="D89" s="109" t="s">
        <v>1</v>
      </c>
      <c r="E89" s="114" t="s">
        <v>69</v>
      </c>
      <c r="F89" s="302" t="s">
        <v>69</v>
      </c>
      <c r="G89" s="109" t="s">
        <v>1</v>
      </c>
      <c r="H89" s="109" t="s">
        <v>69</v>
      </c>
      <c r="I89" s="109" t="s">
        <v>69</v>
      </c>
      <c r="J89" s="109" t="s">
        <v>69</v>
      </c>
      <c r="K89" s="116" t="s">
        <v>1</v>
      </c>
      <c r="L89" s="116" t="s">
        <v>69</v>
      </c>
      <c r="M89" s="109" t="s">
        <v>1</v>
      </c>
      <c r="N89" s="122" t="s">
        <v>69</v>
      </c>
    </row>
    <row r="90" spans="1:35" outlineLevel="1" x14ac:dyDescent="0.25">
      <c r="A90" s="612"/>
      <c r="B90" s="160" t="s">
        <v>0</v>
      </c>
      <c r="C90" s="109" t="s">
        <v>0</v>
      </c>
      <c r="D90" s="109" t="s">
        <v>0</v>
      </c>
      <c r="E90" s="114" t="s">
        <v>4</v>
      </c>
      <c r="F90" s="302" t="s">
        <v>0</v>
      </c>
      <c r="G90" s="109" t="s">
        <v>0</v>
      </c>
      <c r="H90" s="109" t="s">
        <v>4</v>
      </c>
      <c r="I90" s="109" t="s">
        <v>0</v>
      </c>
      <c r="J90" s="109" t="s">
        <v>0</v>
      </c>
      <c r="K90" s="116" t="s">
        <v>0</v>
      </c>
      <c r="L90" s="116" t="s">
        <v>4</v>
      </c>
      <c r="M90" s="109" t="s">
        <v>0</v>
      </c>
      <c r="N90" s="122" t="s">
        <v>4</v>
      </c>
    </row>
    <row r="91" spans="1:35" ht="30" customHeight="1" thickBot="1" x14ac:dyDescent="0.3">
      <c r="A91" s="613"/>
      <c r="B91" s="183">
        <v>999</v>
      </c>
      <c r="C91" s="186" t="s">
        <v>373</v>
      </c>
      <c r="D91" s="174" t="s">
        <v>584</v>
      </c>
      <c r="E91" s="186" t="s">
        <v>374</v>
      </c>
      <c r="F91" s="303" t="s">
        <v>375</v>
      </c>
      <c r="G91" s="174" t="s">
        <v>585</v>
      </c>
      <c r="H91" s="186" t="s">
        <v>374</v>
      </c>
      <c r="I91" s="186" t="s">
        <v>376</v>
      </c>
      <c r="J91" s="184" t="s">
        <v>377</v>
      </c>
      <c r="K91" s="497" t="s">
        <v>675</v>
      </c>
      <c r="L91" s="186" t="s">
        <v>390</v>
      </c>
      <c r="M91" s="185" t="s">
        <v>195</v>
      </c>
      <c r="N91" s="187" t="s">
        <v>391</v>
      </c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</row>
    <row r="92" spans="1:35" x14ac:dyDescent="0.25">
      <c r="B92" s="150" t="s">
        <v>586</v>
      </c>
      <c r="C92" s="150" t="s">
        <v>586</v>
      </c>
      <c r="D92" s="150" t="s">
        <v>586</v>
      </c>
      <c r="E92" s="150" t="s">
        <v>586</v>
      </c>
      <c r="F92" s="276" t="s">
        <v>586</v>
      </c>
      <c r="G92" s="150" t="s">
        <v>586</v>
      </c>
      <c r="H92" s="150" t="s">
        <v>586</v>
      </c>
      <c r="I92" s="150" t="s">
        <v>586</v>
      </c>
      <c r="J92" s="150" t="s">
        <v>586</v>
      </c>
      <c r="K92" s="150" t="s">
        <v>586</v>
      </c>
      <c r="L92" s="150" t="s">
        <v>586</v>
      </c>
      <c r="M92" s="150" t="s">
        <v>586</v>
      </c>
      <c r="N92" s="150" t="s">
        <v>586</v>
      </c>
    </row>
  </sheetData>
  <sheetProtection algorithmName="SHA-512" hashValue="/zgtq52hv5VPJj6rBwJnIfhJlDaqZeXpM9OCem3CHTIfNo+ffqkZm3snF5fNOAvs+3AWETdPbSev+eor/KH5QA==" saltValue="dcpSkFllIJH+iEWQH1POSg==" spinCount="100000" sheet="1" sort="0"/>
  <mergeCells count="20">
    <mergeCell ref="B1:AI1"/>
    <mergeCell ref="A3:C3"/>
    <mergeCell ref="D3:F3"/>
    <mergeCell ref="G3:H3"/>
    <mergeCell ref="I3:X3"/>
    <mergeCell ref="Z3:AE3"/>
    <mergeCell ref="AG3:AI3"/>
    <mergeCell ref="A7:AI7"/>
    <mergeCell ref="A72:A77"/>
    <mergeCell ref="A79:A84"/>
    <mergeCell ref="A86:A91"/>
    <mergeCell ref="A58:A63"/>
    <mergeCell ref="A65:A70"/>
    <mergeCell ref="A23:A28"/>
    <mergeCell ref="A30:A35"/>
    <mergeCell ref="A37:A42"/>
    <mergeCell ref="A44:A49"/>
    <mergeCell ref="A51:A56"/>
    <mergeCell ref="A9:A14"/>
    <mergeCell ref="A16:A21"/>
  </mergeCells>
  <conditionalFormatting sqref="B28">
    <cfRule type="expression" dxfId="37" priority="2">
      <formula>"B17&lt;&gt;0"</formula>
    </cfRule>
  </conditionalFormatting>
  <conditionalFormatting sqref="F28">
    <cfRule type="expression" dxfId="36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2" fitToHeight="8" orientation="landscape" r:id="rId1"/>
  <headerFooter>
    <oddHeader>&amp;C&amp;"-,Gras"&amp;14&amp;U&amp;F / &amp;A</oddHead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tabColor theme="8" tint="-0.499984740745262"/>
  </sheetPr>
  <dimension ref="A1:AM100"/>
  <sheetViews>
    <sheetView view="pageBreakPreview" topLeftCell="A76" zoomScale="70" zoomScaleNormal="25" zoomScaleSheetLayoutView="70" workbookViewId="0">
      <selection activeCell="O92" sqref="O92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9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9" ht="15.75" thickBot="1" x14ac:dyDescent="0.3">
      <c r="C2" s="78"/>
    </row>
    <row r="3" spans="1:39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9" ht="87" customHeight="1" thickBot="1" x14ac:dyDescent="0.3">
      <c r="A4" s="347" t="s">
        <v>401</v>
      </c>
      <c r="B4" s="348" t="s">
        <v>402</v>
      </c>
      <c r="C4" s="349" t="s">
        <v>406</v>
      </c>
      <c r="D4" s="341" t="s">
        <v>265</v>
      </c>
      <c r="E4" s="343" t="s">
        <v>408</v>
      </c>
      <c r="F4" s="342" t="s">
        <v>409</v>
      </c>
      <c r="G4" s="347" t="s">
        <v>415</v>
      </c>
      <c r="H4" s="349" t="s">
        <v>413</v>
      </c>
      <c r="I4" s="350" t="s">
        <v>434</v>
      </c>
      <c r="J4" s="351" t="s">
        <v>435</v>
      </c>
      <c r="K4" s="351" t="s">
        <v>436</v>
      </c>
      <c r="L4" s="351" t="s">
        <v>437</v>
      </c>
      <c r="M4" s="351" t="s">
        <v>528</v>
      </c>
      <c r="N4" s="351" t="s">
        <v>531</v>
      </c>
      <c r="O4" s="351" t="s">
        <v>529</v>
      </c>
      <c r="P4" s="351" t="s">
        <v>530</v>
      </c>
      <c r="Q4" s="351" t="s">
        <v>398</v>
      </c>
      <c r="R4" s="351" t="s">
        <v>399</v>
      </c>
      <c r="S4" s="351" t="s">
        <v>276</v>
      </c>
      <c r="T4" s="351" t="s">
        <v>404</v>
      </c>
      <c r="U4" s="351" t="s">
        <v>510</v>
      </c>
      <c r="V4" s="351" t="s">
        <v>405</v>
      </c>
      <c r="W4" s="351" t="s">
        <v>547</v>
      </c>
      <c r="X4" s="352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9" ht="58.5" customHeight="1" thickBot="1" x14ac:dyDescent="0.3">
      <c r="A5" s="631" t="str">
        <f>'LISTE DES CAS ANNEXE 30'!A15</f>
        <v>CONVENTION CAS 7</v>
      </c>
      <c r="B5" s="633">
        <f>'LISTE DES CAS ANNEXE 30'!B15</f>
        <v>2</v>
      </c>
      <c r="C5" s="380">
        <f>'LISTE DES CAS ANNEXE 30'!C15</f>
        <v>1</v>
      </c>
      <c r="D5" s="637" t="str">
        <f>'LISTE DES CAS ANNEXE 30'!D15</f>
        <v>MALADIE</v>
      </c>
      <c r="E5" s="635">
        <f>'LISTE DES CAS ANNEXE 30'!E15</f>
        <v>0.55000000000000004</v>
      </c>
      <c r="F5" s="641" t="str">
        <f>'LISTE DES CAS ANNEXE 30'!H15</f>
        <v>NON</v>
      </c>
      <c r="G5" s="383" t="str">
        <f>'LISTE DES CAS ANNEXE 30'!I15</f>
        <v>Sans objet</v>
      </c>
      <c r="H5" s="639" t="str">
        <f>'LISTE DES CAS ANNEXE 30'!J15</f>
        <v>05 - TP AMO SEUL</v>
      </c>
      <c r="I5" s="390" t="str">
        <f>'LISTE DES CAS ANNEXE 30'!K15</f>
        <v>42-SAINT-ETIENNE</v>
      </c>
      <c r="J5" s="391" t="str">
        <f>'LISTE DES CAS ANNEXE 30'!L15</f>
        <v>42-MONTBRISON</v>
      </c>
      <c r="K5" s="392" t="str">
        <f>'LISTE DES CAS ANNEXE 30'!M15</f>
        <v>01/12/2025 à 10H00</v>
      </c>
      <c r="L5" s="392" t="str">
        <f>'LISTE DES CAS ANNEXE 30'!N15</f>
        <v>01/12/2025 à 10h50</v>
      </c>
      <c r="M5" s="393" t="str">
        <f>'LISTE DES CAS ANNEXE 30'!O15</f>
        <v>AA-001-BB</v>
      </c>
      <c r="N5" s="393" t="str">
        <f>'LISTE DES CAS ANNEXE 30'!P15</f>
        <v>42218 
(SAINT-ETIENNE)</v>
      </c>
      <c r="O5" s="393" t="str">
        <f>'LISTE DES CAS ANNEXE 30'!Q15</f>
        <v>042</v>
      </c>
      <c r="P5" s="393" t="str">
        <f>'LISTE DES CAS ANNEXE 30'!R15</f>
        <v>422 - CPAM DE LA LOIRE</v>
      </c>
      <c r="Q5" s="394">
        <f>'LISTE DES CAS ANNEXE 30'!S15</f>
        <v>40</v>
      </c>
      <c r="R5" s="395" t="str">
        <f>'LISTE DES CAS ANNEXE 30'!T15</f>
        <v>JOUR</v>
      </c>
      <c r="S5" s="396">
        <f>'LISTE DES CAS ANNEXE 30'!U15</f>
        <v>1</v>
      </c>
      <c r="T5" s="392" t="str">
        <f>'LISTE DES CAS ANNEXE 30'!V15</f>
        <v>NON</v>
      </c>
      <c r="U5" s="392" t="str">
        <f>'LISTE DES CAS ANNEXE 30'!W15</f>
        <v>NON</v>
      </c>
      <c r="V5" s="427" t="str">
        <f>'LISTE DES CAS ANNEXE 30'!X15</f>
        <v>OUI</v>
      </c>
      <c r="W5" s="392" t="str">
        <f>'LISTE DES CAS ANNEXE 30'!Y15</f>
        <v>NON</v>
      </c>
      <c r="X5" s="397" t="str">
        <f>'LISTE DES CAS ANNEXE 30'!Z15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9" ht="58.5" customHeight="1" thickBot="1" x14ac:dyDescent="0.3">
      <c r="A6" s="632"/>
      <c r="B6" s="634"/>
      <c r="C6" s="381">
        <f>'LISTE DES CAS ANNEXE 30'!C16</f>
        <v>2</v>
      </c>
      <c r="D6" s="638"/>
      <c r="E6" s="636"/>
      <c r="F6" s="642"/>
      <c r="G6" s="389" t="str">
        <f>'LISTE DES CAS ANNEXE 30'!I16</f>
        <v>Sans objet</v>
      </c>
      <c r="H6" s="640"/>
      <c r="I6" s="398" t="str">
        <f>'LISTE DES CAS ANNEXE 30'!K16</f>
        <v>42-MONTBRISON</v>
      </c>
      <c r="J6" s="399" t="str">
        <f>'LISTE DES CAS ANNEXE 30'!L16</f>
        <v>42-SAINT-ETIENNE</v>
      </c>
      <c r="K6" s="400" t="str">
        <f>'LISTE DES CAS ANNEXE 30'!M16</f>
        <v>01/12/2025 à 13H00</v>
      </c>
      <c r="L6" s="400" t="str">
        <f>'LISTE DES CAS ANNEXE 30'!N16</f>
        <v>01/12/2025 à 13h50</v>
      </c>
      <c r="M6" s="401" t="str">
        <f>'LISTE DES CAS ANNEXE 30'!O16</f>
        <v>AA-001-BB</v>
      </c>
      <c r="N6" s="401" t="str">
        <f>'LISTE DES CAS ANNEXE 30'!P16</f>
        <v>42218 
(SAINT-ETIENNE)</v>
      </c>
      <c r="O6" s="401" t="str">
        <f>'LISTE DES CAS ANNEXE 30'!Q16</f>
        <v>042</v>
      </c>
      <c r="P6" s="401" t="str">
        <f>'LISTE DES CAS ANNEXE 30'!R16</f>
        <v>422 - CPAM DE LA LOIRE</v>
      </c>
      <c r="Q6" s="402">
        <f>'LISTE DES CAS ANNEXE 30'!S16</f>
        <v>40</v>
      </c>
      <c r="R6" s="403" t="str">
        <f>'LISTE DES CAS ANNEXE 30'!T16</f>
        <v>JOUR</v>
      </c>
      <c r="S6" s="404">
        <f>'LISTE DES CAS ANNEXE 30'!U16</f>
        <v>1</v>
      </c>
      <c r="T6" s="400" t="str">
        <f>'LISTE DES CAS ANNEXE 30'!V16</f>
        <v>NON</v>
      </c>
      <c r="U6" s="400" t="str">
        <f>'LISTE DES CAS ANNEXE 30'!W16</f>
        <v>NON</v>
      </c>
      <c r="V6" s="426" t="str">
        <f>'LISTE DES CAS ANNEXE 30'!X16</f>
        <v>OUI</v>
      </c>
      <c r="W6" s="400" t="str">
        <f>'LISTE DES CAS ANNEXE 30'!Y16</f>
        <v>NON</v>
      </c>
      <c r="X6" s="405" t="str">
        <f>'LISTE DES CAS ANNEXE 30'!Z16</f>
        <v>Sans objet</v>
      </c>
    </row>
    <row r="7" spans="1:39" ht="15.75" thickBot="1" x14ac:dyDescent="0.3">
      <c r="C7" s="78"/>
    </row>
    <row r="8" spans="1:39" ht="80.099999999999994" customHeight="1" thickBot="1" x14ac:dyDescent="0.3">
      <c r="A8" s="597" t="s">
        <v>819</v>
      </c>
      <c r="B8" s="601"/>
      <c r="C8" s="601"/>
      <c r="D8" s="601"/>
      <c r="E8" s="601"/>
      <c r="F8" s="601"/>
      <c r="G8" s="601"/>
      <c r="H8" s="601"/>
      <c r="I8" s="601"/>
      <c r="J8" s="601"/>
      <c r="K8" s="601"/>
      <c r="L8" s="601"/>
      <c r="M8" s="601"/>
      <c r="N8" s="601"/>
      <c r="O8" s="601"/>
      <c r="P8" s="601"/>
      <c r="Q8" s="601"/>
      <c r="R8" s="601"/>
      <c r="S8" s="601"/>
      <c r="T8" s="601"/>
      <c r="U8" s="601"/>
      <c r="V8" s="601"/>
      <c r="W8" s="601"/>
      <c r="X8" s="601"/>
      <c r="Y8" s="599"/>
      <c r="Z8" s="599"/>
      <c r="AA8" s="599"/>
      <c r="AB8" s="599"/>
      <c r="AC8" s="599"/>
      <c r="AD8" s="599"/>
      <c r="AE8" s="599"/>
      <c r="AF8" s="599"/>
      <c r="AG8" s="599"/>
      <c r="AH8" s="599"/>
      <c r="AI8" s="600"/>
    </row>
    <row r="9" spans="1:39" s="371" customFormat="1" ht="15.75" thickBot="1" x14ac:dyDescent="0.3">
      <c r="B9" s="372"/>
      <c r="C9" s="373"/>
      <c r="F9" s="374"/>
      <c r="AJ9" s="77"/>
      <c r="AK9" s="77"/>
      <c r="AL9" s="77"/>
      <c r="AM9" s="77"/>
    </row>
    <row r="10" spans="1:39" ht="100.15" customHeight="1" x14ac:dyDescent="0.25">
      <c r="A10" s="623" t="s">
        <v>372</v>
      </c>
      <c r="B10" s="164" t="s">
        <v>13</v>
      </c>
      <c r="C10" s="165" t="s">
        <v>281</v>
      </c>
      <c r="D10" s="165" t="s">
        <v>282</v>
      </c>
      <c r="E10" s="165" t="s">
        <v>15</v>
      </c>
      <c r="F10" s="272" t="s">
        <v>283</v>
      </c>
      <c r="G10" s="165" t="s">
        <v>284</v>
      </c>
      <c r="H10" s="165" t="s">
        <v>285</v>
      </c>
      <c r="I10" s="165" t="s">
        <v>286</v>
      </c>
      <c r="J10" s="165" t="s">
        <v>287</v>
      </c>
      <c r="K10" s="165" t="s">
        <v>288</v>
      </c>
      <c r="L10" s="166" t="s">
        <v>289</v>
      </c>
      <c r="M10" s="166" t="s">
        <v>290</v>
      </c>
      <c r="N10" s="165" t="s">
        <v>15</v>
      </c>
      <c r="O10" s="165" t="s">
        <v>15</v>
      </c>
      <c r="P10" s="165" t="s">
        <v>15</v>
      </c>
      <c r="Q10" s="165" t="s">
        <v>15</v>
      </c>
      <c r="R10" s="165" t="s">
        <v>291</v>
      </c>
      <c r="S10" s="165" t="s">
        <v>15</v>
      </c>
      <c r="T10" s="167" t="s">
        <v>292</v>
      </c>
    </row>
    <row r="11" spans="1:39" ht="19.899999999999999" customHeight="1" x14ac:dyDescent="0.25">
      <c r="A11" s="624"/>
      <c r="B11" s="168" t="s">
        <v>293</v>
      </c>
      <c r="C11" s="123" t="s">
        <v>294</v>
      </c>
      <c r="D11" s="123" t="s">
        <v>295</v>
      </c>
      <c r="E11" s="124" t="s">
        <v>296</v>
      </c>
      <c r="F11" s="273" t="s">
        <v>297</v>
      </c>
      <c r="G11" s="124" t="s">
        <v>298</v>
      </c>
      <c r="H11" s="124" t="s">
        <v>299</v>
      </c>
      <c r="I11" s="124" t="s">
        <v>300</v>
      </c>
      <c r="J11" s="124" t="s">
        <v>301</v>
      </c>
      <c r="K11" s="124" t="s">
        <v>302</v>
      </c>
      <c r="L11" s="125" t="s">
        <v>303</v>
      </c>
      <c r="M11" s="125" t="s">
        <v>101</v>
      </c>
      <c r="N11" s="124" t="s">
        <v>304</v>
      </c>
      <c r="O11" s="124" t="s">
        <v>255</v>
      </c>
      <c r="P11" s="124" t="s">
        <v>305</v>
      </c>
      <c r="Q11" s="124" t="s">
        <v>306</v>
      </c>
      <c r="R11" s="124" t="s">
        <v>307</v>
      </c>
      <c r="S11" s="124" t="s">
        <v>308</v>
      </c>
      <c r="T11" s="169" t="s">
        <v>309</v>
      </c>
    </row>
    <row r="12" spans="1:39" outlineLevel="1" x14ac:dyDescent="0.25">
      <c r="A12" s="624"/>
      <c r="B12" s="170">
        <v>3</v>
      </c>
      <c r="C12" s="100">
        <v>2</v>
      </c>
      <c r="D12" s="100">
        <v>14</v>
      </c>
      <c r="E12" s="100">
        <v>6</v>
      </c>
      <c r="F12" s="274" t="s">
        <v>204</v>
      </c>
      <c r="G12" s="100">
        <v>14</v>
      </c>
      <c r="H12" s="100">
        <v>6</v>
      </c>
      <c r="I12" s="100">
        <v>2</v>
      </c>
      <c r="J12" s="100">
        <v>6</v>
      </c>
      <c r="K12" s="100">
        <v>6</v>
      </c>
      <c r="L12" s="126">
        <v>4</v>
      </c>
      <c r="M12" s="126">
        <v>2</v>
      </c>
      <c r="N12" s="100">
        <v>1</v>
      </c>
      <c r="O12" s="100">
        <v>1</v>
      </c>
      <c r="P12" s="100">
        <v>3</v>
      </c>
      <c r="Q12" s="100">
        <v>10</v>
      </c>
      <c r="R12" s="100">
        <v>3</v>
      </c>
      <c r="S12" s="100">
        <v>6</v>
      </c>
      <c r="T12" s="171">
        <v>37</v>
      </c>
    </row>
    <row r="13" spans="1:39" outlineLevel="1" x14ac:dyDescent="0.25">
      <c r="A13" s="624"/>
      <c r="B13" s="170" t="s">
        <v>1</v>
      </c>
      <c r="C13" s="100" t="s">
        <v>69</v>
      </c>
      <c r="D13" s="127" t="s">
        <v>1</v>
      </c>
      <c r="E13" s="100" t="s">
        <v>69</v>
      </c>
      <c r="F13" s="274" t="s">
        <v>69</v>
      </c>
      <c r="G13" s="100" t="s">
        <v>1</v>
      </c>
      <c r="H13" s="100" t="s">
        <v>69</v>
      </c>
      <c r="I13" s="100" t="s">
        <v>69</v>
      </c>
      <c r="J13" s="100" t="s">
        <v>69</v>
      </c>
      <c r="K13" s="100" t="s">
        <v>1</v>
      </c>
      <c r="L13" s="128" t="s">
        <v>69</v>
      </c>
      <c r="M13" s="128" t="s">
        <v>69</v>
      </c>
      <c r="N13" s="100" t="s">
        <v>69</v>
      </c>
      <c r="O13" s="100" t="s">
        <v>69</v>
      </c>
      <c r="P13" s="100" t="s">
        <v>69</v>
      </c>
      <c r="Q13" s="100" t="s">
        <v>69</v>
      </c>
      <c r="R13" s="100" t="s">
        <v>1</v>
      </c>
      <c r="S13" s="100" t="s">
        <v>69</v>
      </c>
      <c r="T13" s="171" t="s">
        <v>1</v>
      </c>
    </row>
    <row r="14" spans="1:39" outlineLevel="1" x14ac:dyDescent="0.25">
      <c r="A14" s="624"/>
      <c r="B14" s="170" t="s">
        <v>0</v>
      </c>
      <c r="C14" s="100" t="s">
        <v>0</v>
      </c>
      <c r="D14" s="100" t="s">
        <v>0</v>
      </c>
      <c r="E14" s="100" t="s">
        <v>4</v>
      </c>
      <c r="F14" s="274" t="s">
        <v>0</v>
      </c>
      <c r="G14" s="100" t="s">
        <v>0</v>
      </c>
      <c r="H14" s="100" t="s">
        <v>0</v>
      </c>
      <c r="I14" s="100" t="s">
        <v>0</v>
      </c>
      <c r="J14" s="100" t="s">
        <v>0</v>
      </c>
      <c r="K14" s="100" t="s">
        <v>0</v>
      </c>
      <c r="L14" s="128" t="s">
        <v>0</v>
      </c>
      <c r="M14" s="128" t="s">
        <v>0</v>
      </c>
      <c r="N14" s="100" t="s">
        <v>4</v>
      </c>
      <c r="O14" s="100" t="s">
        <v>4</v>
      </c>
      <c r="P14" s="100" t="s">
        <v>4</v>
      </c>
      <c r="Q14" s="100" t="s">
        <v>4</v>
      </c>
      <c r="R14" s="100" t="s">
        <v>4</v>
      </c>
      <c r="S14" s="100" t="s">
        <v>4</v>
      </c>
      <c r="T14" s="171" t="s">
        <v>0</v>
      </c>
    </row>
    <row r="15" spans="1:39" s="163" customFormat="1" ht="30" customHeight="1" thickBot="1" x14ac:dyDescent="0.3">
      <c r="A15" s="625"/>
      <c r="B15" s="172" t="s">
        <v>6</v>
      </c>
      <c r="C15" s="173" t="s">
        <v>373</v>
      </c>
      <c r="D15" s="174" t="s">
        <v>584</v>
      </c>
      <c r="E15" s="175" t="s">
        <v>374</v>
      </c>
      <c r="F15" s="275" t="s">
        <v>375</v>
      </c>
      <c r="G15" s="174" t="s">
        <v>585</v>
      </c>
      <c r="H15" s="269" t="s">
        <v>482</v>
      </c>
      <c r="I15" s="176" t="s">
        <v>376</v>
      </c>
      <c r="J15" s="176" t="s">
        <v>377</v>
      </c>
      <c r="K15" s="55" t="s">
        <v>482</v>
      </c>
      <c r="L15" s="176" t="s">
        <v>382</v>
      </c>
      <c r="M15" s="176" t="s">
        <v>379</v>
      </c>
      <c r="N15" s="175" t="s">
        <v>8</v>
      </c>
      <c r="O15" s="175" t="s">
        <v>8</v>
      </c>
      <c r="P15" s="175" t="s">
        <v>9</v>
      </c>
      <c r="Q15" s="175" t="s">
        <v>380</v>
      </c>
      <c r="R15" s="175" t="s">
        <v>511</v>
      </c>
      <c r="S15" s="175" t="s">
        <v>374</v>
      </c>
      <c r="T15" s="177" t="s">
        <v>381</v>
      </c>
    </row>
    <row r="16" spans="1:39" ht="15.75" thickBot="1" x14ac:dyDescent="0.3">
      <c r="B16" s="150" t="s">
        <v>586</v>
      </c>
      <c r="C16" s="150" t="s">
        <v>586</v>
      </c>
      <c r="D16" s="150" t="s">
        <v>586</v>
      </c>
      <c r="E16" s="150" t="s">
        <v>586</v>
      </c>
      <c r="F16" s="276" t="s">
        <v>586</v>
      </c>
      <c r="G16" s="150" t="s">
        <v>586</v>
      </c>
      <c r="H16" s="150" t="s">
        <v>586</v>
      </c>
      <c r="I16" s="150" t="s">
        <v>586</v>
      </c>
      <c r="J16" s="150" t="s">
        <v>586</v>
      </c>
      <c r="K16" s="150" t="s">
        <v>586</v>
      </c>
      <c r="L16" s="150" t="s">
        <v>586</v>
      </c>
      <c r="M16" s="150" t="s">
        <v>586</v>
      </c>
      <c r="N16" s="150" t="s">
        <v>586</v>
      </c>
      <c r="O16" s="150" t="s">
        <v>586</v>
      </c>
      <c r="P16" s="150" t="s">
        <v>586</v>
      </c>
      <c r="Q16" s="150" t="s">
        <v>586</v>
      </c>
      <c r="R16" s="150" t="s">
        <v>586</v>
      </c>
      <c r="S16" s="150" t="s">
        <v>586</v>
      </c>
      <c r="T16" s="150" t="s">
        <v>586</v>
      </c>
    </row>
    <row r="17" spans="1:35" ht="100.15" customHeight="1" x14ac:dyDescent="0.25">
      <c r="A17" s="626" t="s">
        <v>362</v>
      </c>
      <c r="B17" s="145" t="s">
        <v>13</v>
      </c>
      <c r="C17" s="129" t="s">
        <v>14</v>
      </c>
      <c r="D17" s="129" t="s">
        <v>310</v>
      </c>
      <c r="E17" s="130" t="s">
        <v>311</v>
      </c>
      <c r="F17" s="277" t="s">
        <v>312</v>
      </c>
      <c r="G17" s="129" t="s">
        <v>313</v>
      </c>
      <c r="H17" s="129" t="s">
        <v>314</v>
      </c>
      <c r="I17" s="129" t="s">
        <v>315</v>
      </c>
      <c r="J17" s="129" t="s">
        <v>316</v>
      </c>
      <c r="K17" s="131" t="s">
        <v>317</v>
      </c>
      <c r="L17" s="131" t="s">
        <v>318</v>
      </c>
      <c r="M17" s="129" t="s">
        <v>114</v>
      </c>
      <c r="N17" s="129" t="s">
        <v>319</v>
      </c>
      <c r="O17" s="129" t="s">
        <v>320</v>
      </c>
      <c r="P17" s="129" t="s">
        <v>321</v>
      </c>
      <c r="Q17" s="129" t="s">
        <v>322</v>
      </c>
      <c r="R17" s="129" t="s">
        <v>465</v>
      </c>
      <c r="S17" s="129" t="s">
        <v>323</v>
      </c>
      <c r="T17" s="129" t="s">
        <v>324</v>
      </c>
      <c r="U17" s="132" t="s">
        <v>15</v>
      </c>
    </row>
    <row r="18" spans="1:35" ht="19.899999999999999" customHeight="1" x14ac:dyDescent="0.25">
      <c r="A18" s="627"/>
      <c r="B18" s="146">
        <v>1</v>
      </c>
      <c r="C18" s="133" t="s">
        <v>47</v>
      </c>
      <c r="D18" s="134" t="s">
        <v>325</v>
      </c>
      <c r="E18" s="135" t="s">
        <v>326</v>
      </c>
      <c r="F18" s="278" t="s">
        <v>327</v>
      </c>
      <c r="G18" s="134" t="s">
        <v>328</v>
      </c>
      <c r="H18" s="134" t="s">
        <v>297</v>
      </c>
      <c r="I18" s="134" t="s">
        <v>329</v>
      </c>
      <c r="J18" s="134" t="s">
        <v>330</v>
      </c>
      <c r="K18" s="134" t="s">
        <v>331</v>
      </c>
      <c r="L18" s="136" t="s">
        <v>332</v>
      </c>
      <c r="M18" s="134" t="s">
        <v>333</v>
      </c>
      <c r="N18" s="134" t="s">
        <v>103</v>
      </c>
      <c r="O18" s="137">
        <v>81</v>
      </c>
      <c r="P18" s="134" t="s">
        <v>334</v>
      </c>
      <c r="Q18" s="134" t="s">
        <v>335</v>
      </c>
      <c r="R18" s="134" t="s">
        <v>336</v>
      </c>
      <c r="S18" s="134" t="s">
        <v>231</v>
      </c>
      <c r="T18" s="134" t="s">
        <v>337</v>
      </c>
      <c r="U18" s="138" t="s">
        <v>338</v>
      </c>
    </row>
    <row r="19" spans="1:35" outlineLevel="1" x14ac:dyDescent="0.25">
      <c r="A19" s="627"/>
      <c r="B19" s="180">
        <v>1</v>
      </c>
      <c r="C19" s="140">
        <v>9</v>
      </c>
      <c r="D19" s="181">
        <v>6</v>
      </c>
      <c r="E19" s="140">
        <v>3</v>
      </c>
      <c r="F19" s="279">
        <v>3</v>
      </c>
      <c r="G19" s="140">
        <v>3</v>
      </c>
      <c r="H19" s="140">
        <v>2</v>
      </c>
      <c r="I19" s="140">
        <v>2</v>
      </c>
      <c r="J19" s="140">
        <v>40</v>
      </c>
      <c r="K19" s="140">
        <v>2</v>
      </c>
      <c r="L19" s="140">
        <v>6</v>
      </c>
      <c r="M19" s="140">
        <v>1</v>
      </c>
      <c r="N19" s="140">
        <v>2</v>
      </c>
      <c r="O19" s="140">
        <v>1</v>
      </c>
      <c r="P19" s="140">
        <v>6</v>
      </c>
      <c r="Q19" s="140">
        <v>1</v>
      </c>
      <c r="R19" s="140">
        <v>2</v>
      </c>
      <c r="S19" s="140">
        <v>3</v>
      </c>
      <c r="T19" s="140">
        <v>1</v>
      </c>
      <c r="U19" s="182">
        <v>34</v>
      </c>
    </row>
    <row r="20" spans="1:35" outlineLevel="1" x14ac:dyDescent="0.25">
      <c r="A20" s="627"/>
      <c r="B20" s="146" t="s">
        <v>1</v>
      </c>
      <c r="C20" s="137" t="s">
        <v>1</v>
      </c>
      <c r="D20" s="137" t="s">
        <v>69</v>
      </c>
      <c r="E20" s="139" t="s">
        <v>1</v>
      </c>
      <c r="F20" s="280" t="s">
        <v>1</v>
      </c>
      <c r="G20" s="137" t="s">
        <v>69</v>
      </c>
      <c r="H20" s="137" t="s">
        <v>69</v>
      </c>
      <c r="I20" s="137" t="s">
        <v>69</v>
      </c>
      <c r="J20" s="137" t="s">
        <v>69</v>
      </c>
      <c r="K20" s="142" t="s">
        <v>69</v>
      </c>
      <c r="L20" s="142" t="s">
        <v>1</v>
      </c>
      <c r="M20" s="137" t="s">
        <v>69</v>
      </c>
      <c r="N20" s="137" t="s">
        <v>69</v>
      </c>
      <c r="O20" s="137" t="s">
        <v>69</v>
      </c>
      <c r="P20" s="137" t="s">
        <v>1</v>
      </c>
      <c r="Q20" s="137" t="s">
        <v>69</v>
      </c>
      <c r="R20" s="137" t="s">
        <v>69</v>
      </c>
      <c r="S20" s="137" t="s">
        <v>69</v>
      </c>
      <c r="T20" s="137" t="s">
        <v>1</v>
      </c>
      <c r="U20" s="141" t="s">
        <v>69</v>
      </c>
    </row>
    <row r="21" spans="1:35" outlineLevel="1" x14ac:dyDescent="0.25">
      <c r="A21" s="627"/>
      <c r="B21" s="146" t="s">
        <v>0</v>
      </c>
      <c r="C21" s="137" t="s">
        <v>0</v>
      </c>
      <c r="D21" s="137" t="s">
        <v>4</v>
      </c>
      <c r="E21" s="139" t="s">
        <v>0</v>
      </c>
      <c r="F21" s="280" t="s">
        <v>0</v>
      </c>
      <c r="G21" s="137" t="s">
        <v>4</v>
      </c>
      <c r="H21" s="137" t="s">
        <v>4</v>
      </c>
      <c r="I21" s="137" t="s">
        <v>4</v>
      </c>
      <c r="J21" s="137" t="s">
        <v>0</v>
      </c>
      <c r="K21" s="142" t="s">
        <v>0</v>
      </c>
      <c r="L21" s="142" t="s">
        <v>0</v>
      </c>
      <c r="M21" s="137" t="s">
        <v>4</v>
      </c>
      <c r="N21" s="137" t="s">
        <v>0</v>
      </c>
      <c r="O21" s="137" t="s">
        <v>4</v>
      </c>
      <c r="P21" s="137" t="s">
        <v>0</v>
      </c>
      <c r="Q21" s="137" t="s">
        <v>4</v>
      </c>
      <c r="R21" s="137" t="s">
        <v>4</v>
      </c>
      <c r="S21" s="137" t="s">
        <v>4</v>
      </c>
      <c r="T21" s="137" t="s">
        <v>4</v>
      </c>
      <c r="U21" s="141" t="s">
        <v>15</v>
      </c>
    </row>
    <row r="22" spans="1:35" s="163" customFormat="1" ht="30" customHeight="1" thickBot="1" x14ac:dyDescent="0.3">
      <c r="A22" s="628"/>
      <c r="B22" s="178">
        <v>1</v>
      </c>
      <c r="C22" s="54" t="s">
        <v>544</v>
      </c>
      <c r="D22" s="161" t="s">
        <v>374</v>
      </c>
      <c r="E22" s="179" t="s">
        <v>274</v>
      </c>
      <c r="F22" s="281" t="s">
        <v>195</v>
      </c>
      <c r="G22" s="162" t="s">
        <v>9</v>
      </c>
      <c r="H22" s="162" t="s">
        <v>210</v>
      </c>
      <c r="I22" s="162" t="s">
        <v>210</v>
      </c>
      <c r="J22" s="162" t="s">
        <v>383</v>
      </c>
      <c r="K22" s="162" t="s">
        <v>379</v>
      </c>
      <c r="L22" s="55" t="s">
        <v>482</v>
      </c>
      <c r="M22" s="162" t="s">
        <v>8</v>
      </c>
      <c r="N22" s="162" t="s">
        <v>378</v>
      </c>
      <c r="O22" s="162" t="s">
        <v>8</v>
      </c>
      <c r="P22" s="161" t="s">
        <v>384</v>
      </c>
      <c r="Q22" s="162" t="s">
        <v>11</v>
      </c>
      <c r="R22" s="162" t="s">
        <v>210</v>
      </c>
      <c r="S22" s="162" t="s">
        <v>9</v>
      </c>
      <c r="T22" s="162" t="s">
        <v>8</v>
      </c>
      <c r="U22" s="177" t="s">
        <v>385</v>
      </c>
    </row>
    <row r="23" spans="1:35" ht="15.75" thickBot="1" x14ac:dyDescent="0.3">
      <c r="A23" s="2"/>
      <c r="B23" s="150" t="s">
        <v>586</v>
      </c>
      <c r="C23" s="150" t="s">
        <v>586</v>
      </c>
      <c r="D23" s="150" t="s">
        <v>586</v>
      </c>
      <c r="E23" s="150" t="s">
        <v>586</v>
      </c>
      <c r="F23" s="276" t="s">
        <v>586</v>
      </c>
      <c r="G23" s="150" t="s">
        <v>586</v>
      </c>
      <c r="H23" s="150" t="s">
        <v>586</v>
      </c>
      <c r="I23" s="150" t="s">
        <v>586</v>
      </c>
      <c r="J23" s="150" t="s">
        <v>586</v>
      </c>
      <c r="K23" s="150" t="s">
        <v>586</v>
      </c>
      <c r="L23" s="150" t="s">
        <v>586</v>
      </c>
      <c r="M23" s="150" t="s">
        <v>586</v>
      </c>
      <c r="N23" s="150" t="s">
        <v>586</v>
      </c>
      <c r="O23" s="150" t="s">
        <v>586</v>
      </c>
      <c r="P23" s="150" t="s">
        <v>586</v>
      </c>
      <c r="Q23" s="150" t="s">
        <v>586</v>
      </c>
      <c r="R23" s="150" t="s">
        <v>586</v>
      </c>
      <c r="S23" s="150" t="s">
        <v>586</v>
      </c>
      <c r="T23" s="150" t="s">
        <v>586</v>
      </c>
      <c r="U23" s="150" t="s">
        <v>586</v>
      </c>
    </row>
    <row r="24" spans="1:35" ht="100.15" customHeight="1" x14ac:dyDescent="0.25">
      <c r="A24" s="614" t="s">
        <v>359</v>
      </c>
      <c r="B24" s="147" t="s">
        <v>13</v>
      </c>
      <c r="C24" s="24" t="s">
        <v>14</v>
      </c>
      <c r="D24" s="24" t="s">
        <v>15</v>
      </c>
      <c r="E24" s="25" t="s">
        <v>16</v>
      </c>
      <c r="F24" s="282" t="s">
        <v>17</v>
      </c>
      <c r="G24" s="24" t="s">
        <v>18</v>
      </c>
      <c r="H24" s="24" t="s">
        <v>19</v>
      </c>
      <c r="I24" s="24" t="s">
        <v>20</v>
      </c>
      <c r="J24" s="24" t="s">
        <v>21</v>
      </c>
      <c r="K24" s="26" t="s">
        <v>22</v>
      </c>
      <c r="L24" s="26" t="s">
        <v>23</v>
      </c>
      <c r="M24" s="24" t="s">
        <v>24</v>
      </c>
      <c r="N24" s="24" t="s">
        <v>25</v>
      </c>
      <c r="O24" s="24" t="s">
        <v>26</v>
      </c>
      <c r="P24" s="24" t="s">
        <v>27</v>
      </c>
      <c r="Q24" s="24" t="s">
        <v>28</v>
      </c>
      <c r="R24" s="24" t="s">
        <v>29</v>
      </c>
      <c r="S24" s="24" t="s">
        <v>30</v>
      </c>
      <c r="T24" s="24" t="s">
        <v>31</v>
      </c>
      <c r="U24" s="24" t="s">
        <v>32</v>
      </c>
      <c r="V24" s="24" t="s">
        <v>33</v>
      </c>
      <c r="W24" s="24" t="s">
        <v>34</v>
      </c>
      <c r="X24" s="24" t="s">
        <v>35</v>
      </c>
      <c r="Y24" s="24" t="s">
        <v>36</v>
      </c>
      <c r="Z24" s="24" t="s">
        <v>37</v>
      </c>
      <c r="AA24" s="24" t="s">
        <v>38</v>
      </c>
      <c r="AB24" s="24" t="s">
        <v>39</v>
      </c>
      <c r="AC24" s="24" t="s">
        <v>40</v>
      </c>
      <c r="AD24" s="24" t="s">
        <v>41</v>
      </c>
      <c r="AE24" s="24" t="s">
        <v>42</v>
      </c>
      <c r="AF24" s="24" t="s">
        <v>43</v>
      </c>
      <c r="AG24" s="24" t="s">
        <v>44</v>
      </c>
      <c r="AH24" s="24" t="s">
        <v>45</v>
      </c>
      <c r="AI24" s="27" t="s">
        <v>46</v>
      </c>
    </row>
    <row r="25" spans="1:35" ht="19.899999999999999" customHeight="1" x14ac:dyDescent="0.25">
      <c r="A25" s="615"/>
      <c r="B25" s="148">
        <v>1</v>
      </c>
      <c r="C25" s="5" t="s">
        <v>47</v>
      </c>
      <c r="D25" s="4">
        <v>11</v>
      </c>
      <c r="E25" s="6" t="s">
        <v>48</v>
      </c>
      <c r="F25" s="283" t="s">
        <v>49</v>
      </c>
      <c r="G25" s="7" t="s">
        <v>50</v>
      </c>
      <c r="H25" s="7">
        <v>36</v>
      </c>
      <c r="I25" s="7">
        <v>37</v>
      </c>
      <c r="J25" s="7">
        <v>38</v>
      </c>
      <c r="K25" s="8" t="s">
        <v>51</v>
      </c>
      <c r="L25" s="8" t="s">
        <v>52</v>
      </c>
      <c r="M25" s="7">
        <v>46</v>
      </c>
      <c r="N25" s="7">
        <v>47</v>
      </c>
      <c r="O25" s="7">
        <v>48</v>
      </c>
      <c r="P25" s="7" t="s">
        <v>53</v>
      </c>
      <c r="Q25" s="7" t="s">
        <v>54</v>
      </c>
      <c r="R25" s="7" t="s">
        <v>55</v>
      </c>
      <c r="S25" s="7">
        <v>58</v>
      </c>
      <c r="T25" s="7" t="s">
        <v>56</v>
      </c>
      <c r="U25" s="7" t="s">
        <v>57</v>
      </c>
      <c r="V25" s="7" t="s">
        <v>58</v>
      </c>
      <c r="W25" s="7" t="s">
        <v>59</v>
      </c>
      <c r="X25" s="7">
        <v>79</v>
      </c>
      <c r="Y25" s="7" t="s">
        <v>60</v>
      </c>
      <c r="Z25" s="7" t="s">
        <v>61</v>
      </c>
      <c r="AA25" s="7">
        <v>95</v>
      </c>
      <c r="AB25" s="7" t="s">
        <v>62</v>
      </c>
      <c r="AC25" s="7">
        <v>102</v>
      </c>
      <c r="AD25" s="7" t="s">
        <v>63</v>
      </c>
      <c r="AE25" s="7" t="s">
        <v>64</v>
      </c>
      <c r="AF25" s="7" t="s">
        <v>65</v>
      </c>
      <c r="AG25" s="7" t="s">
        <v>66</v>
      </c>
      <c r="AH25" s="7" t="s">
        <v>67</v>
      </c>
      <c r="AI25" s="28" t="s">
        <v>68</v>
      </c>
    </row>
    <row r="26" spans="1:35" outlineLevel="1" x14ac:dyDescent="0.25">
      <c r="A26" s="615"/>
      <c r="B26" s="148">
        <v>1</v>
      </c>
      <c r="C26" s="4">
        <v>9</v>
      </c>
      <c r="D26" s="4">
        <v>1</v>
      </c>
      <c r="E26" s="9">
        <v>13</v>
      </c>
      <c r="F26" s="284">
        <v>2</v>
      </c>
      <c r="G26" s="4">
        <v>9</v>
      </c>
      <c r="H26" s="4">
        <v>1</v>
      </c>
      <c r="I26" s="4">
        <v>1</v>
      </c>
      <c r="J26" s="4">
        <v>1</v>
      </c>
      <c r="K26" s="10">
        <v>1</v>
      </c>
      <c r="L26" s="10">
        <v>6</v>
      </c>
      <c r="M26" s="4">
        <v>1</v>
      </c>
      <c r="N26" s="4">
        <v>1</v>
      </c>
      <c r="O26" s="4">
        <v>1</v>
      </c>
      <c r="P26" s="4">
        <v>2</v>
      </c>
      <c r="Q26" s="4">
        <v>3</v>
      </c>
      <c r="R26" s="4">
        <v>4</v>
      </c>
      <c r="S26" s="4">
        <v>1</v>
      </c>
      <c r="T26" s="4">
        <v>9</v>
      </c>
      <c r="U26" s="4">
        <v>6</v>
      </c>
      <c r="V26" s="4">
        <v>3</v>
      </c>
      <c r="W26" s="4">
        <v>2</v>
      </c>
      <c r="X26" s="4">
        <v>1</v>
      </c>
      <c r="Y26" s="4">
        <v>6</v>
      </c>
      <c r="Z26" s="4">
        <v>9</v>
      </c>
      <c r="AA26" s="4">
        <v>1</v>
      </c>
      <c r="AB26" s="4">
        <v>6</v>
      </c>
      <c r="AC26" s="4">
        <v>1</v>
      </c>
      <c r="AD26" s="4">
        <v>2</v>
      </c>
      <c r="AE26" s="4">
        <v>8</v>
      </c>
      <c r="AF26" s="4">
        <v>2</v>
      </c>
      <c r="AG26" s="4">
        <v>2</v>
      </c>
      <c r="AH26" s="4">
        <v>2</v>
      </c>
      <c r="AI26" s="29">
        <v>10</v>
      </c>
    </row>
    <row r="27" spans="1:35" outlineLevel="1" x14ac:dyDescent="0.25">
      <c r="A27" s="615"/>
      <c r="B27" s="148" t="s">
        <v>1</v>
      </c>
      <c r="C27" s="4" t="s">
        <v>1</v>
      </c>
      <c r="D27" s="4" t="s">
        <v>69</v>
      </c>
      <c r="E27" s="9" t="s">
        <v>69</v>
      </c>
      <c r="F27" s="284" t="s">
        <v>1</v>
      </c>
      <c r="G27" s="4" t="s">
        <v>1</v>
      </c>
      <c r="H27" s="4" t="s">
        <v>69</v>
      </c>
      <c r="I27" s="4" t="s">
        <v>69</v>
      </c>
      <c r="J27" s="4" t="s">
        <v>69</v>
      </c>
      <c r="K27" s="11" t="s">
        <v>1</v>
      </c>
      <c r="L27" s="12" t="s">
        <v>1</v>
      </c>
      <c r="M27" s="13" t="s">
        <v>69</v>
      </c>
      <c r="N27" s="4" t="s">
        <v>69</v>
      </c>
      <c r="O27" s="4" t="s">
        <v>69</v>
      </c>
      <c r="P27" s="13" t="s">
        <v>1</v>
      </c>
      <c r="Q27" s="13" t="s">
        <v>1</v>
      </c>
      <c r="R27" s="13" t="s">
        <v>1</v>
      </c>
      <c r="S27" s="4" t="s">
        <v>1</v>
      </c>
      <c r="T27" s="13" t="s">
        <v>1</v>
      </c>
      <c r="U27" s="4" t="s">
        <v>1</v>
      </c>
      <c r="V27" s="4" t="s">
        <v>69</v>
      </c>
      <c r="W27" s="13" t="s">
        <v>1</v>
      </c>
      <c r="X27" s="4" t="s">
        <v>69</v>
      </c>
      <c r="Y27" s="4" t="s">
        <v>1</v>
      </c>
      <c r="Z27" s="13" t="s">
        <v>1</v>
      </c>
      <c r="AA27" s="4" t="s">
        <v>69</v>
      </c>
      <c r="AB27" s="4" t="s">
        <v>1</v>
      </c>
      <c r="AC27" s="4" t="s">
        <v>1</v>
      </c>
      <c r="AD27" s="4" t="s">
        <v>69</v>
      </c>
      <c r="AE27" s="4" t="s">
        <v>69</v>
      </c>
      <c r="AF27" s="4" t="s">
        <v>1</v>
      </c>
      <c r="AG27" s="4" t="s">
        <v>1</v>
      </c>
      <c r="AH27" s="4" t="s">
        <v>1</v>
      </c>
      <c r="AI27" s="29" t="s">
        <v>69</v>
      </c>
    </row>
    <row r="28" spans="1:35" outlineLevel="1" x14ac:dyDescent="0.25">
      <c r="A28" s="615"/>
      <c r="B28" s="148" t="s">
        <v>0</v>
      </c>
      <c r="C28" s="4" t="s">
        <v>0</v>
      </c>
      <c r="D28" s="4" t="s">
        <v>4</v>
      </c>
      <c r="E28" s="9" t="s">
        <v>0</v>
      </c>
      <c r="F28" s="284" t="s">
        <v>0</v>
      </c>
      <c r="G28" s="4" t="s">
        <v>0</v>
      </c>
      <c r="H28" s="4" t="s">
        <v>4</v>
      </c>
      <c r="I28" s="4" t="s">
        <v>4</v>
      </c>
      <c r="J28" s="4" t="s">
        <v>4</v>
      </c>
      <c r="K28" s="12" t="s">
        <v>0</v>
      </c>
      <c r="L28" s="12" t="s">
        <v>0</v>
      </c>
      <c r="M28" s="4" t="s">
        <v>4</v>
      </c>
      <c r="N28" s="4" t="s">
        <v>4</v>
      </c>
      <c r="O28" s="4" t="s">
        <v>4</v>
      </c>
      <c r="P28" s="4" t="s">
        <v>0</v>
      </c>
      <c r="Q28" s="4" t="s">
        <v>0</v>
      </c>
      <c r="R28" s="4" t="s">
        <v>0</v>
      </c>
      <c r="S28" s="4" t="s">
        <v>0</v>
      </c>
      <c r="T28" s="4" t="s">
        <v>0</v>
      </c>
      <c r="U28" s="4" t="s">
        <v>0</v>
      </c>
      <c r="V28" s="4" t="s">
        <v>4</v>
      </c>
      <c r="W28" s="4" t="s">
        <v>4</v>
      </c>
      <c r="X28" s="4" t="s">
        <v>0</v>
      </c>
      <c r="Y28" s="4" t="s">
        <v>4</v>
      </c>
      <c r="Z28" s="4" t="s">
        <v>4</v>
      </c>
      <c r="AA28" s="4" t="s">
        <v>0</v>
      </c>
      <c r="AB28" s="4" t="s">
        <v>0</v>
      </c>
      <c r="AC28" s="4" t="s">
        <v>4</v>
      </c>
      <c r="AD28" s="4" t="s">
        <v>4</v>
      </c>
      <c r="AE28" s="4" t="s">
        <v>4</v>
      </c>
      <c r="AF28" s="4" t="s">
        <v>4</v>
      </c>
      <c r="AG28" s="4" t="s">
        <v>4</v>
      </c>
      <c r="AH28" s="4" t="s">
        <v>4</v>
      </c>
      <c r="AI28" s="29" t="s">
        <v>4</v>
      </c>
    </row>
    <row r="29" spans="1:35" s="76" customFormat="1" ht="30" customHeight="1" thickBot="1" x14ac:dyDescent="0.3">
      <c r="A29" s="616"/>
      <c r="B29" s="149">
        <v>2</v>
      </c>
      <c r="C29" s="54" t="s">
        <v>544</v>
      </c>
      <c r="D29" s="55" t="s">
        <v>8</v>
      </c>
      <c r="E29" s="55" t="s">
        <v>198</v>
      </c>
      <c r="F29" s="270">
        <v>77</v>
      </c>
      <c r="G29" s="55">
        <v>250000001</v>
      </c>
      <c r="H29" s="193" t="s">
        <v>69</v>
      </c>
      <c r="I29" s="79" t="s">
        <v>8</v>
      </c>
      <c r="J29" s="80" t="s">
        <v>8</v>
      </c>
      <c r="K29" s="81" t="s">
        <v>200</v>
      </c>
      <c r="L29" s="55" t="s">
        <v>482</v>
      </c>
      <c r="M29" s="54" t="s">
        <v>8</v>
      </c>
      <c r="N29" s="54" t="s">
        <v>8</v>
      </c>
      <c r="O29" s="54" t="s">
        <v>8</v>
      </c>
      <c r="P29" s="55" t="s">
        <v>202</v>
      </c>
      <c r="Q29" s="55" t="s">
        <v>274</v>
      </c>
      <c r="R29" s="55" t="s">
        <v>203</v>
      </c>
      <c r="S29" s="55" t="s">
        <v>204</v>
      </c>
      <c r="T29" s="55" t="s">
        <v>546</v>
      </c>
      <c r="U29" s="55" t="s">
        <v>269</v>
      </c>
      <c r="V29" s="79" t="s">
        <v>9</v>
      </c>
      <c r="W29" s="54" t="s">
        <v>587</v>
      </c>
      <c r="X29" s="199" t="s">
        <v>206</v>
      </c>
      <c r="Y29" s="55" t="s">
        <v>208</v>
      </c>
      <c r="Z29" s="55" t="s">
        <v>209</v>
      </c>
      <c r="AA29" s="55" t="s">
        <v>8</v>
      </c>
      <c r="AB29" s="55" t="s">
        <v>491</v>
      </c>
      <c r="AC29" s="55">
        <v>1</v>
      </c>
      <c r="AD29" s="79" t="s">
        <v>210</v>
      </c>
      <c r="AE29" s="79" t="s">
        <v>211</v>
      </c>
      <c r="AF29" s="55" t="s">
        <v>202</v>
      </c>
      <c r="AG29" s="54" t="s">
        <v>207</v>
      </c>
      <c r="AH29" s="54" t="s">
        <v>5</v>
      </c>
      <c r="AI29" s="82" t="s">
        <v>380</v>
      </c>
    </row>
    <row r="30" spans="1:35" s="75" customFormat="1" ht="15.75" thickBot="1" x14ac:dyDescent="0.3">
      <c r="B30" s="150" t="s">
        <v>586</v>
      </c>
      <c r="C30" s="75" t="s">
        <v>586</v>
      </c>
      <c r="D30" s="75" t="s">
        <v>586</v>
      </c>
      <c r="E30" s="75" t="s">
        <v>586</v>
      </c>
      <c r="F30" s="276" t="s">
        <v>586</v>
      </c>
      <c r="G30" s="75" t="s">
        <v>586</v>
      </c>
      <c r="H30" s="75" t="s">
        <v>586</v>
      </c>
      <c r="I30" s="75" t="s">
        <v>586</v>
      </c>
      <c r="J30" s="75" t="s">
        <v>586</v>
      </c>
      <c r="K30" s="75" t="s">
        <v>586</v>
      </c>
      <c r="L30" s="75" t="s">
        <v>586</v>
      </c>
      <c r="M30" s="75" t="s">
        <v>586</v>
      </c>
      <c r="N30" s="75" t="s">
        <v>586</v>
      </c>
      <c r="O30" s="75" t="s">
        <v>586</v>
      </c>
      <c r="P30" s="75" t="s">
        <v>586</v>
      </c>
      <c r="Q30" s="75" t="s">
        <v>586</v>
      </c>
      <c r="R30" s="75" t="s">
        <v>586</v>
      </c>
      <c r="S30" s="75" t="s">
        <v>586</v>
      </c>
      <c r="T30" s="75" t="s">
        <v>586</v>
      </c>
      <c r="U30" s="75" t="s">
        <v>586</v>
      </c>
      <c r="V30" s="75" t="s">
        <v>586</v>
      </c>
      <c r="W30" s="75" t="s">
        <v>586</v>
      </c>
      <c r="X30" s="75" t="s">
        <v>586</v>
      </c>
      <c r="Y30" s="75" t="s">
        <v>586</v>
      </c>
      <c r="Z30" s="75" t="s">
        <v>586</v>
      </c>
      <c r="AA30" s="75" t="s">
        <v>586</v>
      </c>
      <c r="AB30" s="75" t="s">
        <v>586</v>
      </c>
      <c r="AC30" s="75" t="s">
        <v>586</v>
      </c>
      <c r="AD30" s="75" t="s">
        <v>586</v>
      </c>
      <c r="AE30" s="75" t="s">
        <v>586</v>
      </c>
      <c r="AF30" s="75" t="s">
        <v>586</v>
      </c>
      <c r="AG30" s="75" t="s">
        <v>586</v>
      </c>
      <c r="AH30" s="75" t="s">
        <v>586</v>
      </c>
      <c r="AI30" s="75" t="s">
        <v>586</v>
      </c>
    </row>
    <row r="31" spans="1:35" s="75" customFormat="1" ht="100.15" customHeight="1" x14ac:dyDescent="0.25">
      <c r="A31" s="617" t="s">
        <v>447</v>
      </c>
      <c r="B31" s="238" t="s">
        <v>13</v>
      </c>
      <c r="C31" s="239" t="s">
        <v>14</v>
      </c>
      <c r="D31" s="239" t="s">
        <v>15</v>
      </c>
      <c r="E31" s="240" t="s">
        <v>16</v>
      </c>
      <c r="F31" s="285" t="s">
        <v>17</v>
      </c>
      <c r="G31" s="239" t="s">
        <v>70</v>
      </c>
      <c r="H31" s="239" t="s">
        <v>71</v>
      </c>
      <c r="I31" s="239" t="s">
        <v>429</v>
      </c>
      <c r="J31" s="241" t="s">
        <v>430</v>
      </c>
      <c r="K31" s="252" t="s">
        <v>15</v>
      </c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</row>
    <row r="32" spans="1:35" ht="19.899999999999999" customHeight="1" x14ac:dyDescent="0.25">
      <c r="A32" s="618"/>
      <c r="B32" s="242">
        <v>1</v>
      </c>
      <c r="C32" s="243" t="s">
        <v>47</v>
      </c>
      <c r="D32" s="244">
        <v>11</v>
      </c>
      <c r="E32" s="245" t="s">
        <v>48</v>
      </c>
      <c r="F32" s="286" t="s">
        <v>49</v>
      </c>
      <c r="G32" s="246" t="s">
        <v>50</v>
      </c>
      <c r="H32" s="246">
        <v>36</v>
      </c>
      <c r="I32" s="247" t="s">
        <v>443</v>
      </c>
      <c r="J32" s="248" t="s">
        <v>444</v>
      </c>
      <c r="K32" s="253" t="s">
        <v>445</v>
      </c>
    </row>
    <row r="33" spans="1:35" ht="16.149999999999999" customHeight="1" outlineLevel="1" x14ac:dyDescent="0.25">
      <c r="A33" s="618"/>
      <c r="B33" s="242">
        <v>1</v>
      </c>
      <c r="C33" s="244">
        <v>9</v>
      </c>
      <c r="D33" s="244">
        <v>1</v>
      </c>
      <c r="E33" s="249">
        <v>13</v>
      </c>
      <c r="F33" s="287">
        <v>2</v>
      </c>
      <c r="G33" s="244">
        <v>9</v>
      </c>
      <c r="H33" s="244">
        <v>1</v>
      </c>
      <c r="I33" s="244">
        <v>11</v>
      </c>
      <c r="J33" s="250">
        <v>14</v>
      </c>
      <c r="K33" s="254">
        <v>67</v>
      </c>
    </row>
    <row r="34" spans="1:35" ht="20.45" customHeight="1" outlineLevel="1" x14ac:dyDescent="0.25">
      <c r="A34" s="618"/>
      <c r="B34" s="242" t="s">
        <v>1</v>
      </c>
      <c r="C34" s="244" t="s">
        <v>1</v>
      </c>
      <c r="D34" s="244" t="s">
        <v>69</v>
      </c>
      <c r="E34" s="249" t="s">
        <v>69</v>
      </c>
      <c r="F34" s="287" t="s">
        <v>1</v>
      </c>
      <c r="G34" s="244" t="s">
        <v>1</v>
      </c>
      <c r="H34" s="244" t="s">
        <v>69</v>
      </c>
      <c r="I34" s="244" t="s">
        <v>1</v>
      </c>
      <c r="J34" s="251" t="s">
        <v>1</v>
      </c>
      <c r="K34" s="255" t="s">
        <v>69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5" ht="15.6" customHeight="1" outlineLevel="1" x14ac:dyDescent="0.25">
      <c r="A35" s="618"/>
      <c r="B35" s="242" t="s">
        <v>0</v>
      </c>
      <c r="C35" s="244" t="s">
        <v>0</v>
      </c>
      <c r="D35" s="244" t="s">
        <v>4</v>
      </c>
      <c r="E35" s="249" t="s">
        <v>0</v>
      </c>
      <c r="F35" s="287" t="s">
        <v>0</v>
      </c>
      <c r="G35" s="244" t="s">
        <v>0</v>
      </c>
      <c r="H35" s="244" t="s">
        <v>4</v>
      </c>
      <c r="I35" s="244" t="s">
        <v>4</v>
      </c>
      <c r="J35" s="251" t="s">
        <v>4</v>
      </c>
      <c r="K35" s="255" t="s">
        <v>4</v>
      </c>
    </row>
    <row r="36" spans="1:35" ht="30" customHeight="1" thickBot="1" x14ac:dyDescent="0.3">
      <c r="A36" s="619"/>
      <c r="B36" s="256" t="s">
        <v>204</v>
      </c>
      <c r="C36" s="54" t="s">
        <v>544</v>
      </c>
      <c r="D36" s="55" t="s">
        <v>8</v>
      </c>
      <c r="E36" s="54" t="s">
        <v>198</v>
      </c>
      <c r="F36" s="288">
        <v>77</v>
      </c>
      <c r="G36" s="54">
        <v>250000001</v>
      </c>
      <c r="H36" s="193" t="s">
        <v>431</v>
      </c>
      <c r="I36" s="33" t="s">
        <v>588</v>
      </c>
      <c r="J36" s="193" t="s">
        <v>432</v>
      </c>
      <c r="K36" s="226" t="s">
        <v>446</v>
      </c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 t="s">
        <v>589</v>
      </c>
      <c r="AH36" s="76"/>
      <c r="AI36" s="76"/>
    </row>
    <row r="37" spans="1:35" s="75" customFormat="1" ht="15.75" thickBot="1" x14ac:dyDescent="0.3">
      <c r="A37" s="503"/>
      <c r="B37" s="150"/>
      <c r="F37" s="276"/>
    </row>
    <row r="38" spans="1:35" s="75" customFormat="1" ht="100.15" customHeight="1" x14ac:dyDescent="0.25">
      <c r="A38" s="620" t="s">
        <v>394</v>
      </c>
      <c r="B38" s="151" t="s">
        <v>13</v>
      </c>
      <c r="C38" s="40" t="s">
        <v>14</v>
      </c>
      <c r="D38" s="40" t="s">
        <v>15</v>
      </c>
      <c r="E38" s="41" t="s">
        <v>16</v>
      </c>
      <c r="F38" s="289" t="s">
        <v>17</v>
      </c>
      <c r="G38" s="40" t="s">
        <v>70</v>
      </c>
      <c r="H38" s="40" t="s">
        <v>71</v>
      </c>
      <c r="I38" s="40" t="s">
        <v>72</v>
      </c>
      <c r="J38" s="40" t="s">
        <v>2</v>
      </c>
      <c r="K38" s="40" t="s">
        <v>73</v>
      </c>
      <c r="L38" s="42" t="s">
        <v>466</v>
      </c>
      <c r="M38" s="42" t="s">
        <v>75</v>
      </c>
      <c r="N38" s="40" t="s">
        <v>76</v>
      </c>
      <c r="O38" s="40" t="s">
        <v>77</v>
      </c>
      <c r="P38" s="40" t="s">
        <v>467</v>
      </c>
      <c r="Q38" s="499" t="s">
        <v>913</v>
      </c>
      <c r="R38" s="40" t="s">
        <v>80</v>
      </c>
      <c r="S38" s="40" t="s">
        <v>81</v>
      </c>
      <c r="T38" s="40" t="s">
        <v>82</v>
      </c>
      <c r="U38" s="40" t="s">
        <v>83</v>
      </c>
      <c r="V38" s="40" t="s">
        <v>84</v>
      </c>
      <c r="W38" s="40" t="s">
        <v>3</v>
      </c>
      <c r="X38" s="40" t="s">
        <v>85</v>
      </c>
      <c r="Y38" s="40" t="s">
        <v>86</v>
      </c>
      <c r="Z38" s="40" t="s">
        <v>87</v>
      </c>
      <c r="AA38" s="40" t="s">
        <v>88</v>
      </c>
      <c r="AB38" s="40" t="s">
        <v>89</v>
      </c>
      <c r="AC38" s="40" t="s">
        <v>90</v>
      </c>
      <c r="AD38" s="40" t="s">
        <v>91</v>
      </c>
      <c r="AE38" s="40" t="s">
        <v>92</v>
      </c>
      <c r="AF38" s="43" t="s">
        <v>93</v>
      </c>
      <c r="AG38" s="77"/>
      <c r="AH38" s="77"/>
      <c r="AI38" s="77"/>
    </row>
    <row r="39" spans="1:35" s="75" customFormat="1" ht="19.899999999999999" customHeight="1" x14ac:dyDescent="0.25">
      <c r="A39" s="615"/>
      <c r="B39" s="152">
        <v>1</v>
      </c>
      <c r="C39" s="44" t="s">
        <v>47</v>
      </c>
      <c r="D39" s="45">
        <v>11</v>
      </c>
      <c r="E39" s="46" t="s">
        <v>48</v>
      </c>
      <c r="F39" s="290" t="s">
        <v>49</v>
      </c>
      <c r="G39" s="47" t="s">
        <v>50</v>
      </c>
      <c r="H39" s="47">
        <v>36</v>
      </c>
      <c r="I39" s="47" t="s">
        <v>94</v>
      </c>
      <c r="J39" s="47" t="s">
        <v>95</v>
      </c>
      <c r="K39" s="47" t="s">
        <v>96</v>
      </c>
      <c r="L39" s="48" t="s">
        <v>97</v>
      </c>
      <c r="M39" s="48" t="s">
        <v>98</v>
      </c>
      <c r="N39" s="47" t="s">
        <v>99</v>
      </c>
      <c r="O39" s="47">
        <v>53</v>
      </c>
      <c r="P39" s="47">
        <v>54</v>
      </c>
      <c r="Q39" s="47" t="s">
        <v>913</v>
      </c>
      <c r="R39" s="47" t="s">
        <v>100</v>
      </c>
      <c r="S39" s="47" t="s">
        <v>101</v>
      </c>
      <c r="T39" s="47" t="s">
        <v>57</v>
      </c>
      <c r="U39" s="47" t="s">
        <v>102</v>
      </c>
      <c r="V39" s="47" t="s">
        <v>103</v>
      </c>
      <c r="W39" s="47" t="s">
        <v>104</v>
      </c>
      <c r="X39" s="47" t="s">
        <v>105</v>
      </c>
      <c r="Y39" s="47" t="s">
        <v>106</v>
      </c>
      <c r="Z39" s="47" t="s">
        <v>107</v>
      </c>
      <c r="AA39" s="47" t="s">
        <v>108</v>
      </c>
      <c r="AB39" s="45" t="s">
        <v>109</v>
      </c>
      <c r="AC39" s="47" t="s">
        <v>110</v>
      </c>
      <c r="AD39" s="45">
        <v>120</v>
      </c>
      <c r="AE39" s="45">
        <v>121</v>
      </c>
      <c r="AF39" s="49" t="s">
        <v>111</v>
      </c>
      <c r="AG39" s="77"/>
      <c r="AH39" s="77"/>
      <c r="AI39" s="77"/>
    </row>
    <row r="40" spans="1:35" s="75" customFormat="1" outlineLevel="1" x14ac:dyDescent="0.25">
      <c r="A40" s="615"/>
      <c r="B40" s="152">
        <v>1</v>
      </c>
      <c r="C40" s="45">
        <v>9</v>
      </c>
      <c r="D40" s="45">
        <v>1</v>
      </c>
      <c r="E40" s="50">
        <v>13</v>
      </c>
      <c r="F40" s="291">
        <v>2</v>
      </c>
      <c r="G40" s="45">
        <v>9</v>
      </c>
      <c r="H40" s="45">
        <v>1</v>
      </c>
      <c r="I40" s="45">
        <v>2</v>
      </c>
      <c r="J40" s="45">
        <v>2</v>
      </c>
      <c r="K40" s="45">
        <v>3</v>
      </c>
      <c r="L40" s="51">
        <v>6</v>
      </c>
      <c r="M40" s="51">
        <v>1</v>
      </c>
      <c r="N40" s="45">
        <v>2</v>
      </c>
      <c r="O40" s="45">
        <v>1</v>
      </c>
      <c r="P40" s="45">
        <v>1</v>
      </c>
      <c r="Q40" s="45">
        <v>9</v>
      </c>
      <c r="R40" s="45">
        <v>2</v>
      </c>
      <c r="S40" s="45">
        <v>2</v>
      </c>
      <c r="T40" s="45">
        <v>6</v>
      </c>
      <c r="U40" s="45">
        <v>5</v>
      </c>
      <c r="V40" s="45">
        <v>2</v>
      </c>
      <c r="W40" s="45">
        <v>6</v>
      </c>
      <c r="X40" s="45">
        <v>2</v>
      </c>
      <c r="Y40" s="45">
        <v>7</v>
      </c>
      <c r="Z40" s="45">
        <v>7</v>
      </c>
      <c r="AA40" s="45">
        <v>3</v>
      </c>
      <c r="AB40" s="45">
        <v>7</v>
      </c>
      <c r="AC40" s="45">
        <v>7</v>
      </c>
      <c r="AD40" s="45">
        <v>1</v>
      </c>
      <c r="AE40" s="45">
        <v>1</v>
      </c>
      <c r="AF40" s="49">
        <v>7</v>
      </c>
      <c r="AG40" s="77"/>
      <c r="AH40" s="77"/>
      <c r="AI40" s="77"/>
    </row>
    <row r="41" spans="1:35" s="75" customFormat="1" outlineLevel="1" x14ac:dyDescent="0.25">
      <c r="A41" s="615"/>
      <c r="B41" s="152" t="s">
        <v>1</v>
      </c>
      <c r="C41" s="45" t="s">
        <v>1</v>
      </c>
      <c r="D41" s="45" t="s">
        <v>69</v>
      </c>
      <c r="E41" s="50" t="s">
        <v>69</v>
      </c>
      <c r="F41" s="291" t="s">
        <v>1</v>
      </c>
      <c r="G41" s="45" t="s">
        <v>1</v>
      </c>
      <c r="H41" s="45" t="s">
        <v>69</v>
      </c>
      <c r="I41" s="45" t="s">
        <v>1</v>
      </c>
      <c r="J41" s="45" t="s">
        <v>1</v>
      </c>
      <c r="K41" s="45" t="s">
        <v>1</v>
      </c>
      <c r="L41" s="52" t="s">
        <v>1</v>
      </c>
      <c r="M41" s="52" t="s">
        <v>1</v>
      </c>
      <c r="N41" s="45" t="s">
        <v>69</v>
      </c>
      <c r="O41" s="45" t="s">
        <v>69</v>
      </c>
      <c r="P41" s="53" t="s">
        <v>69</v>
      </c>
      <c r="Q41" s="45" t="s">
        <v>1</v>
      </c>
      <c r="R41" s="45" t="s">
        <v>1</v>
      </c>
      <c r="S41" s="45" t="s">
        <v>1</v>
      </c>
      <c r="T41" s="45" t="s">
        <v>1</v>
      </c>
      <c r="U41" s="45" t="s">
        <v>69</v>
      </c>
      <c r="V41" s="45" t="s">
        <v>1</v>
      </c>
      <c r="W41" s="45" t="s">
        <v>1</v>
      </c>
      <c r="X41" s="45" t="s">
        <v>1</v>
      </c>
      <c r="Y41" s="45" t="s">
        <v>1</v>
      </c>
      <c r="Z41" s="45" t="s">
        <v>1</v>
      </c>
      <c r="AA41" s="45" t="s">
        <v>1</v>
      </c>
      <c r="AB41" s="45" t="s">
        <v>1</v>
      </c>
      <c r="AC41" s="45" t="s">
        <v>1</v>
      </c>
      <c r="AD41" s="45" t="s">
        <v>69</v>
      </c>
      <c r="AE41" s="45" t="s">
        <v>1</v>
      </c>
      <c r="AF41" s="49" t="s">
        <v>1</v>
      </c>
      <c r="AG41" s="2"/>
      <c r="AH41" s="77"/>
      <c r="AI41" s="77"/>
    </row>
    <row r="42" spans="1:35" s="75" customFormat="1" outlineLevel="1" x14ac:dyDescent="0.25">
      <c r="A42" s="615"/>
      <c r="B42" s="152" t="s">
        <v>0</v>
      </c>
      <c r="C42" s="45" t="s">
        <v>0</v>
      </c>
      <c r="D42" s="45" t="s">
        <v>4</v>
      </c>
      <c r="E42" s="50" t="s">
        <v>0</v>
      </c>
      <c r="F42" s="291" t="s">
        <v>0</v>
      </c>
      <c r="G42" s="45" t="s">
        <v>0</v>
      </c>
      <c r="H42" s="45" t="s">
        <v>4</v>
      </c>
      <c r="I42" s="45" t="s">
        <v>4</v>
      </c>
      <c r="J42" s="45" t="s">
        <v>4</v>
      </c>
      <c r="K42" s="45" t="s">
        <v>4</v>
      </c>
      <c r="L42" s="52" t="s">
        <v>4</v>
      </c>
      <c r="M42" s="52" t="s">
        <v>0</v>
      </c>
      <c r="N42" s="45" t="s">
        <v>4</v>
      </c>
      <c r="O42" s="45" t="s">
        <v>4</v>
      </c>
      <c r="P42" s="45" t="s">
        <v>4</v>
      </c>
      <c r="Q42" s="45" t="s">
        <v>4</v>
      </c>
      <c r="R42" s="45" t="s">
        <v>4</v>
      </c>
      <c r="S42" s="45" t="s">
        <v>112</v>
      </c>
      <c r="T42" s="45" t="s">
        <v>0</v>
      </c>
      <c r="U42" s="45" t="s">
        <v>0</v>
      </c>
      <c r="V42" s="45" t="s">
        <v>0</v>
      </c>
      <c r="W42" s="45" t="s">
        <v>0</v>
      </c>
      <c r="X42" s="45" t="s">
        <v>0</v>
      </c>
      <c r="Y42" s="45" t="s">
        <v>0</v>
      </c>
      <c r="Z42" s="45" t="s">
        <v>0</v>
      </c>
      <c r="AA42" s="45" t="s">
        <v>0</v>
      </c>
      <c r="AB42" s="45" t="s">
        <v>0</v>
      </c>
      <c r="AC42" s="45" t="s">
        <v>0</v>
      </c>
      <c r="AD42" s="45" t="s">
        <v>4</v>
      </c>
      <c r="AE42" s="45" t="s">
        <v>4</v>
      </c>
      <c r="AF42" s="49" t="s">
        <v>4</v>
      </c>
      <c r="AG42" s="77"/>
      <c r="AH42" s="77"/>
      <c r="AI42" s="77"/>
    </row>
    <row r="43" spans="1:35" s="75" customFormat="1" ht="30" customHeight="1" thickBot="1" x14ac:dyDescent="0.3">
      <c r="A43" s="616"/>
      <c r="B43" s="149" t="s">
        <v>10</v>
      </c>
      <c r="C43" s="54" t="s">
        <v>544</v>
      </c>
      <c r="D43" s="55" t="s">
        <v>8</v>
      </c>
      <c r="E43" s="54" t="s">
        <v>198</v>
      </c>
      <c r="F43" s="288">
        <v>77</v>
      </c>
      <c r="G43" s="54">
        <v>250000001</v>
      </c>
      <c r="H43" s="55" t="s">
        <v>69</v>
      </c>
      <c r="I43" s="193" t="s">
        <v>5</v>
      </c>
      <c r="J43" s="55" t="s">
        <v>5</v>
      </c>
      <c r="K43" s="55" t="s">
        <v>6</v>
      </c>
      <c r="L43" s="55" t="s">
        <v>208</v>
      </c>
      <c r="M43" s="193" t="s">
        <v>397</v>
      </c>
      <c r="N43" s="55" t="s">
        <v>210</v>
      </c>
      <c r="O43" s="55" t="s">
        <v>8</v>
      </c>
      <c r="P43" s="55" t="s">
        <v>8</v>
      </c>
      <c r="Q43" s="54" t="s">
        <v>544</v>
      </c>
      <c r="R43" s="55" t="s">
        <v>5</v>
      </c>
      <c r="S43" s="55" t="s">
        <v>5</v>
      </c>
      <c r="T43" s="193" t="s">
        <v>581</v>
      </c>
      <c r="U43" s="228" t="s">
        <v>242</v>
      </c>
      <c r="V43" s="193" t="s">
        <v>202</v>
      </c>
      <c r="W43" s="33" t="s">
        <v>590</v>
      </c>
      <c r="X43" s="33" t="s">
        <v>649</v>
      </c>
      <c r="Y43" s="194" t="s">
        <v>650</v>
      </c>
      <c r="Z43" s="194" t="s">
        <v>650</v>
      </c>
      <c r="AA43" s="194" t="s">
        <v>592</v>
      </c>
      <c r="AB43" s="194" t="s">
        <v>651</v>
      </c>
      <c r="AC43" s="194" t="s">
        <v>650</v>
      </c>
      <c r="AD43" s="193" t="s">
        <v>8</v>
      </c>
      <c r="AE43" s="193" t="s">
        <v>200</v>
      </c>
      <c r="AF43" s="195" t="s">
        <v>212</v>
      </c>
      <c r="AG43" s="188" t="s">
        <v>589</v>
      </c>
      <c r="AH43" s="76"/>
      <c r="AI43" s="76"/>
    </row>
    <row r="44" spans="1:35" s="75" customFormat="1" ht="15.75" thickBot="1" x14ac:dyDescent="0.3">
      <c r="B44" s="150" t="s">
        <v>586</v>
      </c>
      <c r="C44" s="75" t="s">
        <v>586</v>
      </c>
      <c r="D44" s="75" t="s">
        <v>586</v>
      </c>
      <c r="E44" s="75" t="s">
        <v>586</v>
      </c>
      <c r="F44" s="276" t="s">
        <v>586</v>
      </c>
      <c r="G44" s="75" t="s">
        <v>586</v>
      </c>
      <c r="H44" s="75" t="s">
        <v>586</v>
      </c>
      <c r="I44" s="75" t="s">
        <v>586</v>
      </c>
      <c r="J44" s="75" t="s">
        <v>586</v>
      </c>
      <c r="K44" s="75" t="s">
        <v>586</v>
      </c>
      <c r="L44" s="75" t="s">
        <v>586</v>
      </c>
      <c r="M44" s="75" t="s">
        <v>586</v>
      </c>
      <c r="N44" s="75" t="s">
        <v>586</v>
      </c>
      <c r="O44" s="75" t="s">
        <v>586</v>
      </c>
      <c r="P44" s="75" t="s">
        <v>586</v>
      </c>
      <c r="Q44" s="75" t="s">
        <v>586</v>
      </c>
      <c r="R44" s="75" t="s">
        <v>586</v>
      </c>
      <c r="S44" s="75" t="s">
        <v>586</v>
      </c>
      <c r="T44" s="75" t="s">
        <v>586</v>
      </c>
      <c r="U44" s="75" t="s">
        <v>586</v>
      </c>
      <c r="V44" s="75" t="s">
        <v>586</v>
      </c>
      <c r="W44" s="75" t="s">
        <v>586</v>
      </c>
      <c r="X44" s="75" t="s">
        <v>586</v>
      </c>
      <c r="Y44" s="75" t="s">
        <v>586</v>
      </c>
      <c r="Z44" s="75" t="s">
        <v>586</v>
      </c>
      <c r="AA44" s="75" t="s">
        <v>586</v>
      </c>
      <c r="AB44" s="75" t="s">
        <v>586</v>
      </c>
      <c r="AC44" s="75" t="s">
        <v>586</v>
      </c>
      <c r="AD44" s="75" t="s">
        <v>586</v>
      </c>
      <c r="AE44" s="75" t="s">
        <v>586</v>
      </c>
      <c r="AF44" s="75" t="s">
        <v>586</v>
      </c>
    </row>
    <row r="45" spans="1:35" ht="100.15" customHeight="1" x14ac:dyDescent="0.25">
      <c r="A45" s="621" t="s">
        <v>190</v>
      </c>
      <c r="B45" s="153" t="s">
        <v>13</v>
      </c>
      <c r="C45" s="17" t="s">
        <v>14</v>
      </c>
      <c r="D45" s="17" t="s">
        <v>15</v>
      </c>
      <c r="E45" s="18" t="s">
        <v>16</v>
      </c>
      <c r="F45" s="292" t="s">
        <v>17</v>
      </c>
      <c r="G45" s="17" t="s">
        <v>70</v>
      </c>
      <c r="H45" s="17" t="s">
        <v>113</v>
      </c>
      <c r="I45" s="17" t="s">
        <v>72</v>
      </c>
      <c r="J45" s="17" t="s">
        <v>114</v>
      </c>
      <c r="K45" s="17" t="s">
        <v>115</v>
      </c>
      <c r="L45" s="17" t="s">
        <v>116</v>
      </c>
      <c r="M45" s="17" t="s">
        <v>117</v>
      </c>
      <c r="N45" s="17" t="s">
        <v>114</v>
      </c>
      <c r="O45" s="17" t="s">
        <v>118</v>
      </c>
      <c r="P45" s="17" t="s">
        <v>119</v>
      </c>
      <c r="Q45" s="17" t="s">
        <v>120</v>
      </c>
      <c r="R45" s="17" t="s">
        <v>121</v>
      </c>
      <c r="S45" s="17" t="s">
        <v>122</v>
      </c>
      <c r="T45" s="17" t="s">
        <v>123</v>
      </c>
      <c r="U45" s="17" t="s">
        <v>124</v>
      </c>
      <c r="V45" s="17" t="s">
        <v>125</v>
      </c>
      <c r="W45" s="17" t="s">
        <v>126</v>
      </c>
      <c r="X45" s="17" t="s">
        <v>125</v>
      </c>
      <c r="Y45" s="17" t="s">
        <v>127</v>
      </c>
      <c r="Z45" s="17" t="s">
        <v>125</v>
      </c>
      <c r="AA45" s="17" t="s">
        <v>128</v>
      </c>
      <c r="AB45" s="17" t="s">
        <v>7</v>
      </c>
      <c r="AC45" s="17" t="s">
        <v>129</v>
      </c>
      <c r="AD45" s="17" t="s">
        <v>130</v>
      </c>
      <c r="AE45" s="17" t="s">
        <v>129</v>
      </c>
      <c r="AF45" s="17" t="s">
        <v>131</v>
      </c>
      <c r="AG45" s="17" t="s">
        <v>132</v>
      </c>
      <c r="AH45" s="19" t="s">
        <v>114</v>
      </c>
    </row>
    <row r="46" spans="1:35" ht="19.899999999999999" customHeight="1" x14ac:dyDescent="0.25">
      <c r="A46" s="615"/>
      <c r="B46" s="154">
        <v>1</v>
      </c>
      <c r="C46" s="83" t="s">
        <v>47</v>
      </c>
      <c r="D46" s="14" t="s">
        <v>133</v>
      </c>
      <c r="E46" s="84" t="s">
        <v>48</v>
      </c>
      <c r="F46" s="293" t="s">
        <v>49</v>
      </c>
      <c r="G46" s="14" t="s">
        <v>50</v>
      </c>
      <c r="H46" s="14">
        <v>36</v>
      </c>
      <c r="I46" s="14" t="s">
        <v>94</v>
      </c>
      <c r="J46" s="14" t="s">
        <v>134</v>
      </c>
      <c r="K46" s="14">
        <v>46</v>
      </c>
      <c r="L46" s="14">
        <v>47</v>
      </c>
      <c r="M46" s="14">
        <v>48</v>
      </c>
      <c r="N46" s="14" t="s">
        <v>135</v>
      </c>
      <c r="O46" s="14">
        <v>50</v>
      </c>
      <c r="P46" s="14" t="s">
        <v>136</v>
      </c>
      <c r="Q46" s="14" t="s">
        <v>137</v>
      </c>
      <c r="R46" s="14" t="s">
        <v>138</v>
      </c>
      <c r="S46" s="14" t="s">
        <v>139</v>
      </c>
      <c r="T46" s="14" t="s">
        <v>140</v>
      </c>
      <c r="U46" s="14" t="s">
        <v>141</v>
      </c>
      <c r="V46" s="14" t="s">
        <v>142</v>
      </c>
      <c r="W46" s="14" t="s">
        <v>143</v>
      </c>
      <c r="X46" s="14" t="s">
        <v>144</v>
      </c>
      <c r="Y46" s="14" t="s">
        <v>145</v>
      </c>
      <c r="Z46" s="14" t="s">
        <v>146</v>
      </c>
      <c r="AA46" s="14">
        <v>93</v>
      </c>
      <c r="AB46" s="14" t="s">
        <v>147</v>
      </c>
      <c r="AC46" s="14" t="s">
        <v>62</v>
      </c>
      <c r="AD46" s="14" t="s">
        <v>148</v>
      </c>
      <c r="AE46" s="14" t="s">
        <v>149</v>
      </c>
      <c r="AF46" s="14" t="s">
        <v>150</v>
      </c>
      <c r="AG46" s="14" t="s">
        <v>151</v>
      </c>
      <c r="AH46" s="85" t="s">
        <v>152</v>
      </c>
    </row>
    <row r="47" spans="1:35" ht="30" customHeight="1" outlineLevel="1" x14ac:dyDescent="0.25">
      <c r="A47" s="615"/>
      <c r="B47" s="154">
        <v>1</v>
      </c>
      <c r="C47" s="15">
        <v>9</v>
      </c>
      <c r="D47" s="15">
        <v>1</v>
      </c>
      <c r="E47" s="86">
        <v>13</v>
      </c>
      <c r="F47" s="294">
        <v>2</v>
      </c>
      <c r="G47" s="15">
        <v>9</v>
      </c>
      <c r="H47" s="15">
        <v>1</v>
      </c>
      <c r="I47" s="15">
        <v>2</v>
      </c>
      <c r="J47" s="15">
        <v>7</v>
      </c>
      <c r="K47" s="15">
        <v>1</v>
      </c>
      <c r="L47" s="15">
        <v>1</v>
      </c>
      <c r="M47" s="15">
        <v>1</v>
      </c>
      <c r="N47" s="15">
        <v>1</v>
      </c>
      <c r="O47" s="15">
        <v>1</v>
      </c>
      <c r="P47" s="15">
        <v>6</v>
      </c>
      <c r="Q47" s="15">
        <v>2</v>
      </c>
      <c r="R47" s="15">
        <v>2</v>
      </c>
      <c r="S47" s="15">
        <v>2</v>
      </c>
      <c r="T47" s="15">
        <v>6</v>
      </c>
      <c r="U47" s="15">
        <v>4</v>
      </c>
      <c r="V47" s="15">
        <v>4</v>
      </c>
      <c r="W47" s="15">
        <v>4</v>
      </c>
      <c r="X47" s="15">
        <v>4</v>
      </c>
      <c r="Y47" s="15">
        <v>4</v>
      </c>
      <c r="Z47" s="15">
        <v>4</v>
      </c>
      <c r="AA47" s="15">
        <v>1</v>
      </c>
      <c r="AB47" s="15">
        <v>2</v>
      </c>
      <c r="AC47" s="15">
        <v>6</v>
      </c>
      <c r="AD47" s="15">
        <v>2</v>
      </c>
      <c r="AE47" s="15">
        <v>6</v>
      </c>
      <c r="AF47" s="15">
        <v>7</v>
      </c>
      <c r="AG47" s="15">
        <v>7</v>
      </c>
      <c r="AH47" s="87">
        <v>5</v>
      </c>
    </row>
    <row r="48" spans="1:35" ht="30" customHeight="1" outlineLevel="1" x14ac:dyDescent="0.25">
      <c r="A48" s="615"/>
      <c r="B48" s="154" t="s">
        <v>1</v>
      </c>
      <c r="C48" s="15" t="s">
        <v>1</v>
      </c>
      <c r="D48" s="15" t="s">
        <v>69</v>
      </c>
      <c r="E48" s="86" t="s">
        <v>69</v>
      </c>
      <c r="F48" s="294" t="s">
        <v>1</v>
      </c>
      <c r="G48" s="15" t="s">
        <v>1</v>
      </c>
      <c r="H48" s="15" t="s">
        <v>69</v>
      </c>
      <c r="I48" s="15" t="s">
        <v>1</v>
      </c>
      <c r="J48" s="15" t="s">
        <v>69</v>
      </c>
      <c r="K48" s="15" t="s">
        <v>1</v>
      </c>
      <c r="L48" s="15" t="s">
        <v>1</v>
      </c>
      <c r="M48" s="15" t="s">
        <v>1</v>
      </c>
      <c r="N48" s="15" t="s">
        <v>69</v>
      </c>
      <c r="O48" s="15" t="s">
        <v>1</v>
      </c>
      <c r="P48" s="15" t="s">
        <v>1</v>
      </c>
      <c r="Q48" s="15" t="s">
        <v>1</v>
      </c>
      <c r="R48" s="15" t="s">
        <v>1</v>
      </c>
      <c r="S48" s="15" t="s">
        <v>1</v>
      </c>
      <c r="T48" s="15" t="s">
        <v>1</v>
      </c>
      <c r="U48" s="15" t="s">
        <v>1</v>
      </c>
      <c r="V48" s="15" t="s">
        <v>1</v>
      </c>
      <c r="W48" s="15" t="s">
        <v>1</v>
      </c>
      <c r="X48" s="15" t="s">
        <v>1</v>
      </c>
      <c r="Y48" s="15" t="s">
        <v>1</v>
      </c>
      <c r="Z48" s="15" t="s">
        <v>1</v>
      </c>
      <c r="AA48" s="15" t="s">
        <v>1</v>
      </c>
      <c r="AB48" s="15" t="s">
        <v>1</v>
      </c>
      <c r="AC48" s="15" t="s">
        <v>1</v>
      </c>
      <c r="AD48" s="15" t="s">
        <v>1</v>
      </c>
      <c r="AE48" s="15" t="s">
        <v>1</v>
      </c>
      <c r="AF48" s="15" t="s">
        <v>1</v>
      </c>
      <c r="AG48" s="15" t="s">
        <v>1</v>
      </c>
      <c r="AH48" s="225" t="s">
        <v>69</v>
      </c>
    </row>
    <row r="49" spans="1:34" ht="30" customHeight="1" outlineLevel="1" x14ac:dyDescent="0.25">
      <c r="A49" s="615"/>
      <c r="B49" s="154" t="s">
        <v>0</v>
      </c>
      <c r="C49" s="15" t="s">
        <v>0</v>
      </c>
      <c r="D49" s="15" t="s">
        <v>4</v>
      </c>
      <c r="E49" s="86" t="s">
        <v>0</v>
      </c>
      <c r="F49" s="294" t="s">
        <v>0</v>
      </c>
      <c r="G49" s="15" t="s">
        <v>0</v>
      </c>
      <c r="H49" s="15" t="s">
        <v>0</v>
      </c>
      <c r="I49" s="15" t="s">
        <v>4</v>
      </c>
      <c r="J49" s="15" t="s">
        <v>4</v>
      </c>
      <c r="K49" s="15" t="s">
        <v>0</v>
      </c>
      <c r="L49" s="15" t="s">
        <v>0</v>
      </c>
      <c r="M49" s="15" t="s">
        <v>0</v>
      </c>
      <c r="N49" s="15" t="s">
        <v>4</v>
      </c>
      <c r="O49" s="15" t="s">
        <v>0</v>
      </c>
      <c r="P49" s="15" t="s">
        <v>4</v>
      </c>
      <c r="Q49" s="15" t="s">
        <v>4</v>
      </c>
      <c r="R49" s="15" t="s">
        <v>4</v>
      </c>
      <c r="S49" s="15" t="s">
        <v>4</v>
      </c>
      <c r="T49" s="15" t="s">
        <v>4</v>
      </c>
      <c r="U49" s="15" t="s">
        <v>4</v>
      </c>
      <c r="V49" s="15" t="s">
        <v>4</v>
      </c>
      <c r="W49" s="15" t="s">
        <v>4</v>
      </c>
      <c r="X49" s="15" t="s">
        <v>4</v>
      </c>
      <c r="Y49" s="88" t="s">
        <v>4</v>
      </c>
      <c r="Z49" s="15" t="s">
        <v>4</v>
      </c>
      <c r="AA49" s="15" t="s">
        <v>4</v>
      </c>
      <c r="AB49" s="15" t="s">
        <v>4</v>
      </c>
      <c r="AC49" s="15" t="s">
        <v>4</v>
      </c>
      <c r="AD49" s="15" t="s">
        <v>4</v>
      </c>
      <c r="AE49" s="15" t="s">
        <v>4</v>
      </c>
      <c r="AF49" s="15" t="s">
        <v>4</v>
      </c>
      <c r="AG49" s="15" t="s">
        <v>4</v>
      </c>
      <c r="AH49" s="225" t="s">
        <v>4</v>
      </c>
    </row>
    <row r="50" spans="1:34" s="76" customFormat="1" ht="30" customHeight="1" thickBot="1" x14ac:dyDescent="0.3">
      <c r="A50" s="616"/>
      <c r="B50" s="149" t="s">
        <v>10</v>
      </c>
      <c r="C50" s="54" t="s">
        <v>544</v>
      </c>
      <c r="D50" s="55" t="s">
        <v>8</v>
      </c>
      <c r="E50" s="54" t="s">
        <v>198</v>
      </c>
      <c r="F50" s="288">
        <v>77</v>
      </c>
      <c r="G50" s="54">
        <v>250000001</v>
      </c>
      <c r="H50" s="55" t="s">
        <v>201</v>
      </c>
      <c r="I50" s="54" t="s">
        <v>202</v>
      </c>
      <c r="J50" s="55" t="s">
        <v>213</v>
      </c>
      <c r="K50" s="55" t="s">
        <v>206</v>
      </c>
      <c r="L50" s="55" t="s">
        <v>206</v>
      </c>
      <c r="M50" s="55" t="s">
        <v>206</v>
      </c>
      <c r="N50" s="55" t="s">
        <v>8</v>
      </c>
      <c r="O50" s="55" t="s">
        <v>206</v>
      </c>
      <c r="P50" s="55" t="s">
        <v>208</v>
      </c>
      <c r="Q50" s="55" t="s">
        <v>5</v>
      </c>
      <c r="R50" s="55" t="s">
        <v>5</v>
      </c>
      <c r="S50" s="55" t="s">
        <v>5</v>
      </c>
      <c r="T50" s="55" t="s">
        <v>208</v>
      </c>
      <c r="U50" s="55" t="s">
        <v>203</v>
      </c>
      <c r="V50" s="55" t="s">
        <v>203</v>
      </c>
      <c r="W50" s="55" t="s">
        <v>203</v>
      </c>
      <c r="X50" s="55" t="s">
        <v>203</v>
      </c>
      <c r="Y50" s="55" t="s">
        <v>203</v>
      </c>
      <c r="Z50" s="55" t="s">
        <v>203</v>
      </c>
      <c r="AA50" s="55" t="s">
        <v>206</v>
      </c>
      <c r="AB50" s="55" t="s">
        <v>5</v>
      </c>
      <c r="AC50" s="55" t="s">
        <v>208</v>
      </c>
      <c r="AD50" s="55" t="s">
        <v>5</v>
      </c>
      <c r="AE50" s="55" t="s">
        <v>208</v>
      </c>
      <c r="AF50" s="55" t="s">
        <v>212</v>
      </c>
      <c r="AG50" s="55" t="s">
        <v>212</v>
      </c>
      <c r="AH50" s="226" t="s">
        <v>428</v>
      </c>
    </row>
    <row r="51" spans="1:34" s="75" customFormat="1" ht="15.75" customHeight="1" outlineLevel="1" thickBot="1" x14ac:dyDescent="0.3">
      <c r="B51" s="150" t="s">
        <v>586</v>
      </c>
      <c r="C51" s="75" t="s">
        <v>586</v>
      </c>
      <c r="D51" s="75" t="s">
        <v>586</v>
      </c>
      <c r="E51" s="75" t="s">
        <v>586</v>
      </c>
      <c r="F51" s="276" t="s">
        <v>586</v>
      </c>
      <c r="G51" s="75" t="s">
        <v>586</v>
      </c>
      <c r="H51" s="75" t="s">
        <v>586</v>
      </c>
      <c r="I51" s="75" t="s">
        <v>586</v>
      </c>
      <c r="J51" s="75" t="s">
        <v>586</v>
      </c>
      <c r="K51" s="75" t="s">
        <v>586</v>
      </c>
      <c r="L51" s="75" t="s">
        <v>586</v>
      </c>
      <c r="M51" s="75" t="s">
        <v>586</v>
      </c>
      <c r="N51" s="75" t="s">
        <v>586</v>
      </c>
      <c r="O51" s="75" t="s">
        <v>586</v>
      </c>
      <c r="P51" s="75" t="s">
        <v>586</v>
      </c>
      <c r="Q51" s="75" t="s">
        <v>586</v>
      </c>
      <c r="R51" s="75" t="s">
        <v>586</v>
      </c>
      <c r="S51" s="75" t="s">
        <v>586</v>
      </c>
      <c r="T51" s="75" t="s">
        <v>586</v>
      </c>
      <c r="U51" s="75" t="s">
        <v>586</v>
      </c>
      <c r="V51" s="75" t="s">
        <v>586</v>
      </c>
      <c r="W51" s="75" t="s">
        <v>586</v>
      </c>
      <c r="X51" s="75" t="s">
        <v>586</v>
      </c>
      <c r="Y51" s="75" t="s">
        <v>586</v>
      </c>
      <c r="Z51" s="75" t="s">
        <v>586</v>
      </c>
      <c r="AA51" s="75" t="s">
        <v>586</v>
      </c>
      <c r="AB51" s="75" t="s">
        <v>586</v>
      </c>
      <c r="AC51" s="75" t="s">
        <v>586</v>
      </c>
      <c r="AD51" s="75" t="s">
        <v>586</v>
      </c>
      <c r="AE51" s="75" t="s">
        <v>586</v>
      </c>
      <c r="AF51" s="75" t="s">
        <v>586</v>
      </c>
      <c r="AG51" s="75" t="s">
        <v>586</v>
      </c>
      <c r="AH51" s="75" t="s">
        <v>586</v>
      </c>
    </row>
    <row r="52" spans="1:34" ht="99.95" customHeight="1" x14ac:dyDescent="0.25">
      <c r="A52" s="622" t="s">
        <v>191</v>
      </c>
      <c r="B52" s="155" t="s">
        <v>13</v>
      </c>
      <c r="C52" s="20" t="s">
        <v>14</v>
      </c>
      <c r="D52" s="20" t="s">
        <v>15</v>
      </c>
      <c r="E52" s="21" t="s">
        <v>16</v>
      </c>
      <c r="F52" s="295" t="s">
        <v>17</v>
      </c>
      <c r="G52" s="20" t="s">
        <v>70</v>
      </c>
      <c r="H52" s="20" t="s">
        <v>113</v>
      </c>
      <c r="I52" s="20" t="s">
        <v>72</v>
      </c>
      <c r="J52" s="20" t="s">
        <v>153</v>
      </c>
      <c r="K52" s="20" t="s">
        <v>154</v>
      </c>
      <c r="L52" s="20" t="s">
        <v>155</v>
      </c>
      <c r="M52" s="20" t="s">
        <v>156</v>
      </c>
      <c r="N52" s="20" t="s">
        <v>157</v>
      </c>
      <c r="O52" s="20" t="s">
        <v>158</v>
      </c>
      <c r="P52" s="20" t="s">
        <v>159</v>
      </c>
      <c r="Q52" s="20" t="s">
        <v>160</v>
      </c>
      <c r="R52" s="20" t="s">
        <v>161</v>
      </c>
      <c r="S52" s="20" t="s">
        <v>162</v>
      </c>
      <c r="T52" s="20" t="s">
        <v>163</v>
      </c>
      <c r="U52" s="20" t="s">
        <v>164</v>
      </c>
      <c r="V52" s="20" t="s">
        <v>165</v>
      </c>
      <c r="W52" s="20" t="s">
        <v>166</v>
      </c>
      <c r="X52" s="20" t="s">
        <v>167</v>
      </c>
      <c r="Y52" s="20" t="s">
        <v>168</v>
      </c>
      <c r="Z52" s="20" t="s">
        <v>169</v>
      </c>
      <c r="AA52" s="20" t="s">
        <v>170</v>
      </c>
      <c r="AB52" s="20" t="s">
        <v>171</v>
      </c>
      <c r="AC52" s="20" t="s">
        <v>172</v>
      </c>
      <c r="AD52" s="22" t="s">
        <v>114</v>
      </c>
      <c r="AE52" s="189"/>
      <c r="AF52" s="189"/>
    </row>
    <row r="53" spans="1:34" ht="19.899999999999999" customHeight="1" x14ac:dyDescent="0.25">
      <c r="A53" s="615"/>
      <c r="B53" s="156">
        <v>1</v>
      </c>
      <c r="C53" s="90" t="s">
        <v>47</v>
      </c>
      <c r="D53" s="16">
        <v>11</v>
      </c>
      <c r="E53" s="91" t="s">
        <v>48</v>
      </c>
      <c r="F53" s="296" t="s">
        <v>49</v>
      </c>
      <c r="G53" s="92" t="s">
        <v>50</v>
      </c>
      <c r="H53" s="92">
        <v>36</v>
      </c>
      <c r="I53" s="92" t="s">
        <v>94</v>
      </c>
      <c r="J53" s="92" t="s">
        <v>173</v>
      </c>
      <c r="K53" s="92" t="s">
        <v>174</v>
      </c>
      <c r="L53" s="92" t="s">
        <v>175</v>
      </c>
      <c r="M53" s="92" t="s">
        <v>176</v>
      </c>
      <c r="N53" s="92" t="s">
        <v>177</v>
      </c>
      <c r="O53" s="92" t="s">
        <v>178</v>
      </c>
      <c r="P53" s="92" t="s">
        <v>179</v>
      </c>
      <c r="Q53" s="92" t="s">
        <v>180</v>
      </c>
      <c r="R53" s="92" t="s">
        <v>181</v>
      </c>
      <c r="S53" s="92" t="s">
        <v>939</v>
      </c>
      <c r="T53" s="92" t="s">
        <v>182</v>
      </c>
      <c r="U53" s="92">
        <v>100</v>
      </c>
      <c r="V53" s="92" t="s">
        <v>183</v>
      </c>
      <c r="W53" s="92" t="s">
        <v>184</v>
      </c>
      <c r="X53" s="92" t="s">
        <v>185</v>
      </c>
      <c r="Y53" s="92" t="s">
        <v>186</v>
      </c>
      <c r="Z53" s="92">
        <v>117</v>
      </c>
      <c r="AA53" s="92">
        <v>118</v>
      </c>
      <c r="AB53" s="92" t="s">
        <v>187</v>
      </c>
      <c r="AC53" s="92">
        <v>125</v>
      </c>
      <c r="AD53" s="93" t="s">
        <v>188</v>
      </c>
      <c r="AE53" s="189"/>
      <c r="AF53" s="189"/>
    </row>
    <row r="54" spans="1:34" ht="30" customHeight="1" outlineLevel="1" x14ac:dyDescent="0.25">
      <c r="A54" s="615"/>
      <c r="B54" s="156">
        <v>1</v>
      </c>
      <c r="C54" s="16">
        <v>9</v>
      </c>
      <c r="D54" s="16">
        <v>1</v>
      </c>
      <c r="E54" s="94">
        <v>13</v>
      </c>
      <c r="F54" s="297">
        <v>2</v>
      </c>
      <c r="G54" s="16">
        <v>9</v>
      </c>
      <c r="H54" s="16">
        <v>1</v>
      </c>
      <c r="I54" s="16">
        <v>2</v>
      </c>
      <c r="J54" s="16">
        <v>6</v>
      </c>
      <c r="K54" s="16">
        <v>4</v>
      </c>
      <c r="L54" s="16">
        <v>5</v>
      </c>
      <c r="M54" s="16">
        <v>9</v>
      </c>
      <c r="N54" s="16">
        <v>8</v>
      </c>
      <c r="O54" s="16">
        <v>3</v>
      </c>
      <c r="P54" s="16">
        <v>8</v>
      </c>
      <c r="Q54" s="16">
        <v>3</v>
      </c>
      <c r="R54" s="16">
        <v>6</v>
      </c>
      <c r="S54" s="16">
        <v>4</v>
      </c>
      <c r="T54" s="16">
        <v>5</v>
      </c>
      <c r="U54" s="16">
        <v>1</v>
      </c>
      <c r="V54" s="16">
        <v>2</v>
      </c>
      <c r="W54" s="16">
        <v>6</v>
      </c>
      <c r="X54" s="16">
        <v>4</v>
      </c>
      <c r="Y54" s="16">
        <v>4</v>
      </c>
      <c r="Z54" s="16">
        <v>1</v>
      </c>
      <c r="AA54" s="16">
        <v>1</v>
      </c>
      <c r="AB54" s="16">
        <v>6</v>
      </c>
      <c r="AC54" s="16">
        <v>1</v>
      </c>
      <c r="AD54" s="23">
        <v>3</v>
      </c>
      <c r="AE54" s="189"/>
      <c r="AF54" s="189"/>
    </row>
    <row r="55" spans="1:34" ht="30" customHeight="1" outlineLevel="1" x14ac:dyDescent="0.25">
      <c r="A55" s="615"/>
      <c r="B55" s="156" t="s">
        <v>1</v>
      </c>
      <c r="C55" s="16" t="s">
        <v>1</v>
      </c>
      <c r="D55" s="16" t="s">
        <v>69</v>
      </c>
      <c r="E55" s="94" t="s">
        <v>69</v>
      </c>
      <c r="F55" s="297" t="s">
        <v>1</v>
      </c>
      <c r="G55" s="16" t="s">
        <v>1</v>
      </c>
      <c r="H55" s="16" t="s">
        <v>69</v>
      </c>
      <c r="I55" s="16" t="s">
        <v>1</v>
      </c>
      <c r="J55" s="16" t="s">
        <v>1</v>
      </c>
      <c r="K55" s="16" t="s">
        <v>1</v>
      </c>
      <c r="L55" s="16" t="s">
        <v>1</v>
      </c>
      <c r="M55" s="143" t="s">
        <v>69</v>
      </c>
      <c r="N55" s="16" t="s">
        <v>69</v>
      </c>
      <c r="O55" s="16" t="s">
        <v>69</v>
      </c>
      <c r="P55" s="16" t="s">
        <v>69</v>
      </c>
      <c r="Q55" s="16" t="s">
        <v>69</v>
      </c>
      <c r="R55" s="16" t="s">
        <v>1</v>
      </c>
      <c r="S55" s="16" t="s">
        <v>1</v>
      </c>
      <c r="T55" s="16" t="s">
        <v>1</v>
      </c>
      <c r="U55" s="16" t="s">
        <v>1</v>
      </c>
      <c r="V55" s="16" t="s">
        <v>1</v>
      </c>
      <c r="W55" s="16" t="s">
        <v>1</v>
      </c>
      <c r="X55" s="16" t="s">
        <v>1</v>
      </c>
      <c r="Y55" s="16" t="s">
        <v>1</v>
      </c>
      <c r="Z55" s="16" t="s">
        <v>69</v>
      </c>
      <c r="AA55" s="16" t="s">
        <v>69</v>
      </c>
      <c r="AB55" s="16" t="s">
        <v>1</v>
      </c>
      <c r="AC55" s="16" t="s">
        <v>69</v>
      </c>
      <c r="AD55" s="227" t="s">
        <v>69</v>
      </c>
      <c r="AE55" s="189"/>
      <c r="AF55" s="189"/>
    </row>
    <row r="56" spans="1:34" ht="30" customHeight="1" outlineLevel="1" x14ac:dyDescent="0.25">
      <c r="A56" s="615"/>
      <c r="B56" s="156" t="s">
        <v>0</v>
      </c>
      <c r="C56" s="16" t="s">
        <v>0</v>
      </c>
      <c r="D56" s="16" t="s">
        <v>4</v>
      </c>
      <c r="E56" s="94" t="s">
        <v>0</v>
      </c>
      <c r="F56" s="29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189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4</v>
      </c>
      <c r="Q56" s="16" t="s">
        <v>4</v>
      </c>
      <c r="R56" s="16" t="s">
        <v>0</v>
      </c>
      <c r="S56" s="16" t="s">
        <v>0</v>
      </c>
      <c r="T56" s="16" t="s">
        <v>0</v>
      </c>
      <c r="U56" s="16" t="s">
        <v>0</v>
      </c>
      <c r="V56" s="16" t="s">
        <v>4</v>
      </c>
      <c r="W56" s="16" t="s">
        <v>4</v>
      </c>
      <c r="X56" s="16" t="s">
        <v>4</v>
      </c>
      <c r="Y56" s="16" t="s">
        <v>0</v>
      </c>
      <c r="Z56" s="16" t="s">
        <v>4</v>
      </c>
      <c r="AA56" s="16" t="s">
        <v>4</v>
      </c>
      <c r="AB56" s="16" t="s">
        <v>4</v>
      </c>
      <c r="AC56" s="16" t="s">
        <v>4</v>
      </c>
      <c r="AD56" s="23" t="s">
        <v>4</v>
      </c>
      <c r="AE56" s="189"/>
      <c r="AF56" s="189"/>
    </row>
    <row r="57" spans="1:34" s="76" customFormat="1" ht="30" customHeight="1" thickBot="1" x14ac:dyDescent="0.3">
      <c r="A57" s="616"/>
      <c r="B57" s="149" t="s">
        <v>10</v>
      </c>
      <c r="C57" s="54" t="s">
        <v>544</v>
      </c>
      <c r="D57" s="55" t="s">
        <v>8</v>
      </c>
      <c r="E57" s="54" t="s">
        <v>198</v>
      </c>
      <c r="F57" s="288">
        <v>77</v>
      </c>
      <c r="G57" s="54">
        <v>250000001</v>
      </c>
      <c r="H57" s="55" t="s">
        <v>11</v>
      </c>
      <c r="I57" s="33" t="s">
        <v>202</v>
      </c>
      <c r="J57" s="54" t="s">
        <v>581</v>
      </c>
      <c r="K57" s="54" t="s">
        <v>582</v>
      </c>
      <c r="L57" s="54" t="s">
        <v>263</v>
      </c>
      <c r="M57" s="54" t="s">
        <v>542</v>
      </c>
      <c r="N57" s="54" t="s">
        <v>417</v>
      </c>
      <c r="O57" s="54" t="s">
        <v>483</v>
      </c>
      <c r="P57" s="54" t="s">
        <v>211</v>
      </c>
      <c r="Q57" s="54" t="s">
        <v>9</v>
      </c>
      <c r="R57" s="54" t="s">
        <v>581</v>
      </c>
      <c r="S57" s="54" t="s">
        <v>626</v>
      </c>
      <c r="T57" s="54" t="s">
        <v>262</v>
      </c>
      <c r="U57" s="54">
        <v>1</v>
      </c>
      <c r="V57" s="55" t="s">
        <v>5</v>
      </c>
      <c r="W57" s="55" t="s">
        <v>208</v>
      </c>
      <c r="X57" s="229" t="s">
        <v>203</v>
      </c>
      <c r="Y57" s="54" t="s">
        <v>627</v>
      </c>
      <c r="Z57" s="55" t="s">
        <v>8</v>
      </c>
      <c r="AA57" s="55" t="s">
        <v>8</v>
      </c>
      <c r="AB57" s="55" t="s">
        <v>208</v>
      </c>
      <c r="AC57" s="33" t="s">
        <v>8</v>
      </c>
      <c r="AD57" s="89" t="s">
        <v>9</v>
      </c>
      <c r="AE57" s="188" t="s">
        <v>589</v>
      </c>
      <c r="AF57" s="190"/>
    </row>
    <row r="58" spans="1:34" s="75" customFormat="1" ht="15.75" customHeight="1" outlineLevel="1" thickBot="1" x14ac:dyDescent="0.3">
      <c r="A58" s="503" t="s">
        <v>914</v>
      </c>
      <c r="B58" s="150" t="s">
        <v>586</v>
      </c>
      <c r="C58" s="75" t="s">
        <v>586</v>
      </c>
      <c r="D58" s="75" t="s">
        <v>586</v>
      </c>
      <c r="E58" s="75" t="s">
        <v>586</v>
      </c>
      <c r="F58" s="276" t="s">
        <v>586</v>
      </c>
      <c r="G58" s="75" t="s">
        <v>586</v>
      </c>
      <c r="H58" s="75" t="s">
        <v>586</v>
      </c>
      <c r="I58" s="75" t="s">
        <v>586</v>
      </c>
      <c r="J58" s="75" t="s">
        <v>586</v>
      </c>
      <c r="K58" s="75" t="s">
        <v>586</v>
      </c>
      <c r="L58" s="75" t="s">
        <v>586</v>
      </c>
      <c r="M58" s="75" t="s">
        <v>586</v>
      </c>
      <c r="N58" s="75" t="s">
        <v>586</v>
      </c>
      <c r="O58" s="75" t="s">
        <v>586</v>
      </c>
      <c r="P58" s="75" t="s">
        <v>586</v>
      </c>
      <c r="Q58" s="75" t="s">
        <v>586</v>
      </c>
      <c r="R58" s="75" t="s">
        <v>586</v>
      </c>
      <c r="S58" s="75" t="s">
        <v>586</v>
      </c>
      <c r="T58" s="75" t="s">
        <v>586</v>
      </c>
      <c r="U58" s="75" t="s">
        <v>586</v>
      </c>
      <c r="V58" s="75" t="s">
        <v>586</v>
      </c>
      <c r="W58" s="75" t="s">
        <v>586</v>
      </c>
      <c r="X58" s="75" t="s">
        <v>586</v>
      </c>
      <c r="Y58" s="75" t="s">
        <v>586</v>
      </c>
      <c r="Z58" s="75" t="s">
        <v>586</v>
      </c>
      <c r="AA58" s="75" t="s">
        <v>586</v>
      </c>
      <c r="AB58" s="75" t="s">
        <v>586</v>
      </c>
      <c r="AC58" s="75" t="s">
        <v>586</v>
      </c>
      <c r="AD58" s="75" t="s">
        <v>586</v>
      </c>
      <c r="AE58" s="189"/>
      <c r="AF58" s="189"/>
    </row>
    <row r="59" spans="1:34" ht="99.95" customHeight="1" x14ac:dyDescent="0.25">
      <c r="A59" s="622" t="s">
        <v>191</v>
      </c>
      <c r="B59" s="155" t="s">
        <v>13</v>
      </c>
      <c r="C59" s="20" t="s">
        <v>14</v>
      </c>
      <c r="D59" s="20" t="s">
        <v>15</v>
      </c>
      <c r="E59" s="21" t="s">
        <v>16</v>
      </c>
      <c r="F59" s="295" t="s">
        <v>17</v>
      </c>
      <c r="G59" s="20" t="s">
        <v>70</v>
      </c>
      <c r="H59" s="20" t="s">
        <v>113</v>
      </c>
      <c r="I59" s="20" t="s">
        <v>72</v>
      </c>
      <c r="J59" s="20" t="s">
        <v>153</v>
      </c>
      <c r="K59" s="20" t="s">
        <v>154</v>
      </c>
      <c r="L59" s="20" t="s">
        <v>155</v>
      </c>
      <c r="M59" s="20" t="s">
        <v>156</v>
      </c>
      <c r="N59" s="20" t="s">
        <v>157</v>
      </c>
      <c r="O59" s="20" t="s">
        <v>158</v>
      </c>
      <c r="P59" s="20" t="s">
        <v>159</v>
      </c>
      <c r="Q59" s="20" t="s">
        <v>160</v>
      </c>
      <c r="R59" s="20" t="s">
        <v>161</v>
      </c>
      <c r="S59" s="20" t="s">
        <v>162</v>
      </c>
      <c r="T59" s="20" t="s">
        <v>163</v>
      </c>
      <c r="U59" s="20" t="s">
        <v>164</v>
      </c>
      <c r="V59" s="20" t="s">
        <v>165</v>
      </c>
      <c r="W59" s="20" t="s">
        <v>166</v>
      </c>
      <c r="X59" s="20" t="s">
        <v>167</v>
      </c>
      <c r="Y59" s="20" t="s">
        <v>168</v>
      </c>
      <c r="Z59" s="20" t="s">
        <v>169</v>
      </c>
      <c r="AA59" s="20" t="s">
        <v>170</v>
      </c>
      <c r="AB59" s="20" t="s">
        <v>171</v>
      </c>
      <c r="AC59" s="20" t="s">
        <v>172</v>
      </c>
      <c r="AD59" s="22" t="s">
        <v>114</v>
      </c>
      <c r="AE59" s="189"/>
      <c r="AF59" s="189"/>
    </row>
    <row r="60" spans="1:34" ht="19.899999999999999" customHeight="1" x14ac:dyDescent="0.25">
      <c r="A60" s="615"/>
      <c r="B60" s="156">
        <v>1</v>
      </c>
      <c r="C60" s="90" t="s">
        <v>47</v>
      </c>
      <c r="D60" s="16">
        <v>11</v>
      </c>
      <c r="E60" s="91" t="s">
        <v>48</v>
      </c>
      <c r="F60" s="296" t="s">
        <v>49</v>
      </c>
      <c r="G60" s="92" t="s">
        <v>50</v>
      </c>
      <c r="H60" s="92">
        <v>36</v>
      </c>
      <c r="I60" s="92" t="s">
        <v>94</v>
      </c>
      <c r="J60" s="92" t="s">
        <v>173</v>
      </c>
      <c r="K60" s="92" t="s">
        <v>174</v>
      </c>
      <c r="L60" s="92" t="s">
        <v>175</v>
      </c>
      <c r="M60" s="92" t="s">
        <v>176</v>
      </c>
      <c r="N60" s="92" t="s">
        <v>177</v>
      </c>
      <c r="O60" s="92" t="s">
        <v>178</v>
      </c>
      <c r="P60" s="92" t="s">
        <v>179</v>
      </c>
      <c r="Q60" s="92" t="s">
        <v>180</v>
      </c>
      <c r="R60" s="92" t="s">
        <v>181</v>
      </c>
      <c r="S60" s="92" t="s">
        <v>939</v>
      </c>
      <c r="T60" s="92" t="s">
        <v>182</v>
      </c>
      <c r="U60" s="92">
        <v>100</v>
      </c>
      <c r="V60" s="92" t="s">
        <v>183</v>
      </c>
      <c r="W60" s="92" t="s">
        <v>184</v>
      </c>
      <c r="X60" s="92" t="s">
        <v>185</v>
      </c>
      <c r="Y60" s="92" t="s">
        <v>186</v>
      </c>
      <c r="Z60" s="92">
        <v>117</v>
      </c>
      <c r="AA60" s="92">
        <v>118</v>
      </c>
      <c r="AB60" s="92" t="s">
        <v>187</v>
      </c>
      <c r="AC60" s="92">
        <v>125</v>
      </c>
      <c r="AD60" s="93" t="s">
        <v>188</v>
      </c>
      <c r="AE60" s="189"/>
      <c r="AF60" s="189"/>
    </row>
    <row r="61" spans="1:34" ht="30" customHeight="1" outlineLevel="1" x14ac:dyDescent="0.25">
      <c r="A61" s="615"/>
      <c r="B61" s="156">
        <v>1</v>
      </c>
      <c r="C61" s="16">
        <v>9</v>
      </c>
      <c r="D61" s="16">
        <v>1</v>
      </c>
      <c r="E61" s="94">
        <v>13</v>
      </c>
      <c r="F61" s="297">
        <v>2</v>
      </c>
      <c r="G61" s="16">
        <v>9</v>
      </c>
      <c r="H61" s="16">
        <v>1</v>
      </c>
      <c r="I61" s="16">
        <v>2</v>
      </c>
      <c r="J61" s="16">
        <v>6</v>
      </c>
      <c r="K61" s="16">
        <v>4</v>
      </c>
      <c r="L61" s="16">
        <v>5</v>
      </c>
      <c r="M61" s="16">
        <v>9</v>
      </c>
      <c r="N61" s="16">
        <v>8</v>
      </c>
      <c r="O61" s="16">
        <v>3</v>
      </c>
      <c r="P61" s="16">
        <v>8</v>
      </c>
      <c r="Q61" s="16">
        <v>3</v>
      </c>
      <c r="R61" s="16">
        <v>6</v>
      </c>
      <c r="S61" s="16">
        <v>4</v>
      </c>
      <c r="T61" s="16">
        <v>5</v>
      </c>
      <c r="U61" s="16">
        <v>1</v>
      </c>
      <c r="V61" s="16">
        <v>2</v>
      </c>
      <c r="W61" s="16">
        <v>6</v>
      </c>
      <c r="X61" s="16">
        <v>4</v>
      </c>
      <c r="Y61" s="16">
        <v>4</v>
      </c>
      <c r="Z61" s="16">
        <v>1</v>
      </c>
      <c r="AA61" s="16">
        <v>1</v>
      </c>
      <c r="AB61" s="16">
        <v>6</v>
      </c>
      <c r="AC61" s="16">
        <v>1</v>
      </c>
      <c r="AD61" s="23">
        <v>3</v>
      </c>
      <c r="AE61" s="189"/>
      <c r="AF61" s="189"/>
    </row>
    <row r="62" spans="1:34" ht="30" customHeight="1" outlineLevel="1" x14ac:dyDescent="0.25">
      <c r="A62" s="615"/>
      <c r="B62" s="156" t="s">
        <v>1</v>
      </c>
      <c r="C62" s="16" t="s">
        <v>1</v>
      </c>
      <c r="D62" s="16" t="s">
        <v>69</v>
      </c>
      <c r="E62" s="94" t="s">
        <v>69</v>
      </c>
      <c r="F62" s="297" t="s">
        <v>1</v>
      </c>
      <c r="G62" s="16" t="s">
        <v>1</v>
      </c>
      <c r="H62" s="16" t="s">
        <v>69</v>
      </c>
      <c r="I62" s="16" t="s">
        <v>1</v>
      </c>
      <c r="J62" s="16" t="s">
        <v>1</v>
      </c>
      <c r="K62" s="16" t="s">
        <v>1</v>
      </c>
      <c r="L62" s="16" t="s">
        <v>1</v>
      </c>
      <c r="M62" s="143" t="s">
        <v>69</v>
      </c>
      <c r="N62" s="16" t="s">
        <v>69</v>
      </c>
      <c r="O62" s="16" t="s">
        <v>69</v>
      </c>
      <c r="P62" s="16" t="s">
        <v>69</v>
      </c>
      <c r="Q62" s="16" t="s">
        <v>69</v>
      </c>
      <c r="R62" s="16" t="s">
        <v>1</v>
      </c>
      <c r="S62" s="16" t="s">
        <v>1</v>
      </c>
      <c r="T62" s="16" t="s">
        <v>1</v>
      </c>
      <c r="U62" s="16" t="s">
        <v>1</v>
      </c>
      <c r="V62" s="16" t="s">
        <v>1</v>
      </c>
      <c r="W62" s="16" t="s">
        <v>1</v>
      </c>
      <c r="X62" s="16" t="s">
        <v>1</v>
      </c>
      <c r="Y62" s="16" t="s">
        <v>1</v>
      </c>
      <c r="Z62" s="16" t="s">
        <v>69</v>
      </c>
      <c r="AA62" s="16" t="s">
        <v>69</v>
      </c>
      <c r="AB62" s="16" t="s">
        <v>1</v>
      </c>
      <c r="AC62" s="16" t="s">
        <v>69</v>
      </c>
      <c r="AD62" s="227" t="s">
        <v>69</v>
      </c>
      <c r="AE62" s="189"/>
      <c r="AF62" s="189"/>
    </row>
    <row r="63" spans="1:34" ht="30" customHeight="1" outlineLevel="1" x14ac:dyDescent="0.25">
      <c r="A63" s="615"/>
      <c r="B63" s="156" t="s">
        <v>0</v>
      </c>
      <c r="C63" s="16" t="s">
        <v>0</v>
      </c>
      <c r="D63" s="16" t="s">
        <v>4</v>
      </c>
      <c r="E63" s="94" t="s">
        <v>0</v>
      </c>
      <c r="F63" s="29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189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4</v>
      </c>
      <c r="Q63" s="16" t="s">
        <v>4</v>
      </c>
      <c r="R63" s="16" t="s">
        <v>0</v>
      </c>
      <c r="S63" s="16" t="s">
        <v>0</v>
      </c>
      <c r="T63" s="16" t="s">
        <v>0</v>
      </c>
      <c r="U63" s="16" t="s">
        <v>0</v>
      </c>
      <c r="V63" s="16" t="s">
        <v>4</v>
      </c>
      <c r="W63" s="16" t="s">
        <v>4</v>
      </c>
      <c r="X63" s="16" t="s">
        <v>4</v>
      </c>
      <c r="Y63" s="16" t="s">
        <v>0</v>
      </c>
      <c r="Z63" s="16" t="s">
        <v>4</v>
      </c>
      <c r="AA63" s="16" t="s">
        <v>4</v>
      </c>
      <c r="AB63" s="16" t="s">
        <v>4</v>
      </c>
      <c r="AC63" s="16" t="s">
        <v>4</v>
      </c>
      <c r="AD63" s="23" t="s">
        <v>4</v>
      </c>
      <c r="AE63" s="189"/>
      <c r="AF63" s="189"/>
    </row>
    <row r="64" spans="1:34" s="76" customFormat="1" ht="30" customHeight="1" thickBot="1" x14ac:dyDescent="0.3">
      <c r="A64" s="616"/>
      <c r="B64" s="149" t="s">
        <v>10</v>
      </c>
      <c r="C64" s="54" t="s">
        <v>544</v>
      </c>
      <c r="D64" s="55" t="s">
        <v>8</v>
      </c>
      <c r="E64" s="54" t="s">
        <v>198</v>
      </c>
      <c r="F64" s="288">
        <v>77</v>
      </c>
      <c r="G64" s="54">
        <v>250000001</v>
      </c>
      <c r="H64" s="55" t="s">
        <v>11</v>
      </c>
      <c r="I64" s="33" t="s">
        <v>649</v>
      </c>
      <c r="J64" s="54" t="s">
        <v>581</v>
      </c>
      <c r="K64" s="54" t="s">
        <v>648</v>
      </c>
      <c r="L64" s="54" t="s">
        <v>262</v>
      </c>
      <c r="M64" s="54" t="s">
        <v>542</v>
      </c>
      <c r="N64" s="54" t="s">
        <v>484</v>
      </c>
      <c r="O64" s="54" t="s">
        <v>485</v>
      </c>
      <c r="P64" s="54" t="s">
        <v>211</v>
      </c>
      <c r="Q64" s="54" t="s">
        <v>9</v>
      </c>
      <c r="R64" s="54" t="s">
        <v>581</v>
      </c>
      <c r="S64" s="54" t="s">
        <v>579</v>
      </c>
      <c r="T64" s="54" t="s">
        <v>263</v>
      </c>
      <c r="U64" s="54">
        <v>1</v>
      </c>
      <c r="V64" s="55" t="s">
        <v>5</v>
      </c>
      <c r="W64" s="55" t="s">
        <v>208</v>
      </c>
      <c r="X64" s="229" t="s">
        <v>203</v>
      </c>
      <c r="Y64" s="54" t="s">
        <v>627</v>
      </c>
      <c r="Z64" s="55" t="s">
        <v>8</v>
      </c>
      <c r="AA64" s="55" t="s">
        <v>8</v>
      </c>
      <c r="AB64" s="55" t="s">
        <v>208</v>
      </c>
      <c r="AC64" s="33" t="s">
        <v>8</v>
      </c>
      <c r="AD64" s="89" t="s">
        <v>9</v>
      </c>
      <c r="AE64" s="188" t="s">
        <v>589</v>
      </c>
      <c r="AF64" s="191"/>
    </row>
    <row r="65" spans="1:35" s="75" customFormat="1" ht="15.75" outlineLevel="1" thickBot="1" x14ac:dyDescent="0.3">
      <c r="B65" s="150" t="s">
        <v>586</v>
      </c>
      <c r="C65" s="75" t="s">
        <v>586</v>
      </c>
      <c r="D65" s="75" t="s">
        <v>586</v>
      </c>
      <c r="E65" s="75" t="s">
        <v>586</v>
      </c>
      <c r="F65" s="276" t="s">
        <v>586</v>
      </c>
      <c r="G65" s="75" t="s">
        <v>586</v>
      </c>
      <c r="H65" s="75" t="s">
        <v>586</v>
      </c>
      <c r="I65" s="75" t="s">
        <v>586</v>
      </c>
      <c r="J65" s="75" t="s">
        <v>586</v>
      </c>
      <c r="K65" s="75" t="s">
        <v>586</v>
      </c>
      <c r="L65" s="75" t="s">
        <v>586</v>
      </c>
      <c r="M65" s="75" t="s">
        <v>586</v>
      </c>
      <c r="N65" s="75" t="s">
        <v>586</v>
      </c>
      <c r="O65" s="75" t="s">
        <v>586</v>
      </c>
      <c r="P65" s="75" t="s">
        <v>586</v>
      </c>
      <c r="Q65" s="75" t="s">
        <v>586</v>
      </c>
      <c r="R65" s="75" t="s">
        <v>586</v>
      </c>
      <c r="S65" s="75" t="s">
        <v>586</v>
      </c>
      <c r="T65" s="75" t="s">
        <v>586</v>
      </c>
      <c r="U65" s="75" t="s">
        <v>586</v>
      </c>
      <c r="V65" s="75" t="s">
        <v>586</v>
      </c>
      <c r="W65" s="75" t="s">
        <v>586</v>
      </c>
      <c r="X65" s="75" t="s">
        <v>586</v>
      </c>
      <c r="Y65" s="75" t="s">
        <v>586</v>
      </c>
      <c r="Z65" s="75" t="s">
        <v>586</v>
      </c>
      <c r="AA65" s="75" t="s">
        <v>586</v>
      </c>
      <c r="AB65" s="75" t="s">
        <v>586</v>
      </c>
      <c r="AC65" s="75" t="s">
        <v>586</v>
      </c>
      <c r="AD65" s="75" t="s">
        <v>586</v>
      </c>
      <c r="AE65" s="189"/>
      <c r="AF65" s="189"/>
    </row>
    <row r="66" spans="1:35" ht="100.15" customHeight="1" x14ac:dyDescent="0.25">
      <c r="A66" s="620" t="s">
        <v>914</v>
      </c>
      <c r="B66" s="151" t="s">
        <v>13</v>
      </c>
      <c r="C66" s="40" t="s">
        <v>14</v>
      </c>
      <c r="D66" s="40" t="s">
        <v>15</v>
      </c>
      <c r="E66" s="41" t="s">
        <v>16</v>
      </c>
      <c r="F66" s="289" t="s">
        <v>17</v>
      </c>
      <c r="G66" s="40" t="s">
        <v>70</v>
      </c>
      <c r="H66" s="40" t="s">
        <v>71</v>
      </c>
      <c r="I66" s="40" t="s">
        <v>72</v>
      </c>
      <c r="J66" s="40" t="s">
        <v>2</v>
      </c>
      <c r="K66" s="40" t="s">
        <v>73</v>
      </c>
      <c r="L66" s="42" t="s">
        <v>74</v>
      </c>
      <c r="M66" s="42" t="s">
        <v>75</v>
      </c>
      <c r="N66" s="40" t="s">
        <v>76</v>
      </c>
      <c r="O66" s="40" t="s">
        <v>77</v>
      </c>
      <c r="P66" s="40" t="s">
        <v>78</v>
      </c>
      <c r="Q66" s="40" t="s">
        <v>79</v>
      </c>
      <c r="R66" s="40" t="s">
        <v>80</v>
      </c>
      <c r="S66" s="40" t="s">
        <v>81</v>
      </c>
      <c r="T66" s="40" t="s">
        <v>82</v>
      </c>
      <c r="U66" s="40" t="s">
        <v>83</v>
      </c>
      <c r="V66" s="40" t="s">
        <v>84</v>
      </c>
      <c r="W66" s="40" t="s">
        <v>3</v>
      </c>
      <c r="X66" s="40" t="s">
        <v>85</v>
      </c>
      <c r="Y66" s="40" t="s">
        <v>86</v>
      </c>
      <c r="Z66" s="40" t="s">
        <v>87</v>
      </c>
      <c r="AA66" s="40" t="s">
        <v>88</v>
      </c>
      <c r="AB66" s="40" t="s">
        <v>89</v>
      </c>
      <c r="AC66" s="40" t="s">
        <v>90</v>
      </c>
      <c r="AD66" s="40" t="s">
        <v>91</v>
      </c>
      <c r="AE66" s="40" t="s">
        <v>92</v>
      </c>
      <c r="AF66" s="43" t="s">
        <v>93</v>
      </c>
    </row>
    <row r="67" spans="1:35" ht="19.899999999999999" customHeight="1" x14ac:dyDescent="0.25">
      <c r="A67" s="615"/>
      <c r="B67" s="152">
        <v>1</v>
      </c>
      <c r="C67" s="44" t="s">
        <v>47</v>
      </c>
      <c r="D67" s="45">
        <v>11</v>
      </c>
      <c r="E67" s="46" t="s">
        <v>48</v>
      </c>
      <c r="F67" s="290" t="s">
        <v>49</v>
      </c>
      <c r="G67" s="47" t="s">
        <v>50</v>
      </c>
      <c r="H67" s="47">
        <v>36</v>
      </c>
      <c r="I67" s="47" t="s">
        <v>94</v>
      </c>
      <c r="J67" s="47" t="s">
        <v>95</v>
      </c>
      <c r="K67" s="47" t="s">
        <v>96</v>
      </c>
      <c r="L67" s="48" t="s">
        <v>97</v>
      </c>
      <c r="M67" s="48" t="s">
        <v>98</v>
      </c>
      <c r="N67" s="47" t="s">
        <v>99</v>
      </c>
      <c r="O67" s="47">
        <v>53</v>
      </c>
      <c r="P67" s="47">
        <v>54</v>
      </c>
      <c r="Q67" s="47" t="s">
        <v>913</v>
      </c>
      <c r="R67" s="47" t="s">
        <v>100</v>
      </c>
      <c r="S67" s="47" t="s">
        <v>101</v>
      </c>
      <c r="T67" s="47" t="s">
        <v>57</v>
      </c>
      <c r="U67" s="47" t="s">
        <v>102</v>
      </c>
      <c r="V67" s="47" t="s">
        <v>103</v>
      </c>
      <c r="W67" s="47" t="s">
        <v>104</v>
      </c>
      <c r="X67" s="47" t="s">
        <v>105</v>
      </c>
      <c r="Y67" s="47" t="s">
        <v>106</v>
      </c>
      <c r="Z67" s="47" t="s">
        <v>107</v>
      </c>
      <c r="AA67" s="47" t="s">
        <v>108</v>
      </c>
      <c r="AB67" s="45" t="s">
        <v>109</v>
      </c>
      <c r="AC67" s="47" t="s">
        <v>110</v>
      </c>
      <c r="AD67" s="45">
        <v>120</v>
      </c>
      <c r="AE67" s="45">
        <v>121</v>
      </c>
      <c r="AF67" s="49" t="s">
        <v>111</v>
      </c>
    </row>
    <row r="68" spans="1:35" ht="30" customHeight="1" outlineLevel="1" x14ac:dyDescent="0.25">
      <c r="A68" s="615"/>
      <c r="B68" s="152">
        <v>1</v>
      </c>
      <c r="C68" s="45">
        <v>9</v>
      </c>
      <c r="D68" s="45">
        <v>1</v>
      </c>
      <c r="E68" s="50">
        <v>13</v>
      </c>
      <c r="F68" s="291">
        <v>2</v>
      </c>
      <c r="G68" s="45">
        <v>9</v>
      </c>
      <c r="H68" s="45">
        <v>1</v>
      </c>
      <c r="I68" s="45">
        <v>2</v>
      </c>
      <c r="J68" s="45">
        <v>2</v>
      </c>
      <c r="K68" s="45">
        <v>3</v>
      </c>
      <c r="L68" s="51">
        <v>6</v>
      </c>
      <c r="M68" s="51">
        <v>1</v>
      </c>
      <c r="N68" s="45">
        <v>2</v>
      </c>
      <c r="O68" s="45">
        <v>1</v>
      </c>
      <c r="P68" s="45">
        <v>1</v>
      </c>
      <c r="Q68" s="45">
        <v>9</v>
      </c>
      <c r="R68" s="45">
        <v>2</v>
      </c>
      <c r="S68" s="45">
        <v>2</v>
      </c>
      <c r="T68" s="45">
        <v>6</v>
      </c>
      <c r="U68" s="45">
        <v>5</v>
      </c>
      <c r="V68" s="45">
        <v>2</v>
      </c>
      <c r="W68" s="45">
        <v>6</v>
      </c>
      <c r="X68" s="45">
        <v>2</v>
      </c>
      <c r="Y68" s="45">
        <v>7</v>
      </c>
      <c r="Z68" s="45">
        <v>7</v>
      </c>
      <c r="AA68" s="45">
        <v>3</v>
      </c>
      <c r="AB68" s="45">
        <v>7</v>
      </c>
      <c r="AC68" s="45">
        <v>7</v>
      </c>
      <c r="AD68" s="45">
        <v>1</v>
      </c>
      <c r="AE68" s="45">
        <v>1</v>
      </c>
      <c r="AF68" s="49">
        <v>7</v>
      </c>
    </row>
    <row r="69" spans="1:35" ht="30" customHeight="1" outlineLevel="1" x14ac:dyDescent="0.25">
      <c r="A69" s="615"/>
      <c r="B69" s="152" t="s">
        <v>1</v>
      </c>
      <c r="C69" s="45" t="s">
        <v>1</v>
      </c>
      <c r="D69" s="45" t="s">
        <v>69</v>
      </c>
      <c r="E69" s="50" t="s">
        <v>69</v>
      </c>
      <c r="F69" s="291" t="s">
        <v>1</v>
      </c>
      <c r="G69" s="45" t="s">
        <v>1</v>
      </c>
      <c r="H69" s="45" t="s">
        <v>69</v>
      </c>
      <c r="I69" s="45" t="s">
        <v>1</v>
      </c>
      <c r="J69" s="45" t="s">
        <v>1</v>
      </c>
      <c r="K69" s="45" t="s">
        <v>1</v>
      </c>
      <c r="L69" s="52" t="s">
        <v>1</v>
      </c>
      <c r="M69" s="52" t="s">
        <v>1</v>
      </c>
      <c r="N69" s="45" t="s">
        <v>69</v>
      </c>
      <c r="O69" s="45" t="s">
        <v>69</v>
      </c>
      <c r="P69" s="53" t="s">
        <v>69</v>
      </c>
      <c r="Q69" s="45" t="s">
        <v>1</v>
      </c>
      <c r="R69" s="45" t="s">
        <v>1</v>
      </c>
      <c r="S69" s="45" t="s">
        <v>1</v>
      </c>
      <c r="T69" s="45" t="s">
        <v>1</v>
      </c>
      <c r="U69" s="45" t="s">
        <v>69</v>
      </c>
      <c r="V69" s="45" t="s">
        <v>1</v>
      </c>
      <c r="W69" s="45" t="s">
        <v>1</v>
      </c>
      <c r="X69" s="45" t="s">
        <v>1</v>
      </c>
      <c r="Y69" s="45" t="s">
        <v>1</v>
      </c>
      <c r="Z69" s="45" t="s">
        <v>1</v>
      </c>
      <c r="AA69" s="45" t="s">
        <v>1</v>
      </c>
      <c r="AB69" s="45" t="s">
        <v>1</v>
      </c>
      <c r="AC69" s="45" t="s">
        <v>1</v>
      </c>
      <c r="AD69" s="45" t="s">
        <v>69</v>
      </c>
      <c r="AE69" s="45" t="s">
        <v>1</v>
      </c>
      <c r="AF69" s="49" t="s">
        <v>1</v>
      </c>
      <c r="AG69" s="2"/>
    </row>
    <row r="70" spans="1:35" ht="30" customHeight="1" outlineLevel="1" x14ac:dyDescent="0.25">
      <c r="A70" s="615"/>
      <c r="B70" s="152" t="s">
        <v>0</v>
      </c>
      <c r="C70" s="45" t="s">
        <v>0</v>
      </c>
      <c r="D70" s="45" t="s">
        <v>4</v>
      </c>
      <c r="E70" s="50" t="s">
        <v>0</v>
      </c>
      <c r="F70" s="291" t="s">
        <v>0</v>
      </c>
      <c r="G70" s="45" t="s">
        <v>0</v>
      </c>
      <c r="H70" s="45" t="s">
        <v>4</v>
      </c>
      <c r="I70" s="45" t="s">
        <v>4</v>
      </c>
      <c r="J70" s="45" t="s">
        <v>4</v>
      </c>
      <c r="K70" s="45" t="s">
        <v>4</v>
      </c>
      <c r="L70" s="52" t="s">
        <v>4</v>
      </c>
      <c r="M70" s="52" t="s">
        <v>0</v>
      </c>
      <c r="N70" s="45" t="s">
        <v>4</v>
      </c>
      <c r="O70" s="45" t="s">
        <v>4</v>
      </c>
      <c r="P70" s="45" t="s">
        <v>4</v>
      </c>
      <c r="Q70" s="45" t="s">
        <v>4</v>
      </c>
      <c r="R70" s="45" t="s">
        <v>4</v>
      </c>
      <c r="S70" s="45" t="s">
        <v>112</v>
      </c>
      <c r="T70" s="45" t="s">
        <v>0</v>
      </c>
      <c r="U70" s="45" t="s">
        <v>0</v>
      </c>
      <c r="V70" s="45" t="s">
        <v>0</v>
      </c>
      <c r="W70" s="45" t="s">
        <v>0</v>
      </c>
      <c r="X70" s="45" t="s">
        <v>0</v>
      </c>
      <c r="Y70" s="45" t="s">
        <v>0</v>
      </c>
      <c r="Z70" s="45" t="s">
        <v>0</v>
      </c>
      <c r="AA70" s="45" t="s">
        <v>0</v>
      </c>
      <c r="AB70" s="45" t="s">
        <v>0</v>
      </c>
      <c r="AC70" s="45" t="s">
        <v>0</v>
      </c>
      <c r="AD70" s="45" t="s">
        <v>4</v>
      </c>
      <c r="AE70" s="45" t="s">
        <v>4</v>
      </c>
      <c r="AF70" s="49" t="s">
        <v>4</v>
      </c>
    </row>
    <row r="71" spans="1:35" s="76" customFormat="1" ht="30" customHeight="1" thickBot="1" x14ac:dyDescent="0.3">
      <c r="A71" s="616"/>
      <c r="B71" s="149" t="s">
        <v>10</v>
      </c>
      <c r="C71" s="54" t="s">
        <v>544</v>
      </c>
      <c r="D71" s="55" t="s">
        <v>8</v>
      </c>
      <c r="E71" s="54" t="s">
        <v>198</v>
      </c>
      <c r="F71" s="288">
        <v>77</v>
      </c>
      <c r="G71" s="54">
        <v>250000001</v>
      </c>
      <c r="H71" s="193" t="s">
        <v>8</v>
      </c>
      <c r="I71" s="193" t="s">
        <v>5</v>
      </c>
      <c r="J71" s="55" t="s">
        <v>5</v>
      </c>
      <c r="K71" s="55" t="s">
        <v>6</v>
      </c>
      <c r="L71" s="55" t="s">
        <v>208</v>
      </c>
      <c r="M71" s="193" t="s">
        <v>397</v>
      </c>
      <c r="N71" s="55" t="s">
        <v>210</v>
      </c>
      <c r="O71" s="55" t="s">
        <v>8</v>
      </c>
      <c r="P71" s="55" t="s">
        <v>8</v>
      </c>
      <c r="Q71" s="54" t="s">
        <v>544</v>
      </c>
      <c r="R71" s="55" t="s">
        <v>5</v>
      </c>
      <c r="S71" s="55" t="s">
        <v>5</v>
      </c>
      <c r="T71" s="55" t="s">
        <v>581</v>
      </c>
      <c r="U71" s="228" t="s">
        <v>395</v>
      </c>
      <c r="V71" s="95" t="s">
        <v>202</v>
      </c>
      <c r="W71" s="54" t="s">
        <v>590</v>
      </c>
      <c r="X71" s="33" t="s">
        <v>649</v>
      </c>
      <c r="Y71" s="96" t="s">
        <v>652</v>
      </c>
      <c r="Z71" s="96" t="s">
        <v>652</v>
      </c>
      <c r="AA71" s="97" t="s">
        <v>592</v>
      </c>
      <c r="AB71" s="96" t="s">
        <v>653</v>
      </c>
      <c r="AC71" s="96" t="s">
        <v>652</v>
      </c>
      <c r="AD71" s="55" t="s">
        <v>8</v>
      </c>
      <c r="AE71" s="193" t="s">
        <v>200</v>
      </c>
      <c r="AF71" s="82" t="s">
        <v>212</v>
      </c>
      <c r="AG71" s="188" t="s">
        <v>589</v>
      </c>
    </row>
    <row r="72" spans="1:35" s="75" customFormat="1" ht="15.75" thickBot="1" x14ac:dyDescent="0.3">
      <c r="B72" s="150" t="s">
        <v>586</v>
      </c>
      <c r="C72" s="75" t="s">
        <v>586</v>
      </c>
      <c r="D72" s="75" t="s">
        <v>586</v>
      </c>
      <c r="E72" s="75" t="s">
        <v>586</v>
      </c>
      <c r="F72" s="276" t="s">
        <v>586</v>
      </c>
      <c r="G72" s="75" t="s">
        <v>586</v>
      </c>
      <c r="H72" s="75" t="s">
        <v>586</v>
      </c>
      <c r="I72" s="75" t="s">
        <v>586</v>
      </c>
      <c r="J72" s="75" t="s">
        <v>586</v>
      </c>
      <c r="K72" s="75" t="s">
        <v>586</v>
      </c>
      <c r="L72" s="75" t="s">
        <v>586</v>
      </c>
      <c r="M72" s="75" t="s">
        <v>586</v>
      </c>
      <c r="N72" s="75" t="s">
        <v>586</v>
      </c>
      <c r="O72" s="75" t="s">
        <v>586</v>
      </c>
      <c r="P72" s="75" t="s">
        <v>586</v>
      </c>
      <c r="Q72" s="75" t="s">
        <v>586</v>
      </c>
      <c r="R72" s="75" t="s">
        <v>586</v>
      </c>
      <c r="S72" s="75" t="s">
        <v>586</v>
      </c>
      <c r="T72" s="75" t="s">
        <v>586</v>
      </c>
      <c r="U72" s="75" t="s">
        <v>586</v>
      </c>
      <c r="V72" s="75" t="s">
        <v>586</v>
      </c>
      <c r="W72" s="75" t="s">
        <v>586</v>
      </c>
      <c r="X72" s="75" t="s">
        <v>586</v>
      </c>
      <c r="Y72" s="75" t="s">
        <v>586</v>
      </c>
      <c r="Z72" s="75" t="s">
        <v>586</v>
      </c>
      <c r="AA72" s="75" t="s">
        <v>586</v>
      </c>
      <c r="AB72" s="75" t="s">
        <v>586</v>
      </c>
      <c r="AC72" s="75" t="s">
        <v>586</v>
      </c>
      <c r="AD72" s="75" t="s">
        <v>586</v>
      </c>
      <c r="AE72" s="75" t="s">
        <v>586</v>
      </c>
      <c r="AF72" s="75" t="s">
        <v>586</v>
      </c>
    </row>
    <row r="73" spans="1:35" ht="100.15" customHeight="1" x14ac:dyDescent="0.25">
      <c r="A73" s="620" t="s">
        <v>916</v>
      </c>
      <c r="B73" s="151" t="s">
        <v>13</v>
      </c>
      <c r="C73" s="40" t="s">
        <v>14</v>
      </c>
      <c r="D73" s="40" t="s">
        <v>15</v>
      </c>
      <c r="E73" s="41" t="s">
        <v>16</v>
      </c>
      <c r="F73" s="289" t="s">
        <v>17</v>
      </c>
      <c r="G73" s="40" t="s">
        <v>70</v>
      </c>
      <c r="H73" s="40" t="s">
        <v>71</v>
      </c>
      <c r="I73" s="40" t="s">
        <v>72</v>
      </c>
      <c r="J73" s="40" t="s">
        <v>2</v>
      </c>
      <c r="K73" s="40" t="s">
        <v>73</v>
      </c>
      <c r="L73" s="42" t="s">
        <v>74</v>
      </c>
      <c r="M73" s="42" t="s">
        <v>75</v>
      </c>
      <c r="N73" s="40" t="s">
        <v>76</v>
      </c>
      <c r="O73" s="40" t="s">
        <v>77</v>
      </c>
      <c r="P73" s="40" t="s">
        <v>78</v>
      </c>
      <c r="Q73" s="40" t="s">
        <v>79</v>
      </c>
      <c r="R73" s="40" t="s">
        <v>80</v>
      </c>
      <c r="S73" s="40" t="s">
        <v>81</v>
      </c>
      <c r="T73" s="40" t="s">
        <v>82</v>
      </c>
      <c r="U73" s="40" t="s">
        <v>83</v>
      </c>
      <c r="V73" s="40" t="s">
        <v>84</v>
      </c>
      <c r="W73" s="40" t="s">
        <v>3</v>
      </c>
      <c r="X73" s="40" t="s">
        <v>85</v>
      </c>
      <c r="Y73" s="40" t="s">
        <v>86</v>
      </c>
      <c r="Z73" s="40" t="s">
        <v>87</v>
      </c>
      <c r="AA73" s="40" t="s">
        <v>88</v>
      </c>
      <c r="AB73" s="40" t="s">
        <v>89</v>
      </c>
      <c r="AC73" s="40" t="s">
        <v>90</v>
      </c>
      <c r="AD73" s="40" t="s">
        <v>91</v>
      </c>
      <c r="AE73" s="40" t="s">
        <v>92</v>
      </c>
      <c r="AF73" s="43" t="s">
        <v>93</v>
      </c>
    </row>
    <row r="74" spans="1:35" ht="19.899999999999999" customHeight="1" x14ac:dyDescent="0.25">
      <c r="A74" s="615"/>
      <c r="B74" s="152">
        <v>1</v>
      </c>
      <c r="C74" s="44" t="s">
        <v>47</v>
      </c>
      <c r="D74" s="45">
        <v>11</v>
      </c>
      <c r="E74" s="46" t="s">
        <v>48</v>
      </c>
      <c r="F74" s="290" t="s">
        <v>49</v>
      </c>
      <c r="G74" s="47" t="s">
        <v>50</v>
      </c>
      <c r="H74" s="47">
        <v>36</v>
      </c>
      <c r="I74" s="47" t="s">
        <v>94</v>
      </c>
      <c r="J74" s="47" t="s">
        <v>95</v>
      </c>
      <c r="K74" s="47" t="s">
        <v>96</v>
      </c>
      <c r="L74" s="48" t="s">
        <v>97</v>
      </c>
      <c r="M74" s="48" t="s">
        <v>98</v>
      </c>
      <c r="N74" s="47" t="s">
        <v>99</v>
      </c>
      <c r="O74" s="47">
        <v>53</v>
      </c>
      <c r="P74" s="47">
        <v>54</v>
      </c>
      <c r="Q74" s="47" t="s">
        <v>913</v>
      </c>
      <c r="R74" s="47" t="s">
        <v>100</v>
      </c>
      <c r="S74" s="47" t="s">
        <v>101</v>
      </c>
      <c r="T74" s="47" t="s">
        <v>57</v>
      </c>
      <c r="U74" s="47" t="s">
        <v>102</v>
      </c>
      <c r="V74" s="47" t="s">
        <v>103</v>
      </c>
      <c r="W74" s="47" t="s">
        <v>104</v>
      </c>
      <c r="X74" s="47" t="s">
        <v>105</v>
      </c>
      <c r="Y74" s="47" t="s">
        <v>106</v>
      </c>
      <c r="Z74" s="47" t="s">
        <v>107</v>
      </c>
      <c r="AA74" s="47" t="s">
        <v>108</v>
      </c>
      <c r="AB74" s="45" t="s">
        <v>109</v>
      </c>
      <c r="AC74" s="47" t="s">
        <v>110</v>
      </c>
      <c r="AD74" s="45">
        <v>120</v>
      </c>
      <c r="AE74" s="45">
        <v>121</v>
      </c>
      <c r="AF74" s="49" t="s">
        <v>111</v>
      </c>
    </row>
    <row r="75" spans="1:35" outlineLevel="1" x14ac:dyDescent="0.25">
      <c r="A75" s="615"/>
      <c r="B75" s="152">
        <v>1</v>
      </c>
      <c r="C75" s="45">
        <v>9</v>
      </c>
      <c r="D75" s="45">
        <v>1</v>
      </c>
      <c r="E75" s="50">
        <v>13</v>
      </c>
      <c r="F75" s="291">
        <v>2</v>
      </c>
      <c r="G75" s="45">
        <v>9</v>
      </c>
      <c r="H75" s="45">
        <v>1</v>
      </c>
      <c r="I75" s="45">
        <v>2</v>
      </c>
      <c r="J75" s="45">
        <v>2</v>
      </c>
      <c r="K75" s="45">
        <v>3</v>
      </c>
      <c r="L75" s="51">
        <v>6</v>
      </c>
      <c r="M75" s="51">
        <v>1</v>
      </c>
      <c r="N75" s="45">
        <v>2</v>
      </c>
      <c r="O75" s="45">
        <v>1</v>
      </c>
      <c r="P75" s="45">
        <v>1</v>
      </c>
      <c r="Q75" s="45">
        <v>9</v>
      </c>
      <c r="R75" s="45">
        <v>2</v>
      </c>
      <c r="S75" s="45">
        <v>2</v>
      </c>
      <c r="T75" s="45">
        <v>6</v>
      </c>
      <c r="U75" s="45">
        <v>5</v>
      </c>
      <c r="V75" s="45">
        <v>2</v>
      </c>
      <c r="W75" s="45">
        <v>6</v>
      </c>
      <c r="X75" s="45">
        <v>2</v>
      </c>
      <c r="Y75" s="45">
        <v>7</v>
      </c>
      <c r="Z75" s="45">
        <v>7</v>
      </c>
      <c r="AA75" s="45">
        <v>3</v>
      </c>
      <c r="AB75" s="45">
        <v>7</v>
      </c>
      <c r="AC75" s="45">
        <v>7</v>
      </c>
      <c r="AD75" s="45">
        <v>1</v>
      </c>
      <c r="AE75" s="45">
        <v>1</v>
      </c>
      <c r="AF75" s="49">
        <v>7</v>
      </c>
      <c r="AG75" s="2"/>
    </row>
    <row r="76" spans="1:35" outlineLevel="1" x14ac:dyDescent="0.25">
      <c r="A76" s="615"/>
      <c r="B76" s="152" t="s">
        <v>1</v>
      </c>
      <c r="C76" s="45" t="s">
        <v>1</v>
      </c>
      <c r="D76" s="45" t="s">
        <v>69</v>
      </c>
      <c r="E76" s="50" t="s">
        <v>69</v>
      </c>
      <c r="F76" s="291" t="s">
        <v>1</v>
      </c>
      <c r="G76" s="45" t="s">
        <v>1</v>
      </c>
      <c r="H76" s="45" t="s">
        <v>69</v>
      </c>
      <c r="I76" s="45" t="s">
        <v>1</v>
      </c>
      <c r="J76" s="45" t="s">
        <v>1</v>
      </c>
      <c r="K76" s="45" t="s">
        <v>1</v>
      </c>
      <c r="L76" s="52" t="s">
        <v>1</v>
      </c>
      <c r="M76" s="52" t="s">
        <v>1</v>
      </c>
      <c r="N76" s="45" t="s">
        <v>69</v>
      </c>
      <c r="O76" s="45" t="s">
        <v>69</v>
      </c>
      <c r="P76" s="53" t="s">
        <v>69</v>
      </c>
      <c r="Q76" s="45" t="s">
        <v>1</v>
      </c>
      <c r="R76" s="45" t="s">
        <v>1</v>
      </c>
      <c r="S76" s="45" t="s">
        <v>1</v>
      </c>
      <c r="T76" s="45" t="s">
        <v>1</v>
      </c>
      <c r="U76" s="45" t="s">
        <v>69</v>
      </c>
      <c r="V76" s="45" t="s">
        <v>1</v>
      </c>
      <c r="W76" s="45" t="s">
        <v>1</v>
      </c>
      <c r="X76" s="45" t="s">
        <v>1</v>
      </c>
      <c r="Y76" s="45" t="s">
        <v>1</v>
      </c>
      <c r="Z76" s="45" t="s">
        <v>1</v>
      </c>
      <c r="AA76" s="45" t="s">
        <v>1</v>
      </c>
      <c r="AB76" s="45" t="s">
        <v>1</v>
      </c>
      <c r="AC76" s="45" t="s">
        <v>1</v>
      </c>
      <c r="AD76" s="45" t="s">
        <v>69</v>
      </c>
      <c r="AE76" s="45" t="s">
        <v>1</v>
      </c>
      <c r="AF76" s="49" t="s">
        <v>1</v>
      </c>
    </row>
    <row r="77" spans="1:35" outlineLevel="1" x14ac:dyDescent="0.25">
      <c r="A77" s="615"/>
      <c r="B77" s="152" t="s">
        <v>0</v>
      </c>
      <c r="C77" s="45" t="s">
        <v>0</v>
      </c>
      <c r="D77" s="45" t="s">
        <v>4</v>
      </c>
      <c r="E77" s="50" t="s">
        <v>0</v>
      </c>
      <c r="F77" s="291" t="s">
        <v>0</v>
      </c>
      <c r="G77" s="45" t="s">
        <v>0</v>
      </c>
      <c r="H77" s="45" t="s">
        <v>4</v>
      </c>
      <c r="I77" s="45" t="s">
        <v>4</v>
      </c>
      <c r="J77" s="45" t="s">
        <v>4</v>
      </c>
      <c r="K77" s="45" t="s">
        <v>4</v>
      </c>
      <c r="L77" s="52" t="s">
        <v>4</v>
      </c>
      <c r="M77" s="52" t="s">
        <v>0</v>
      </c>
      <c r="N77" s="45" t="s">
        <v>4</v>
      </c>
      <c r="O77" s="45" t="s">
        <v>4</v>
      </c>
      <c r="P77" s="45" t="s">
        <v>4</v>
      </c>
      <c r="Q77" s="45" t="s">
        <v>4</v>
      </c>
      <c r="R77" s="45" t="s">
        <v>4</v>
      </c>
      <c r="S77" s="45" t="s">
        <v>112</v>
      </c>
      <c r="T77" s="45" t="s">
        <v>0</v>
      </c>
      <c r="U77" s="45" t="s">
        <v>0</v>
      </c>
      <c r="V77" s="45" t="s">
        <v>0</v>
      </c>
      <c r="W77" s="45" t="s">
        <v>0</v>
      </c>
      <c r="X77" s="45" t="s">
        <v>0</v>
      </c>
      <c r="Y77" s="45" t="s">
        <v>0</v>
      </c>
      <c r="Z77" s="45" t="s">
        <v>0</v>
      </c>
      <c r="AA77" s="45" t="s">
        <v>0</v>
      </c>
      <c r="AB77" s="45" t="s">
        <v>0</v>
      </c>
      <c r="AC77" s="45" t="s">
        <v>0</v>
      </c>
      <c r="AD77" s="45" t="s">
        <v>4</v>
      </c>
      <c r="AE77" s="45" t="s">
        <v>4</v>
      </c>
      <c r="AF77" s="49" t="s">
        <v>4</v>
      </c>
    </row>
    <row r="78" spans="1:35" ht="30" customHeight="1" thickBot="1" x14ac:dyDescent="0.3">
      <c r="A78" s="616"/>
      <c r="B78" s="149" t="s">
        <v>10</v>
      </c>
      <c r="C78" s="54" t="s">
        <v>544</v>
      </c>
      <c r="D78" s="55" t="s">
        <v>8</v>
      </c>
      <c r="E78" s="54" t="s">
        <v>198</v>
      </c>
      <c r="F78" s="288">
        <v>77</v>
      </c>
      <c r="G78" s="54">
        <v>250000001</v>
      </c>
      <c r="H78" s="193" t="s">
        <v>8</v>
      </c>
      <c r="I78" s="193" t="s">
        <v>5</v>
      </c>
      <c r="J78" s="55" t="s">
        <v>5</v>
      </c>
      <c r="K78" s="55" t="s">
        <v>6</v>
      </c>
      <c r="L78" s="55" t="s">
        <v>208</v>
      </c>
      <c r="M78" s="193" t="s">
        <v>397</v>
      </c>
      <c r="N78" s="55" t="s">
        <v>210</v>
      </c>
      <c r="O78" s="55" t="s">
        <v>8</v>
      </c>
      <c r="P78" s="55" t="s">
        <v>8</v>
      </c>
      <c r="Q78" s="54" t="s">
        <v>544</v>
      </c>
      <c r="R78" s="55" t="s">
        <v>5</v>
      </c>
      <c r="S78" s="55" t="s">
        <v>5</v>
      </c>
      <c r="T78" s="33" t="s">
        <v>581</v>
      </c>
      <c r="U78" s="228" t="s">
        <v>279</v>
      </c>
      <c r="V78" s="33" t="s">
        <v>649</v>
      </c>
      <c r="W78" s="54" t="s">
        <v>590</v>
      </c>
      <c r="X78" s="33" t="s">
        <v>649</v>
      </c>
      <c r="Y78" s="54" t="s">
        <v>594</v>
      </c>
      <c r="Z78" s="96" t="s">
        <v>654</v>
      </c>
      <c r="AA78" s="54" t="s">
        <v>592</v>
      </c>
      <c r="AB78" s="54" t="s">
        <v>655</v>
      </c>
      <c r="AC78" s="54" t="s">
        <v>654</v>
      </c>
      <c r="AD78" s="55" t="s">
        <v>8</v>
      </c>
      <c r="AE78" s="193" t="s">
        <v>200</v>
      </c>
      <c r="AF78" s="82" t="s">
        <v>212</v>
      </c>
      <c r="AG78" s="188" t="s">
        <v>589</v>
      </c>
      <c r="AH78" s="76"/>
      <c r="AI78" s="76"/>
    </row>
    <row r="79" spans="1:35" s="75" customFormat="1" ht="15.75" thickBot="1" x14ac:dyDescent="0.3">
      <c r="B79" s="150" t="s">
        <v>586</v>
      </c>
      <c r="C79" s="75" t="s">
        <v>586</v>
      </c>
      <c r="D79" s="75" t="s">
        <v>586</v>
      </c>
      <c r="E79" s="75" t="s">
        <v>586</v>
      </c>
      <c r="F79" s="276" t="s">
        <v>586</v>
      </c>
      <c r="G79" s="75" t="s">
        <v>586</v>
      </c>
      <c r="H79" s="75" t="s">
        <v>586</v>
      </c>
      <c r="I79" s="75" t="s">
        <v>586</v>
      </c>
      <c r="J79" s="75" t="s">
        <v>586</v>
      </c>
      <c r="K79" s="75" t="s">
        <v>586</v>
      </c>
      <c r="L79" s="75" t="s">
        <v>586</v>
      </c>
      <c r="M79" s="75" t="s">
        <v>586</v>
      </c>
      <c r="N79" s="75" t="s">
        <v>586</v>
      </c>
      <c r="O79" s="75" t="s">
        <v>586</v>
      </c>
      <c r="P79" s="75" t="s">
        <v>586</v>
      </c>
      <c r="Q79" s="75" t="s">
        <v>586</v>
      </c>
      <c r="R79" s="75" t="s">
        <v>586</v>
      </c>
      <c r="S79" s="75" t="s">
        <v>586</v>
      </c>
      <c r="T79" s="75" t="s">
        <v>586</v>
      </c>
      <c r="U79" s="75" t="s">
        <v>586</v>
      </c>
      <c r="V79" s="75" t="s">
        <v>586</v>
      </c>
      <c r="W79" s="75" t="s">
        <v>586</v>
      </c>
      <c r="X79" s="75" t="s">
        <v>586</v>
      </c>
      <c r="Y79" s="75" t="s">
        <v>586</v>
      </c>
      <c r="Z79" s="75" t="s">
        <v>586</v>
      </c>
      <c r="AA79" s="75" t="s">
        <v>586</v>
      </c>
      <c r="AB79" s="75" t="s">
        <v>586</v>
      </c>
      <c r="AC79" s="75" t="s">
        <v>586</v>
      </c>
      <c r="AD79" s="75" t="s">
        <v>586</v>
      </c>
      <c r="AE79" s="75" t="s">
        <v>586</v>
      </c>
      <c r="AF79" s="75" t="s">
        <v>586</v>
      </c>
    </row>
    <row r="80" spans="1:35" ht="100.15" customHeight="1" x14ac:dyDescent="0.25">
      <c r="A80" s="614" t="s">
        <v>360</v>
      </c>
      <c r="B80" s="147" t="s">
        <v>13</v>
      </c>
      <c r="C80" s="24" t="s">
        <v>14</v>
      </c>
      <c r="D80" s="24" t="s">
        <v>15</v>
      </c>
      <c r="E80" s="25" t="s">
        <v>16</v>
      </c>
      <c r="F80" s="282" t="s">
        <v>17</v>
      </c>
      <c r="G80" s="24" t="s">
        <v>70</v>
      </c>
      <c r="H80" s="24" t="s">
        <v>15</v>
      </c>
      <c r="I80" s="24" t="s">
        <v>220</v>
      </c>
      <c r="J80" s="24" t="s">
        <v>221</v>
      </c>
      <c r="K80" s="26" t="s">
        <v>222</v>
      </c>
      <c r="L80" s="26" t="s">
        <v>223</v>
      </c>
      <c r="M80" s="24" t="s">
        <v>224</v>
      </c>
      <c r="N80" s="24" t="s">
        <v>225</v>
      </c>
      <c r="O80" s="24" t="s">
        <v>226</v>
      </c>
      <c r="P80" s="24" t="s">
        <v>221</v>
      </c>
      <c r="Q80" s="24" t="s">
        <v>227</v>
      </c>
      <c r="R80" s="24" t="s">
        <v>15</v>
      </c>
      <c r="S80" s="27" t="s">
        <v>228</v>
      </c>
    </row>
    <row r="81" spans="1:35" ht="19.899999999999999" customHeight="1" x14ac:dyDescent="0.25">
      <c r="A81" s="615"/>
      <c r="B81" s="148">
        <v>1</v>
      </c>
      <c r="C81" s="5" t="s">
        <v>47</v>
      </c>
      <c r="D81" s="4">
        <v>11</v>
      </c>
      <c r="E81" s="6" t="s">
        <v>48</v>
      </c>
      <c r="F81" s="283" t="s">
        <v>49</v>
      </c>
      <c r="G81" s="7" t="s">
        <v>50</v>
      </c>
      <c r="H81" s="7" t="s">
        <v>229</v>
      </c>
      <c r="I81" s="7" t="s">
        <v>216</v>
      </c>
      <c r="J81" s="7" t="s">
        <v>230</v>
      </c>
      <c r="K81" s="8" t="s">
        <v>217</v>
      </c>
      <c r="L81" s="8" t="s">
        <v>218</v>
      </c>
      <c r="M81" s="7" t="s">
        <v>179</v>
      </c>
      <c r="N81" s="7" t="s">
        <v>219</v>
      </c>
      <c r="O81" s="7">
        <v>90</v>
      </c>
      <c r="P81" s="7" t="s">
        <v>231</v>
      </c>
      <c r="Q81" s="7">
        <v>94</v>
      </c>
      <c r="R81" s="7" t="s">
        <v>232</v>
      </c>
      <c r="S81" s="28" t="s">
        <v>233</v>
      </c>
    </row>
    <row r="82" spans="1:35" outlineLevel="1" x14ac:dyDescent="0.25">
      <c r="A82" s="615"/>
      <c r="B82" s="148">
        <v>1</v>
      </c>
      <c r="C82" s="4">
        <v>9</v>
      </c>
      <c r="D82" s="4">
        <v>1</v>
      </c>
      <c r="E82" s="9">
        <v>13</v>
      </c>
      <c r="F82" s="284">
        <v>2</v>
      </c>
      <c r="G82" s="4">
        <v>9</v>
      </c>
      <c r="H82" s="4">
        <v>3</v>
      </c>
      <c r="I82" s="4">
        <v>3</v>
      </c>
      <c r="J82" s="4">
        <v>16</v>
      </c>
      <c r="K82" s="10">
        <v>8</v>
      </c>
      <c r="L82" s="10">
        <v>8</v>
      </c>
      <c r="M82" s="4">
        <v>8</v>
      </c>
      <c r="N82" s="4">
        <v>8</v>
      </c>
      <c r="O82" s="4">
        <v>1</v>
      </c>
      <c r="P82" s="4">
        <v>3</v>
      </c>
      <c r="Q82" s="4">
        <v>1</v>
      </c>
      <c r="R82" s="4">
        <v>2</v>
      </c>
      <c r="S82" s="29">
        <v>32</v>
      </c>
    </row>
    <row r="83" spans="1:35" ht="13.5" customHeight="1" outlineLevel="1" x14ac:dyDescent="0.25">
      <c r="A83" s="615"/>
      <c r="B83" s="148" t="s">
        <v>1</v>
      </c>
      <c r="C83" s="4" t="s">
        <v>1</v>
      </c>
      <c r="D83" s="4" t="s">
        <v>69</v>
      </c>
      <c r="E83" s="9" t="s">
        <v>69</v>
      </c>
      <c r="F83" s="284" t="s">
        <v>1</v>
      </c>
      <c r="G83" s="4" t="s">
        <v>1</v>
      </c>
      <c r="H83" s="4" t="s">
        <v>69</v>
      </c>
      <c r="I83" s="4" t="s">
        <v>1</v>
      </c>
      <c r="J83" s="4" t="s">
        <v>69</v>
      </c>
      <c r="K83" s="12" t="s">
        <v>1</v>
      </c>
      <c r="L83" s="12" t="s">
        <v>1</v>
      </c>
      <c r="M83" s="4" t="s">
        <v>1</v>
      </c>
      <c r="N83" s="4" t="s">
        <v>1</v>
      </c>
      <c r="O83" s="4" t="s">
        <v>69</v>
      </c>
      <c r="P83" s="4" t="s">
        <v>69</v>
      </c>
      <c r="Q83" s="4" t="s">
        <v>69</v>
      </c>
      <c r="R83" s="4" t="s">
        <v>69</v>
      </c>
      <c r="S83" s="29" t="s">
        <v>69</v>
      </c>
    </row>
    <row r="84" spans="1:35" outlineLevel="1" x14ac:dyDescent="0.25">
      <c r="A84" s="615"/>
      <c r="B84" s="148" t="s">
        <v>0</v>
      </c>
      <c r="C84" s="4" t="s">
        <v>0</v>
      </c>
      <c r="D84" s="4" t="s">
        <v>4</v>
      </c>
      <c r="E84" s="9" t="s">
        <v>0</v>
      </c>
      <c r="F84" s="284" t="s">
        <v>0</v>
      </c>
      <c r="G84" s="4" t="s">
        <v>0</v>
      </c>
      <c r="H84" s="4" t="s">
        <v>4</v>
      </c>
      <c r="I84" s="4" t="s">
        <v>0</v>
      </c>
      <c r="J84" s="4" t="s">
        <v>0</v>
      </c>
      <c r="K84" s="12" t="s">
        <v>0</v>
      </c>
      <c r="L84" s="12" t="s">
        <v>0</v>
      </c>
      <c r="M84" s="4" t="s">
        <v>0</v>
      </c>
      <c r="N84" s="4" t="s">
        <v>4</v>
      </c>
      <c r="O84" s="4" t="s">
        <v>4</v>
      </c>
      <c r="P84" s="4" t="s">
        <v>0</v>
      </c>
      <c r="Q84" s="4" t="s">
        <v>0</v>
      </c>
      <c r="R84" s="4" t="s">
        <v>4</v>
      </c>
      <c r="S84" s="29" t="s">
        <v>4</v>
      </c>
    </row>
    <row r="85" spans="1:35" s="163" customFormat="1" ht="30" customHeight="1" thickBot="1" x14ac:dyDescent="0.3">
      <c r="A85" s="616"/>
      <c r="B85" s="157">
        <v>5</v>
      </c>
      <c r="C85" s="54" t="s">
        <v>544</v>
      </c>
      <c r="D85" s="55" t="s">
        <v>8</v>
      </c>
      <c r="E85" s="55" t="s">
        <v>198</v>
      </c>
      <c r="F85" s="270">
        <v>77</v>
      </c>
      <c r="G85" s="55">
        <v>250000001</v>
      </c>
      <c r="H85" s="98" t="s">
        <v>9</v>
      </c>
      <c r="I85" s="496" t="s">
        <v>668</v>
      </c>
      <c r="J85" s="98" t="s">
        <v>234</v>
      </c>
      <c r="K85" s="56" t="s">
        <v>656</v>
      </c>
      <c r="L85" s="56" t="s">
        <v>657</v>
      </c>
      <c r="M85" s="56" t="s">
        <v>658</v>
      </c>
      <c r="N85" s="56" t="s">
        <v>599</v>
      </c>
      <c r="O85" s="56" t="s">
        <v>8</v>
      </c>
      <c r="P85" s="56" t="s">
        <v>9</v>
      </c>
      <c r="Q85" s="56" t="s">
        <v>8</v>
      </c>
      <c r="R85" s="56" t="s">
        <v>210</v>
      </c>
      <c r="S85" s="99" t="s">
        <v>235</v>
      </c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</row>
    <row r="86" spans="1:35" ht="15.75" thickBot="1" x14ac:dyDescent="0.3">
      <c r="A86" s="75"/>
      <c r="B86" s="150" t="s">
        <v>586</v>
      </c>
      <c r="C86" s="75" t="s">
        <v>586</v>
      </c>
      <c r="D86" s="75" t="s">
        <v>586</v>
      </c>
      <c r="E86" s="75" t="s">
        <v>586</v>
      </c>
      <c r="F86" s="276" t="s">
        <v>586</v>
      </c>
      <c r="G86" s="75" t="s">
        <v>586</v>
      </c>
      <c r="H86" s="75" t="s">
        <v>586</v>
      </c>
      <c r="I86" s="75" t="s">
        <v>586</v>
      </c>
      <c r="J86" s="75" t="s">
        <v>586</v>
      </c>
      <c r="K86" s="75" t="s">
        <v>586</v>
      </c>
      <c r="L86" s="75" t="s">
        <v>586</v>
      </c>
      <c r="M86" s="75" t="s">
        <v>586</v>
      </c>
      <c r="N86" s="75" t="s">
        <v>586</v>
      </c>
      <c r="O86" s="75" t="s">
        <v>586</v>
      </c>
      <c r="P86" s="75" t="s">
        <v>586</v>
      </c>
      <c r="Q86" s="75" t="s">
        <v>586</v>
      </c>
      <c r="R86" s="75" t="s">
        <v>586</v>
      </c>
      <c r="S86" s="75" t="s">
        <v>586</v>
      </c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</row>
    <row r="87" spans="1:35" ht="100.15" customHeight="1" x14ac:dyDescent="0.25">
      <c r="A87" s="608" t="s">
        <v>361</v>
      </c>
      <c r="B87" s="327" t="s">
        <v>13</v>
      </c>
      <c r="C87" s="328" t="s">
        <v>14</v>
      </c>
      <c r="D87" s="328" t="s">
        <v>339</v>
      </c>
      <c r="E87" s="329" t="s">
        <v>469</v>
      </c>
      <c r="F87" s="330" t="s">
        <v>470</v>
      </c>
      <c r="G87" s="328" t="s">
        <v>471</v>
      </c>
      <c r="H87" s="328" t="s">
        <v>340</v>
      </c>
      <c r="I87" s="328" t="s">
        <v>473</v>
      </c>
      <c r="J87" s="328" t="s">
        <v>472</v>
      </c>
      <c r="K87" s="331" t="s">
        <v>312</v>
      </c>
      <c r="L87" s="331" t="s">
        <v>341</v>
      </c>
      <c r="M87" s="328" t="s">
        <v>25</v>
      </c>
      <c r="N87" s="328" t="s">
        <v>15</v>
      </c>
      <c r="O87" s="328" t="s">
        <v>474</v>
      </c>
      <c r="P87" s="328" t="s">
        <v>342</v>
      </c>
      <c r="Q87" s="328" t="s">
        <v>15</v>
      </c>
      <c r="R87" s="328" t="s">
        <v>343</v>
      </c>
      <c r="S87" s="332" t="s">
        <v>228</v>
      </c>
    </row>
    <row r="88" spans="1:35" ht="19.899999999999999" customHeight="1" x14ac:dyDescent="0.25">
      <c r="A88" s="609"/>
      <c r="B88" s="158">
        <v>1</v>
      </c>
      <c r="C88" s="102" t="s">
        <v>47</v>
      </c>
      <c r="D88" s="103" t="s">
        <v>344</v>
      </c>
      <c r="E88" s="104" t="s">
        <v>345</v>
      </c>
      <c r="F88" s="298" t="s">
        <v>346</v>
      </c>
      <c r="G88" s="103" t="s">
        <v>347</v>
      </c>
      <c r="H88" s="103" t="s">
        <v>348</v>
      </c>
      <c r="I88" s="103" t="s">
        <v>349</v>
      </c>
      <c r="J88" s="103" t="s">
        <v>350</v>
      </c>
      <c r="K88" s="105" t="s">
        <v>351</v>
      </c>
      <c r="L88" s="105" t="s">
        <v>352</v>
      </c>
      <c r="M88" s="103" t="s">
        <v>353</v>
      </c>
      <c r="N88" s="103" t="s">
        <v>354</v>
      </c>
      <c r="O88" s="103" t="s">
        <v>355</v>
      </c>
      <c r="P88" s="103" t="s">
        <v>356</v>
      </c>
      <c r="Q88" s="103" t="s">
        <v>357</v>
      </c>
      <c r="R88" s="103" t="s">
        <v>358</v>
      </c>
      <c r="S88" s="333" t="s">
        <v>233</v>
      </c>
    </row>
    <row r="89" spans="1:35" outlineLevel="1" x14ac:dyDescent="0.25">
      <c r="A89" s="609"/>
      <c r="B89" s="158">
        <v>1</v>
      </c>
      <c r="C89" s="101">
        <v>9</v>
      </c>
      <c r="D89" s="101">
        <v>3</v>
      </c>
      <c r="E89" s="101">
        <v>4</v>
      </c>
      <c r="F89" s="299">
        <v>4</v>
      </c>
      <c r="G89" s="101">
        <v>3</v>
      </c>
      <c r="H89" s="101">
        <v>9</v>
      </c>
      <c r="I89" s="101">
        <v>9</v>
      </c>
      <c r="J89" s="101">
        <v>9</v>
      </c>
      <c r="K89" s="107">
        <v>3</v>
      </c>
      <c r="L89" s="107">
        <v>1</v>
      </c>
      <c r="M89" s="101">
        <v>1</v>
      </c>
      <c r="N89" s="101">
        <v>4</v>
      </c>
      <c r="O89" s="101">
        <v>12</v>
      </c>
      <c r="P89" s="101">
        <v>12</v>
      </c>
      <c r="Q89" s="103">
        <v>3</v>
      </c>
      <c r="R89" s="101">
        <v>9</v>
      </c>
      <c r="S89" s="334">
        <v>32</v>
      </c>
    </row>
    <row r="90" spans="1:35" outlineLevel="1" x14ac:dyDescent="0.25">
      <c r="A90" s="609"/>
      <c r="B90" s="158" t="s">
        <v>1</v>
      </c>
      <c r="C90" s="101" t="s">
        <v>1</v>
      </c>
      <c r="D90" s="197" t="s">
        <v>1</v>
      </c>
      <c r="E90" s="106" t="s">
        <v>1</v>
      </c>
      <c r="F90" s="299" t="s">
        <v>1</v>
      </c>
      <c r="G90" s="101" t="s">
        <v>1</v>
      </c>
      <c r="H90" s="101" t="s">
        <v>1</v>
      </c>
      <c r="I90" s="101" t="s">
        <v>1</v>
      </c>
      <c r="J90" s="101" t="s">
        <v>1</v>
      </c>
      <c r="K90" s="108" t="s">
        <v>1</v>
      </c>
      <c r="L90" s="108" t="s">
        <v>69</v>
      </c>
      <c r="M90" s="101" t="s">
        <v>69</v>
      </c>
      <c r="N90" s="101" t="s">
        <v>69</v>
      </c>
      <c r="O90" s="101" t="s">
        <v>69</v>
      </c>
      <c r="P90" s="101" t="s">
        <v>1</v>
      </c>
      <c r="Q90" s="101" t="s">
        <v>69</v>
      </c>
      <c r="R90" s="101" t="s">
        <v>1</v>
      </c>
      <c r="S90" s="334" t="s">
        <v>1</v>
      </c>
    </row>
    <row r="91" spans="1:35" outlineLevel="1" x14ac:dyDescent="0.25">
      <c r="A91" s="609"/>
      <c r="B91" s="158" t="s">
        <v>0</v>
      </c>
      <c r="C91" s="101" t="s">
        <v>0</v>
      </c>
      <c r="D91" s="101" t="s">
        <v>0</v>
      </c>
      <c r="E91" s="106" t="s">
        <v>0</v>
      </c>
      <c r="F91" s="299" t="s">
        <v>0</v>
      </c>
      <c r="G91" s="101" t="s">
        <v>0</v>
      </c>
      <c r="H91" s="101" t="s">
        <v>0</v>
      </c>
      <c r="I91" s="101" t="s">
        <v>0</v>
      </c>
      <c r="J91" s="101" t="s">
        <v>0</v>
      </c>
      <c r="K91" s="108" t="s">
        <v>0</v>
      </c>
      <c r="L91" s="108" t="s">
        <v>4</v>
      </c>
      <c r="M91" s="101" t="s">
        <v>4</v>
      </c>
      <c r="N91" s="101" t="s">
        <v>4</v>
      </c>
      <c r="O91" s="101" t="s">
        <v>4</v>
      </c>
      <c r="P91" s="101" t="s">
        <v>4</v>
      </c>
      <c r="Q91" s="101" t="s">
        <v>4</v>
      </c>
      <c r="R91" s="101" t="s">
        <v>4</v>
      </c>
      <c r="S91" s="334" t="s">
        <v>0</v>
      </c>
    </row>
    <row r="92" spans="1:35" s="163" customFormat="1" ht="30" customHeight="1" thickBot="1" x14ac:dyDescent="0.3">
      <c r="A92" s="610"/>
      <c r="B92" s="183">
        <v>6</v>
      </c>
      <c r="C92" s="335" t="s">
        <v>544</v>
      </c>
      <c r="D92" s="185" t="s">
        <v>195</v>
      </c>
      <c r="E92" s="336" t="s">
        <v>522</v>
      </c>
      <c r="F92" s="337" t="s">
        <v>521</v>
      </c>
      <c r="G92" s="185" t="s">
        <v>195</v>
      </c>
      <c r="H92" s="184" t="s">
        <v>659</v>
      </c>
      <c r="I92" s="184" t="s">
        <v>660</v>
      </c>
      <c r="J92" s="184" t="s">
        <v>209</v>
      </c>
      <c r="K92" s="184" t="s">
        <v>195</v>
      </c>
      <c r="L92" s="186" t="s">
        <v>8</v>
      </c>
      <c r="M92" s="186" t="s">
        <v>8</v>
      </c>
      <c r="N92" s="186" t="s">
        <v>387</v>
      </c>
      <c r="O92" s="186" t="s">
        <v>941</v>
      </c>
      <c r="P92" s="186" t="s">
        <v>388</v>
      </c>
      <c r="Q92" s="186" t="s">
        <v>9</v>
      </c>
      <c r="R92" s="186" t="s">
        <v>389</v>
      </c>
      <c r="S92" s="187" t="s">
        <v>235</v>
      </c>
    </row>
    <row r="93" spans="1:35" ht="9.75" customHeight="1" thickBot="1" x14ac:dyDescent="0.3">
      <c r="B93" s="150" t="s">
        <v>586</v>
      </c>
      <c r="C93" s="150" t="s">
        <v>586</v>
      </c>
      <c r="D93" s="150" t="s">
        <v>586</v>
      </c>
      <c r="E93" s="150" t="s">
        <v>586</v>
      </c>
      <c r="F93" s="276" t="s">
        <v>586</v>
      </c>
      <c r="G93" s="150" t="s">
        <v>586</v>
      </c>
      <c r="H93" s="150" t="s">
        <v>586</v>
      </c>
      <c r="I93" s="150" t="s">
        <v>586</v>
      </c>
      <c r="J93" s="150" t="s">
        <v>586</v>
      </c>
      <c r="K93" s="150" t="s">
        <v>586</v>
      </c>
      <c r="L93" s="150" t="s">
        <v>586</v>
      </c>
      <c r="M93" s="150" t="s">
        <v>586</v>
      </c>
      <c r="N93" s="150" t="s">
        <v>586</v>
      </c>
      <c r="O93" s="150" t="s">
        <v>586</v>
      </c>
      <c r="P93" s="150" t="s">
        <v>586</v>
      </c>
      <c r="Q93" s="150" t="s">
        <v>586</v>
      </c>
      <c r="R93" s="150" t="s">
        <v>586</v>
      </c>
      <c r="S93" s="150" t="s">
        <v>586</v>
      </c>
    </row>
    <row r="94" spans="1:35" ht="100.15" customHeight="1" x14ac:dyDescent="0.25">
      <c r="A94" s="611" t="s">
        <v>371</v>
      </c>
      <c r="B94" s="159" t="s">
        <v>13</v>
      </c>
      <c r="C94" s="117" t="s">
        <v>363</v>
      </c>
      <c r="D94" s="117" t="s">
        <v>364</v>
      </c>
      <c r="E94" s="118" t="s">
        <v>15</v>
      </c>
      <c r="F94" s="300" t="s">
        <v>283</v>
      </c>
      <c r="G94" s="117" t="s">
        <v>365</v>
      </c>
      <c r="H94" s="117" t="s">
        <v>15</v>
      </c>
      <c r="I94" s="117" t="s">
        <v>286</v>
      </c>
      <c r="J94" s="117" t="s">
        <v>287</v>
      </c>
      <c r="K94" s="119" t="s">
        <v>366</v>
      </c>
      <c r="L94" s="119" t="s">
        <v>15</v>
      </c>
      <c r="M94" s="117" t="s">
        <v>367</v>
      </c>
      <c r="N94" s="120" t="s">
        <v>15</v>
      </c>
    </row>
    <row r="95" spans="1:35" ht="19.899999999999999" customHeight="1" x14ac:dyDescent="0.25">
      <c r="A95" s="612"/>
      <c r="B95" s="198" t="s">
        <v>293</v>
      </c>
      <c r="C95" s="110" t="s">
        <v>294</v>
      </c>
      <c r="D95" s="111" t="s">
        <v>295</v>
      </c>
      <c r="E95" s="112" t="s">
        <v>296</v>
      </c>
      <c r="F95" s="301" t="s">
        <v>297</v>
      </c>
      <c r="G95" s="111" t="s">
        <v>298</v>
      </c>
      <c r="H95" s="111" t="s">
        <v>299</v>
      </c>
      <c r="I95" s="111" t="s">
        <v>300</v>
      </c>
      <c r="J95" s="111" t="s">
        <v>301</v>
      </c>
      <c r="K95" s="113" t="s">
        <v>368</v>
      </c>
      <c r="L95" s="113" t="s">
        <v>369</v>
      </c>
      <c r="M95" s="111" t="s">
        <v>307</v>
      </c>
      <c r="N95" s="121" t="s">
        <v>370</v>
      </c>
    </row>
    <row r="96" spans="1:35" outlineLevel="1" x14ac:dyDescent="0.25">
      <c r="A96" s="612"/>
      <c r="B96" s="160">
        <v>3</v>
      </c>
      <c r="C96" s="109">
        <v>2</v>
      </c>
      <c r="D96" s="109">
        <v>14</v>
      </c>
      <c r="E96" s="109">
        <v>6</v>
      </c>
      <c r="F96" s="302">
        <v>2</v>
      </c>
      <c r="G96" s="109">
        <v>14</v>
      </c>
      <c r="H96" s="109">
        <v>6</v>
      </c>
      <c r="I96" s="109">
        <v>2</v>
      </c>
      <c r="J96" s="109">
        <v>6</v>
      </c>
      <c r="K96" s="115">
        <v>8</v>
      </c>
      <c r="L96" s="115">
        <v>19</v>
      </c>
      <c r="M96" s="109">
        <v>3</v>
      </c>
      <c r="N96" s="122">
        <v>43</v>
      </c>
    </row>
    <row r="97" spans="1:35" outlineLevel="1" x14ac:dyDescent="0.25">
      <c r="A97" s="612"/>
      <c r="B97" s="160" t="s">
        <v>1</v>
      </c>
      <c r="C97" s="109" t="s">
        <v>69</v>
      </c>
      <c r="D97" s="109" t="s">
        <v>1</v>
      </c>
      <c r="E97" s="114" t="s">
        <v>69</v>
      </c>
      <c r="F97" s="302" t="s">
        <v>69</v>
      </c>
      <c r="G97" s="109" t="s">
        <v>1</v>
      </c>
      <c r="H97" s="109" t="s">
        <v>69</v>
      </c>
      <c r="I97" s="109" t="s">
        <v>69</v>
      </c>
      <c r="J97" s="109" t="s">
        <v>69</v>
      </c>
      <c r="K97" s="116" t="s">
        <v>1</v>
      </c>
      <c r="L97" s="116" t="s">
        <v>69</v>
      </c>
      <c r="M97" s="109" t="s">
        <v>1</v>
      </c>
      <c r="N97" s="122" t="s">
        <v>69</v>
      </c>
    </row>
    <row r="98" spans="1:35" outlineLevel="1" x14ac:dyDescent="0.25">
      <c r="A98" s="612"/>
      <c r="B98" s="160" t="s">
        <v>0</v>
      </c>
      <c r="C98" s="109" t="s">
        <v>0</v>
      </c>
      <c r="D98" s="109" t="s">
        <v>0</v>
      </c>
      <c r="E98" s="114" t="s">
        <v>4</v>
      </c>
      <c r="F98" s="302" t="s">
        <v>0</v>
      </c>
      <c r="G98" s="109" t="s">
        <v>0</v>
      </c>
      <c r="H98" s="109" t="s">
        <v>4</v>
      </c>
      <c r="I98" s="109" t="s">
        <v>0</v>
      </c>
      <c r="J98" s="109" t="s">
        <v>0</v>
      </c>
      <c r="K98" s="116" t="s">
        <v>0</v>
      </c>
      <c r="L98" s="116" t="s">
        <v>4</v>
      </c>
      <c r="M98" s="109" t="s">
        <v>0</v>
      </c>
      <c r="N98" s="122" t="s">
        <v>4</v>
      </c>
    </row>
    <row r="99" spans="1:35" ht="30" customHeight="1" thickBot="1" x14ac:dyDescent="0.3">
      <c r="A99" s="613"/>
      <c r="B99" s="183">
        <v>999</v>
      </c>
      <c r="C99" s="186" t="s">
        <v>373</v>
      </c>
      <c r="D99" s="174" t="s">
        <v>584</v>
      </c>
      <c r="E99" s="186" t="s">
        <v>374</v>
      </c>
      <c r="F99" s="303" t="s">
        <v>375</v>
      </c>
      <c r="G99" s="174" t="s">
        <v>585</v>
      </c>
      <c r="H99" s="186" t="s">
        <v>374</v>
      </c>
      <c r="I99" s="186" t="s">
        <v>376</v>
      </c>
      <c r="J99" s="184" t="s">
        <v>377</v>
      </c>
      <c r="K99" s="497" t="s">
        <v>685</v>
      </c>
      <c r="L99" s="186" t="s">
        <v>390</v>
      </c>
      <c r="M99" s="185" t="s">
        <v>195</v>
      </c>
      <c r="N99" s="187" t="s">
        <v>391</v>
      </c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</row>
    <row r="100" spans="1:35" x14ac:dyDescent="0.25">
      <c r="B100" s="150" t="s">
        <v>586</v>
      </c>
      <c r="C100" s="150" t="s">
        <v>586</v>
      </c>
      <c r="D100" s="150" t="s">
        <v>586</v>
      </c>
      <c r="E100" s="150" t="s">
        <v>586</v>
      </c>
      <c r="F100" s="276" t="s">
        <v>586</v>
      </c>
      <c r="G100" s="150" t="s">
        <v>586</v>
      </c>
      <c r="H100" s="150" t="s">
        <v>586</v>
      </c>
      <c r="I100" s="150" t="s">
        <v>586</v>
      </c>
      <c r="J100" s="150" t="s">
        <v>586</v>
      </c>
      <c r="K100" s="150" t="s">
        <v>586</v>
      </c>
      <c r="L100" s="150" t="s">
        <v>586</v>
      </c>
      <c r="M100" s="150" t="s">
        <v>586</v>
      </c>
      <c r="N100" s="150" t="s">
        <v>586</v>
      </c>
    </row>
  </sheetData>
  <sheetProtection algorithmName="SHA-512" hashValue="Xp572x4mvyrGUDzMEgS8oBwx1mHyh1DPp1plymWBydsBLySrembLZcPkAoM59LT6APzTDOkZ0Znw5eXMcOKGww==" saltValue="5+Fal0cCcE//jXMU8MwNJw==" spinCount="100000" sheet="1" sort="0"/>
  <mergeCells count="27">
    <mergeCell ref="A10:A15"/>
    <mergeCell ref="A17:A22"/>
    <mergeCell ref="A80:A85"/>
    <mergeCell ref="A87:A92"/>
    <mergeCell ref="A94:A99"/>
    <mergeCell ref="A66:A71"/>
    <mergeCell ref="A73:A78"/>
    <mergeCell ref="A24:A29"/>
    <mergeCell ref="A31:A36"/>
    <mergeCell ref="A38:A43"/>
    <mergeCell ref="A45:A50"/>
    <mergeCell ref="A52:A57"/>
    <mergeCell ref="A59:A64"/>
    <mergeCell ref="B1:AI1"/>
    <mergeCell ref="A3:C3"/>
    <mergeCell ref="D3:F3"/>
    <mergeCell ref="G3:H3"/>
    <mergeCell ref="I3:X3"/>
    <mergeCell ref="Z3:AE3"/>
    <mergeCell ref="AG3:AI3"/>
    <mergeCell ref="A8:AI8"/>
    <mergeCell ref="A5:A6"/>
    <mergeCell ref="B5:B6"/>
    <mergeCell ref="E5:E6"/>
    <mergeCell ref="D5:D6"/>
    <mergeCell ref="H5:H6"/>
    <mergeCell ref="F5:F6"/>
  </mergeCells>
  <conditionalFormatting sqref="B29">
    <cfRule type="expression" dxfId="35" priority="2">
      <formula>"B17&lt;&gt;0"</formula>
    </cfRule>
  </conditionalFormatting>
  <conditionalFormatting sqref="F29">
    <cfRule type="expression" dxfId="34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  <rowBreaks count="1" manualBreakCount="1">
    <brk id="79" max="3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tabColor theme="8" tint="-0.499984740745262"/>
    <pageSetUpPr fitToPage="1"/>
  </sheetPr>
  <dimension ref="A1:AM113"/>
  <sheetViews>
    <sheetView view="pageBreakPreview" topLeftCell="A83" zoomScale="55" zoomScaleNormal="25" zoomScaleSheetLayoutView="55" workbookViewId="0">
      <selection activeCell="O105" sqref="O105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9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9" ht="15.75" thickBot="1" x14ac:dyDescent="0.3">
      <c r="C2" s="78"/>
    </row>
    <row r="3" spans="1:39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9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9" ht="58.5" customHeight="1" thickBot="1" x14ac:dyDescent="0.3">
      <c r="A5" s="379" t="str">
        <f>'LISTE DES CAS ANNEXE 30'!A18</f>
        <v>CONVENTION CAS 8</v>
      </c>
      <c r="B5" s="369">
        <f>'LISTE DES CAS ANNEXE 30'!B18</f>
        <v>1</v>
      </c>
      <c r="C5" s="370">
        <f>'LISTE DES CAS ANNEXE 30'!C18</f>
        <v>1</v>
      </c>
      <c r="D5" s="367" t="str">
        <f>'LISTE DES CAS ANNEXE 30'!D18</f>
        <v>MALADIE</v>
      </c>
      <c r="E5" s="368">
        <f>'LISTE DES CAS ANNEXE 30'!E18</f>
        <v>0.55000000000000004</v>
      </c>
      <c r="F5" s="361" t="str">
        <f>'LISTE DES CAS ANNEXE 30'!H18</f>
        <v>NON</v>
      </c>
      <c r="G5" s="384" t="str">
        <f>'LISTE DES CAS ANNEXE 30'!I18</f>
        <v>Sans objet</v>
      </c>
      <c r="H5" s="366" t="str">
        <f>'LISTE DES CAS ANNEXE 30'!J18</f>
        <v>05 - TP AMO SEUL</v>
      </c>
      <c r="I5" s="354" t="str">
        <f>'LISTE DES CAS ANNEXE 30'!K18</f>
        <v>42-SAINT-ETIENNE</v>
      </c>
      <c r="J5" s="355" t="str">
        <f>'LISTE DES CAS ANNEXE 30'!L18</f>
        <v>42-MONTBRISON</v>
      </c>
      <c r="K5" s="356" t="str">
        <f>'LISTE DES CAS ANNEXE 30'!M18</f>
        <v>01/12/2025 à 20h00</v>
      </c>
      <c r="L5" s="356" t="str">
        <f>'LISTE DES CAS ANNEXE 30'!N18</f>
        <v>01/12/2025 à 20h40</v>
      </c>
      <c r="M5" s="357" t="str">
        <f>'LISTE DES CAS ANNEXE 30'!O18</f>
        <v>AA-001-BB</v>
      </c>
      <c r="N5" s="357" t="str">
        <f>'LISTE DES CAS ANNEXE 30'!P18</f>
        <v>42218 
(SAINT-ETIENNE)</v>
      </c>
      <c r="O5" s="357" t="str">
        <f>'LISTE DES CAS ANNEXE 30'!Q18</f>
        <v>042</v>
      </c>
      <c r="P5" s="357" t="str">
        <f>'LISTE DES CAS ANNEXE 30'!R18</f>
        <v>422 - CPAM DE LA LOIRE</v>
      </c>
      <c r="Q5" s="358">
        <f>'LISTE DES CAS ANNEXE 30'!S18</f>
        <v>43</v>
      </c>
      <c r="R5" s="429" t="str">
        <f>'LISTE DES CAS ANNEXE 30'!T18</f>
        <v>NUIT</v>
      </c>
      <c r="S5" s="360">
        <f>'LISTE DES CAS ANNEXE 30'!U18</f>
        <v>1</v>
      </c>
      <c r="T5" s="428" t="str">
        <f>'LISTE DES CAS ANNEXE 30'!V18</f>
        <v>OUI 
(TYPES 1 &amp; 2)</v>
      </c>
      <c r="U5" s="428" t="str">
        <f>'LISTE DES CAS ANNEXE 30'!W18</f>
        <v>OUI
(à 1,20€)</v>
      </c>
      <c r="V5" s="428" t="str">
        <f>'LISTE DES CAS ANNEXE 30'!X18</f>
        <v>OUI</v>
      </c>
      <c r="W5" s="356" t="str">
        <f>'LISTE DES CAS ANNEXE 30'!Y18</f>
        <v>NON</v>
      </c>
      <c r="X5" s="361" t="str">
        <f>'LISTE DES CAS ANNEXE 30'!Z18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  <c r="AJ5" s="163"/>
      <c r="AK5" s="163"/>
      <c r="AL5" s="163"/>
      <c r="AM5" s="163"/>
    </row>
    <row r="6" spans="1:39" ht="15.75" thickBot="1" x14ac:dyDescent="0.3">
      <c r="C6" s="78"/>
    </row>
    <row r="7" spans="1:39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9" ht="15.75" thickBot="1" x14ac:dyDescent="0.3">
      <c r="C8" s="78"/>
      <c r="AJ8" s="163"/>
      <c r="AK8" s="163"/>
      <c r="AL8" s="163"/>
      <c r="AM8" s="163"/>
    </row>
    <row r="9" spans="1:39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9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9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  <c r="AJ11" s="163"/>
      <c r="AK11" s="163"/>
      <c r="AL11" s="163"/>
      <c r="AM11" s="163"/>
    </row>
    <row r="12" spans="1:39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9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9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9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9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242</v>
      </c>
      <c r="V42" s="193" t="s">
        <v>202</v>
      </c>
      <c r="W42" s="33" t="s">
        <v>590</v>
      </c>
      <c r="X42" s="33" t="s">
        <v>202</v>
      </c>
      <c r="Y42" s="194" t="s">
        <v>663</v>
      </c>
      <c r="Z42" s="194" t="s">
        <v>663</v>
      </c>
      <c r="AA42" s="194" t="s">
        <v>592</v>
      </c>
      <c r="AB42" s="194" t="s">
        <v>664</v>
      </c>
      <c r="AC42" s="194" t="s">
        <v>663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661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662</v>
      </c>
      <c r="T56" s="54" t="s">
        <v>262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638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665</v>
      </c>
      <c r="Z63" s="96" t="s">
        <v>665</v>
      </c>
      <c r="AA63" s="97" t="s">
        <v>592</v>
      </c>
      <c r="AB63" s="96" t="s">
        <v>666</v>
      </c>
      <c r="AC63" s="96" t="s">
        <v>665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630</v>
      </c>
      <c r="Z70" s="96" t="s">
        <v>630</v>
      </c>
      <c r="AA70" s="54" t="s">
        <v>592</v>
      </c>
      <c r="AB70" s="54" t="s">
        <v>631</v>
      </c>
      <c r="AC70" s="54" t="s">
        <v>630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20" t="s">
        <v>925</v>
      </c>
      <c r="B72" s="151" t="s">
        <v>13</v>
      </c>
      <c r="C72" s="40" t="s">
        <v>14</v>
      </c>
      <c r="D72" s="40" t="s">
        <v>15</v>
      </c>
      <c r="E72" s="41" t="s">
        <v>16</v>
      </c>
      <c r="F72" s="289" t="s">
        <v>17</v>
      </c>
      <c r="G72" s="40" t="s">
        <v>70</v>
      </c>
      <c r="H72" s="40" t="s">
        <v>71</v>
      </c>
      <c r="I72" s="40" t="s">
        <v>72</v>
      </c>
      <c r="J72" s="40" t="s">
        <v>2</v>
      </c>
      <c r="K72" s="40" t="s">
        <v>73</v>
      </c>
      <c r="L72" s="42" t="s">
        <v>74</v>
      </c>
      <c r="M72" s="42" t="s">
        <v>75</v>
      </c>
      <c r="N72" s="40" t="s">
        <v>76</v>
      </c>
      <c r="O72" s="40" t="s">
        <v>77</v>
      </c>
      <c r="P72" s="40" t="s">
        <v>78</v>
      </c>
      <c r="Q72" s="40" t="s">
        <v>79</v>
      </c>
      <c r="R72" s="40" t="s">
        <v>80</v>
      </c>
      <c r="S72" s="40" t="s">
        <v>81</v>
      </c>
      <c r="T72" s="40" t="s">
        <v>82</v>
      </c>
      <c r="U72" s="40" t="s">
        <v>83</v>
      </c>
      <c r="V72" s="40" t="s">
        <v>84</v>
      </c>
      <c r="W72" s="40" t="s">
        <v>3</v>
      </c>
      <c r="X72" s="40" t="s">
        <v>85</v>
      </c>
      <c r="Y72" s="40" t="s">
        <v>86</v>
      </c>
      <c r="Z72" s="40" t="s">
        <v>87</v>
      </c>
      <c r="AA72" s="40" t="s">
        <v>88</v>
      </c>
      <c r="AB72" s="40" t="s">
        <v>89</v>
      </c>
      <c r="AC72" s="40" t="s">
        <v>90</v>
      </c>
      <c r="AD72" s="40" t="s">
        <v>91</v>
      </c>
      <c r="AE72" s="40" t="s">
        <v>92</v>
      </c>
      <c r="AF72" s="43" t="s">
        <v>93</v>
      </c>
    </row>
    <row r="73" spans="1:35" ht="19.899999999999999" customHeight="1" x14ac:dyDescent="0.25">
      <c r="A73" s="615"/>
      <c r="B73" s="152">
        <v>1</v>
      </c>
      <c r="C73" s="44" t="s">
        <v>47</v>
      </c>
      <c r="D73" s="45">
        <v>11</v>
      </c>
      <c r="E73" s="46" t="s">
        <v>48</v>
      </c>
      <c r="F73" s="290" t="s">
        <v>49</v>
      </c>
      <c r="G73" s="47" t="s">
        <v>50</v>
      </c>
      <c r="H73" s="47">
        <v>36</v>
      </c>
      <c r="I73" s="47" t="s">
        <v>94</v>
      </c>
      <c r="J73" s="47" t="s">
        <v>95</v>
      </c>
      <c r="K73" s="47" t="s">
        <v>96</v>
      </c>
      <c r="L73" s="48" t="s">
        <v>97</v>
      </c>
      <c r="M73" s="48" t="s">
        <v>98</v>
      </c>
      <c r="N73" s="47" t="s">
        <v>99</v>
      </c>
      <c r="O73" s="47">
        <v>53</v>
      </c>
      <c r="P73" s="47">
        <v>54</v>
      </c>
      <c r="Q73" s="47" t="s">
        <v>913</v>
      </c>
      <c r="R73" s="47" t="s">
        <v>100</v>
      </c>
      <c r="S73" s="47" t="s">
        <v>101</v>
      </c>
      <c r="T73" s="47" t="s">
        <v>57</v>
      </c>
      <c r="U73" s="47" t="s">
        <v>102</v>
      </c>
      <c r="V73" s="47" t="s">
        <v>103</v>
      </c>
      <c r="W73" s="47" t="s">
        <v>104</v>
      </c>
      <c r="X73" s="47" t="s">
        <v>105</v>
      </c>
      <c r="Y73" s="47" t="s">
        <v>106</v>
      </c>
      <c r="Z73" s="47" t="s">
        <v>107</v>
      </c>
      <c r="AA73" s="47" t="s">
        <v>108</v>
      </c>
      <c r="AB73" s="45" t="s">
        <v>109</v>
      </c>
      <c r="AC73" s="47" t="s">
        <v>110</v>
      </c>
      <c r="AD73" s="45">
        <v>120</v>
      </c>
      <c r="AE73" s="45">
        <v>121</v>
      </c>
      <c r="AF73" s="49" t="s">
        <v>111</v>
      </c>
    </row>
    <row r="74" spans="1:35" outlineLevel="1" x14ac:dyDescent="0.25">
      <c r="A74" s="615"/>
      <c r="B74" s="152">
        <v>1</v>
      </c>
      <c r="C74" s="45">
        <v>9</v>
      </c>
      <c r="D74" s="45">
        <v>1</v>
      </c>
      <c r="E74" s="50">
        <v>13</v>
      </c>
      <c r="F74" s="291">
        <v>2</v>
      </c>
      <c r="G74" s="45">
        <v>9</v>
      </c>
      <c r="H74" s="45">
        <v>1</v>
      </c>
      <c r="I74" s="45">
        <v>2</v>
      </c>
      <c r="J74" s="45">
        <v>2</v>
      </c>
      <c r="K74" s="45">
        <v>3</v>
      </c>
      <c r="L74" s="51">
        <v>6</v>
      </c>
      <c r="M74" s="51">
        <v>1</v>
      </c>
      <c r="N74" s="45">
        <v>2</v>
      </c>
      <c r="O74" s="45">
        <v>1</v>
      </c>
      <c r="P74" s="45">
        <v>1</v>
      </c>
      <c r="Q74" s="45">
        <v>9</v>
      </c>
      <c r="R74" s="45">
        <v>2</v>
      </c>
      <c r="S74" s="45">
        <v>2</v>
      </c>
      <c r="T74" s="45">
        <v>6</v>
      </c>
      <c r="U74" s="45">
        <v>5</v>
      </c>
      <c r="V74" s="45">
        <v>2</v>
      </c>
      <c r="W74" s="45">
        <v>6</v>
      </c>
      <c r="X74" s="45">
        <v>2</v>
      </c>
      <c r="Y74" s="45">
        <v>7</v>
      </c>
      <c r="Z74" s="45">
        <v>7</v>
      </c>
      <c r="AA74" s="45">
        <v>3</v>
      </c>
      <c r="AB74" s="45">
        <v>7</v>
      </c>
      <c r="AC74" s="45">
        <v>7</v>
      </c>
      <c r="AD74" s="45">
        <v>1</v>
      </c>
      <c r="AE74" s="45">
        <v>1</v>
      </c>
      <c r="AF74" s="49">
        <v>7</v>
      </c>
      <c r="AG74" s="2"/>
    </row>
    <row r="75" spans="1:35" outlineLevel="1" x14ac:dyDescent="0.25">
      <c r="A75" s="615"/>
      <c r="B75" s="152" t="s">
        <v>1</v>
      </c>
      <c r="C75" s="45" t="s">
        <v>1</v>
      </c>
      <c r="D75" s="45" t="s">
        <v>69</v>
      </c>
      <c r="E75" s="50" t="s">
        <v>69</v>
      </c>
      <c r="F75" s="291" t="s">
        <v>1</v>
      </c>
      <c r="G75" s="45" t="s">
        <v>1</v>
      </c>
      <c r="H75" s="45" t="s">
        <v>69</v>
      </c>
      <c r="I75" s="45" t="s">
        <v>1</v>
      </c>
      <c r="J75" s="45" t="s">
        <v>1</v>
      </c>
      <c r="K75" s="45" t="s">
        <v>1</v>
      </c>
      <c r="L75" s="52" t="s">
        <v>1</v>
      </c>
      <c r="M75" s="52" t="s">
        <v>1</v>
      </c>
      <c r="N75" s="45" t="s">
        <v>69</v>
      </c>
      <c r="O75" s="45" t="s">
        <v>69</v>
      </c>
      <c r="P75" s="53" t="s">
        <v>69</v>
      </c>
      <c r="Q75" s="45" t="s">
        <v>1</v>
      </c>
      <c r="R75" s="45" t="s">
        <v>1</v>
      </c>
      <c r="S75" s="45" t="s">
        <v>1</v>
      </c>
      <c r="T75" s="45" t="s">
        <v>1</v>
      </c>
      <c r="U75" s="45" t="s">
        <v>69</v>
      </c>
      <c r="V75" s="45" t="s">
        <v>1</v>
      </c>
      <c r="W75" s="45" t="s">
        <v>1</v>
      </c>
      <c r="X75" s="45" t="s">
        <v>1</v>
      </c>
      <c r="Y75" s="45" t="s">
        <v>1</v>
      </c>
      <c r="Z75" s="45" t="s">
        <v>1</v>
      </c>
      <c r="AA75" s="45" t="s">
        <v>1</v>
      </c>
      <c r="AB75" s="45" t="s">
        <v>1</v>
      </c>
      <c r="AC75" s="45" t="s">
        <v>1</v>
      </c>
      <c r="AD75" s="45" t="s">
        <v>69</v>
      </c>
      <c r="AE75" s="45" t="s">
        <v>1</v>
      </c>
      <c r="AF75" s="49" t="s">
        <v>1</v>
      </c>
    </row>
    <row r="76" spans="1:35" outlineLevel="1" x14ac:dyDescent="0.25">
      <c r="A76" s="615"/>
      <c r="B76" s="152" t="s">
        <v>0</v>
      </c>
      <c r="C76" s="45" t="s">
        <v>0</v>
      </c>
      <c r="D76" s="45" t="s">
        <v>4</v>
      </c>
      <c r="E76" s="50" t="s">
        <v>0</v>
      </c>
      <c r="F76" s="291" t="s">
        <v>0</v>
      </c>
      <c r="G76" s="45" t="s">
        <v>0</v>
      </c>
      <c r="H76" s="45" t="s">
        <v>4</v>
      </c>
      <c r="I76" s="45" t="s">
        <v>4</v>
      </c>
      <c r="J76" s="45" t="s">
        <v>4</v>
      </c>
      <c r="K76" s="45" t="s">
        <v>4</v>
      </c>
      <c r="L76" s="52" t="s">
        <v>4</v>
      </c>
      <c r="M76" s="52" t="s">
        <v>0</v>
      </c>
      <c r="N76" s="45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5" t="s">
        <v>112</v>
      </c>
      <c r="T76" s="45" t="s">
        <v>0</v>
      </c>
      <c r="U76" s="45" t="s">
        <v>0</v>
      </c>
      <c r="V76" s="45" t="s">
        <v>0</v>
      </c>
      <c r="W76" s="45" t="s">
        <v>0</v>
      </c>
      <c r="X76" s="45" t="s">
        <v>0</v>
      </c>
      <c r="Y76" s="45" t="s">
        <v>0</v>
      </c>
      <c r="Z76" s="45" t="s">
        <v>0</v>
      </c>
      <c r="AA76" s="45" t="s">
        <v>0</v>
      </c>
      <c r="AB76" s="45" t="s">
        <v>0</v>
      </c>
      <c r="AC76" s="45" t="s">
        <v>0</v>
      </c>
      <c r="AD76" s="45" t="s">
        <v>4</v>
      </c>
      <c r="AE76" s="45" t="s">
        <v>4</v>
      </c>
      <c r="AF76" s="49" t="s">
        <v>4</v>
      </c>
    </row>
    <row r="77" spans="1:35" ht="30" customHeight="1" thickBot="1" x14ac:dyDescent="0.3">
      <c r="A77" s="616"/>
      <c r="B77" s="149" t="s">
        <v>10</v>
      </c>
      <c r="C77" s="54" t="s">
        <v>544</v>
      </c>
      <c r="D77" s="55" t="s">
        <v>8</v>
      </c>
      <c r="E77" s="54" t="s">
        <v>198</v>
      </c>
      <c r="F77" s="288">
        <v>77</v>
      </c>
      <c r="G77" s="54">
        <v>250000001</v>
      </c>
      <c r="H77" s="193" t="s">
        <v>8</v>
      </c>
      <c r="I77" s="193" t="s">
        <v>5</v>
      </c>
      <c r="J77" s="55" t="s">
        <v>5</v>
      </c>
      <c r="K77" s="55" t="s">
        <v>6</v>
      </c>
      <c r="L77" s="55" t="s">
        <v>208</v>
      </c>
      <c r="M77" s="193" t="s">
        <v>397</v>
      </c>
      <c r="N77" s="55" t="s">
        <v>210</v>
      </c>
      <c r="O77" s="55" t="s">
        <v>8</v>
      </c>
      <c r="P77" s="55" t="s">
        <v>8</v>
      </c>
      <c r="Q77" s="54" t="s">
        <v>544</v>
      </c>
      <c r="R77" s="55" t="s">
        <v>5</v>
      </c>
      <c r="S77" s="55" t="s">
        <v>5</v>
      </c>
      <c r="T77" s="33" t="s">
        <v>581</v>
      </c>
      <c r="U77" s="228" t="s">
        <v>247</v>
      </c>
      <c r="V77" s="55" t="s">
        <v>202</v>
      </c>
      <c r="W77" s="54" t="s">
        <v>590</v>
      </c>
      <c r="X77" s="33" t="s">
        <v>202</v>
      </c>
      <c r="Y77" s="54" t="s">
        <v>641</v>
      </c>
      <c r="Z77" s="96" t="s">
        <v>641</v>
      </c>
      <c r="AA77" s="54" t="s">
        <v>592</v>
      </c>
      <c r="AB77" s="54" t="s">
        <v>642</v>
      </c>
      <c r="AC77" s="54" t="s">
        <v>641</v>
      </c>
      <c r="AD77" s="55" t="s">
        <v>8</v>
      </c>
      <c r="AE77" s="193" t="s">
        <v>200</v>
      </c>
      <c r="AF77" s="82" t="s">
        <v>212</v>
      </c>
      <c r="AG77" s="188" t="s">
        <v>589</v>
      </c>
      <c r="AH77" s="76"/>
      <c r="AI77" s="76"/>
    </row>
    <row r="78" spans="1:35" s="75" customFormat="1" ht="15.75" thickBot="1" x14ac:dyDescent="0.3"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 t="s">
        <v>586</v>
      </c>
      <c r="U78" s="75" t="s">
        <v>586</v>
      </c>
      <c r="V78" s="75" t="s">
        <v>586</v>
      </c>
      <c r="W78" s="75" t="s">
        <v>586</v>
      </c>
      <c r="X78" s="75" t="s">
        <v>586</v>
      </c>
      <c r="Y78" s="75" t="s">
        <v>586</v>
      </c>
      <c r="Z78" s="75" t="s">
        <v>586</v>
      </c>
      <c r="AA78" s="75" t="s">
        <v>586</v>
      </c>
      <c r="AB78" s="75" t="s">
        <v>586</v>
      </c>
      <c r="AC78" s="75" t="s">
        <v>586</v>
      </c>
      <c r="AD78" s="75" t="s">
        <v>586</v>
      </c>
      <c r="AE78" s="75" t="s">
        <v>586</v>
      </c>
      <c r="AF78" s="75" t="s">
        <v>586</v>
      </c>
    </row>
    <row r="79" spans="1:35" ht="100.15" customHeight="1" x14ac:dyDescent="0.25">
      <c r="A79" s="620" t="s">
        <v>916</v>
      </c>
      <c r="B79" s="151" t="s">
        <v>13</v>
      </c>
      <c r="C79" s="40" t="s">
        <v>14</v>
      </c>
      <c r="D79" s="40" t="s">
        <v>15</v>
      </c>
      <c r="E79" s="41" t="s">
        <v>16</v>
      </c>
      <c r="F79" s="289" t="s">
        <v>17</v>
      </c>
      <c r="G79" s="40" t="s">
        <v>70</v>
      </c>
      <c r="H79" s="40" t="s">
        <v>71</v>
      </c>
      <c r="I79" s="40" t="s">
        <v>72</v>
      </c>
      <c r="J79" s="40" t="s">
        <v>2</v>
      </c>
      <c r="K79" s="40" t="s">
        <v>73</v>
      </c>
      <c r="L79" s="42" t="s">
        <v>74</v>
      </c>
      <c r="M79" s="42" t="s">
        <v>75</v>
      </c>
      <c r="N79" s="40" t="s">
        <v>76</v>
      </c>
      <c r="O79" s="40" t="s">
        <v>77</v>
      </c>
      <c r="P79" s="40" t="s">
        <v>78</v>
      </c>
      <c r="Q79" s="40" t="s">
        <v>79</v>
      </c>
      <c r="R79" s="40" t="s">
        <v>80</v>
      </c>
      <c r="S79" s="40" t="s">
        <v>81</v>
      </c>
      <c r="T79" s="40" t="s">
        <v>82</v>
      </c>
      <c r="U79" s="40" t="s">
        <v>83</v>
      </c>
      <c r="V79" s="40" t="s">
        <v>84</v>
      </c>
      <c r="W79" s="40" t="s">
        <v>3</v>
      </c>
      <c r="X79" s="40" t="s">
        <v>85</v>
      </c>
      <c r="Y79" s="40" t="s">
        <v>86</v>
      </c>
      <c r="Z79" s="40" t="s">
        <v>87</v>
      </c>
      <c r="AA79" s="40" t="s">
        <v>88</v>
      </c>
      <c r="AB79" s="40" t="s">
        <v>89</v>
      </c>
      <c r="AC79" s="40" t="s">
        <v>90</v>
      </c>
      <c r="AD79" s="40" t="s">
        <v>91</v>
      </c>
      <c r="AE79" s="40" t="s">
        <v>92</v>
      </c>
      <c r="AF79" s="43" t="s">
        <v>93</v>
      </c>
    </row>
    <row r="80" spans="1:35" ht="19.899999999999999" customHeight="1" x14ac:dyDescent="0.25">
      <c r="A80" s="615"/>
      <c r="B80" s="152">
        <v>1</v>
      </c>
      <c r="C80" s="44" t="s">
        <v>47</v>
      </c>
      <c r="D80" s="45">
        <v>11</v>
      </c>
      <c r="E80" s="46" t="s">
        <v>48</v>
      </c>
      <c r="F80" s="290" t="s">
        <v>49</v>
      </c>
      <c r="G80" s="47" t="s">
        <v>50</v>
      </c>
      <c r="H80" s="47">
        <v>36</v>
      </c>
      <c r="I80" s="47" t="s">
        <v>94</v>
      </c>
      <c r="J80" s="47" t="s">
        <v>95</v>
      </c>
      <c r="K80" s="47" t="s">
        <v>96</v>
      </c>
      <c r="L80" s="48" t="s">
        <v>97</v>
      </c>
      <c r="M80" s="48" t="s">
        <v>98</v>
      </c>
      <c r="N80" s="47" t="s">
        <v>99</v>
      </c>
      <c r="O80" s="47">
        <v>53</v>
      </c>
      <c r="P80" s="47">
        <v>54</v>
      </c>
      <c r="Q80" s="47" t="s">
        <v>913</v>
      </c>
      <c r="R80" s="47" t="s">
        <v>100</v>
      </c>
      <c r="S80" s="47" t="s">
        <v>101</v>
      </c>
      <c r="T80" s="47" t="s">
        <v>57</v>
      </c>
      <c r="U80" s="47" t="s">
        <v>102</v>
      </c>
      <c r="V80" s="47" t="s">
        <v>103</v>
      </c>
      <c r="W80" s="47" t="s">
        <v>104</v>
      </c>
      <c r="X80" s="47" t="s">
        <v>105</v>
      </c>
      <c r="Y80" s="47" t="s">
        <v>106</v>
      </c>
      <c r="Z80" s="47" t="s">
        <v>107</v>
      </c>
      <c r="AA80" s="47" t="s">
        <v>108</v>
      </c>
      <c r="AB80" s="45" t="s">
        <v>109</v>
      </c>
      <c r="AC80" s="47" t="s">
        <v>110</v>
      </c>
      <c r="AD80" s="45">
        <v>120</v>
      </c>
      <c r="AE80" s="45">
        <v>121</v>
      </c>
      <c r="AF80" s="49" t="s">
        <v>111</v>
      </c>
    </row>
    <row r="81" spans="1:35" outlineLevel="1" x14ac:dyDescent="0.25">
      <c r="A81" s="615"/>
      <c r="B81" s="152">
        <v>1</v>
      </c>
      <c r="C81" s="45">
        <v>9</v>
      </c>
      <c r="D81" s="45">
        <v>1</v>
      </c>
      <c r="E81" s="50">
        <v>13</v>
      </c>
      <c r="F81" s="291">
        <v>2</v>
      </c>
      <c r="G81" s="45">
        <v>9</v>
      </c>
      <c r="H81" s="45">
        <v>1</v>
      </c>
      <c r="I81" s="45">
        <v>2</v>
      </c>
      <c r="J81" s="45">
        <v>2</v>
      </c>
      <c r="K81" s="45">
        <v>3</v>
      </c>
      <c r="L81" s="51">
        <v>6</v>
      </c>
      <c r="M81" s="51">
        <v>1</v>
      </c>
      <c r="N81" s="45">
        <v>2</v>
      </c>
      <c r="O81" s="45">
        <v>1</v>
      </c>
      <c r="P81" s="45">
        <v>1</v>
      </c>
      <c r="Q81" s="45">
        <v>9</v>
      </c>
      <c r="R81" s="45">
        <v>2</v>
      </c>
      <c r="S81" s="45">
        <v>2</v>
      </c>
      <c r="T81" s="45">
        <v>6</v>
      </c>
      <c r="U81" s="45">
        <v>5</v>
      </c>
      <c r="V81" s="45">
        <v>2</v>
      </c>
      <c r="W81" s="45">
        <v>6</v>
      </c>
      <c r="X81" s="45">
        <v>2</v>
      </c>
      <c r="Y81" s="45">
        <v>7</v>
      </c>
      <c r="Z81" s="45">
        <v>7</v>
      </c>
      <c r="AA81" s="45">
        <v>3</v>
      </c>
      <c r="AB81" s="45">
        <v>7</v>
      </c>
      <c r="AC81" s="45">
        <v>7</v>
      </c>
      <c r="AD81" s="45">
        <v>1</v>
      </c>
      <c r="AE81" s="45">
        <v>1</v>
      </c>
      <c r="AF81" s="49">
        <v>7</v>
      </c>
      <c r="AG81" s="2"/>
    </row>
    <row r="82" spans="1:35" outlineLevel="1" x14ac:dyDescent="0.25">
      <c r="A82" s="615"/>
      <c r="B82" s="152" t="s">
        <v>1</v>
      </c>
      <c r="C82" s="45" t="s">
        <v>1</v>
      </c>
      <c r="D82" s="45" t="s">
        <v>69</v>
      </c>
      <c r="E82" s="50" t="s">
        <v>69</v>
      </c>
      <c r="F82" s="291" t="s">
        <v>1</v>
      </c>
      <c r="G82" s="45" t="s">
        <v>1</v>
      </c>
      <c r="H82" s="45" t="s">
        <v>69</v>
      </c>
      <c r="I82" s="45" t="s">
        <v>1</v>
      </c>
      <c r="J82" s="45" t="s">
        <v>1</v>
      </c>
      <c r="K82" s="45" t="s">
        <v>1</v>
      </c>
      <c r="L82" s="52" t="s">
        <v>1</v>
      </c>
      <c r="M82" s="52" t="s">
        <v>1</v>
      </c>
      <c r="N82" s="45" t="s">
        <v>69</v>
      </c>
      <c r="O82" s="45" t="s">
        <v>69</v>
      </c>
      <c r="P82" s="53" t="s">
        <v>69</v>
      </c>
      <c r="Q82" s="45" t="s">
        <v>1</v>
      </c>
      <c r="R82" s="45" t="s">
        <v>1</v>
      </c>
      <c r="S82" s="45" t="s">
        <v>1</v>
      </c>
      <c r="T82" s="45" t="s">
        <v>1</v>
      </c>
      <c r="U82" s="45" t="s">
        <v>69</v>
      </c>
      <c r="V82" s="45" t="s">
        <v>1</v>
      </c>
      <c r="W82" s="45" t="s">
        <v>1</v>
      </c>
      <c r="X82" s="45" t="s">
        <v>1</v>
      </c>
      <c r="Y82" s="45" t="s">
        <v>1</v>
      </c>
      <c r="Z82" s="45" t="s">
        <v>1</v>
      </c>
      <c r="AA82" s="45" t="s">
        <v>1</v>
      </c>
      <c r="AB82" s="45" t="s">
        <v>1</v>
      </c>
      <c r="AC82" s="45" t="s">
        <v>1</v>
      </c>
      <c r="AD82" s="45" t="s">
        <v>69</v>
      </c>
      <c r="AE82" s="45" t="s">
        <v>1</v>
      </c>
      <c r="AF82" s="49" t="s">
        <v>1</v>
      </c>
    </row>
    <row r="83" spans="1:35" outlineLevel="1" x14ac:dyDescent="0.25">
      <c r="A83" s="615"/>
      <c r="B83" s="152" t="s">
        <v>0</v>
      </c>
      <c r="C83" s="45" t="s">
        <v>0</v>
      </c>
      <c r="D83" s="45" t="s">
        <v>4</v>
      </c>
      <c r="E83" s="50" t="s">
        <v>0</v>
      </c>
      <c r="F83" s="291" t="s">
        <v>0</v>
      </c>
      <c r="G83" s="45" t="s">
        <v>0</v>
      </c>
      <c r="H83" s="45" t="s">
        <v>4</v>
      </c>
      <c r="I83" s="45" t="s">
        <v>4</v>
      </c>
      <c r="J83" s="45" t="s">
        <v>4</v>
      </c>
      <c r="K83" s="45" t="s">
        <v>4</v>
      </c>
      <c r="L83" s="52" t="s">
        <v>4</v>
      </c>
      <c r="M83" s="52" t="s">
        <v>0</v>
      </c>
      <c r="N83" s="45" t="s">
        <v>4</v>
      </c>
      <c r="O83" s="45" t="s">
        <v>4</v>
      </c>
      <c r="P83" s="45" t="s">
        <v>4</v>
      </c>
      <c r="Q83" s="45" t="s">
        <v>4</v>
      </c>
      <c r="R83" s="45" t="s">
        <v>4</v>
      </c>
      <c r="S83" s="45" t="s">
        <v>112</v>
      </c>
      <c r="T83" s="45" t="s">
        <v>0</v>
      </c>
      <c r="U83" s="45" t="s">
        <v>0</v>
      </c>
      <c r="V83" s="45" t="s">
        <v>0</v>
      </c>
      <c r="W83" s="45" t="s">
        <v>0</v>
      </c>
      <c r="X83" s="45" t="s">
        <v>0</v>
      </c>
      <c r="Y83" s="45" t="s">
        <v>0</v>
      </c>
      <c r="Z83" s="45" t="s">
        <v>0</v>
      </c>
      <c r="AA83" s="45" t="s">
        <v>0</v>
      </c>
      <c r="AB83" s="45" t="s">
        <v>0</v>
      </c>
      <c r="AC83" s="45" t="s">
        <v>0</v>
      </c>
      <c r="AD83" s="45" t="s">
        <v>4</v>
      </c>
      <c r="AE83" s="45" t="s">
        <v>4</v>
      </c>
      <c r="AF83" s="49" t="s">
        <v>4</v>
      </c>
    </row>
    <row r="84" spans="1:35" ht="30" customHeight="1" thickBot="1" x14ac:dyDescent="0.3">
      <c r="A84" s="616"/>
      <c r="B84" s="149" t="s">
        <v>10</v>
      </c>
      <c r="C84" s="54" t="s">
        <v>544</v>
      </c>
      <c r="D84" s="55" t="s">
        <v>8</v>
      </c>
      <c r="E84" s="54" t="s">
        <v>198</v>
      </c>
      <c r="F84" s="288">
        <v>77</v>
      </c>
      <c r="G84" s="54">
        <v>250000001</v>
      </c>
      <c r="H84" s="193" t="s">
        <v>8</v>
      </c>
      <c r="I84" s="193" t="s">
        <v>5</v>
      </c>
      <c r="J84" s="55" t="s">
        <v>5</v>
      </c>
      <c r="K84" s="55" t="s">
        <v>6</v>
      </c>
      <c r="L84" s="55" t="s">
        <v>208</v>
      </c>
      <c r="M84" s="193" t="s">
        <v>397</v>
      </c>
      <c r="N84" s="55" t="s">
        <v>210</v>
      </c>
      <c r="O84" s="55" t="s">
        <v>8</v>
      </c>
      <c r="P84" s="55" t="s">
        <v>8</v>
      </c>
      <c r="Q84" s="54" t="s">
        <v>544</v>
      </c>
      <c r="R84" s="55" t="s">
        <v>5</v>
      </c>
      <c r="S84" s="55" t="s">
        <v>5</v>
      </c>
      <c r="T84" s="33" t="s">
        <v>581</v>
      </c>
      <c r="U84" s="228" t="s">
        <v>279</v>
      </c>
      <c r="V84" s="33" t="s">
        <v>202</v>
      </c>
      <c r="W84" s="54" t="s">
        <v>590</v>
      </c>
      <c r="X84" s="33" t="s">
        <v>202</v>
      </c>
      <c r="Y84" s="54" t="s">
        <v>594</v>
      </c>
      <c r="Z84" s="96" t="s">
        <v>594</v>
      </c>
      <c r="AA84" s="54" t="s">
        <v>592</v>
      </c>
      <c r="AB84" s="54" t="s">
        <v>667</v>
      </c>
      <c r="AC84" s="54" t="s">
        <v>594</v>
      </c>
      <c r="AD84" s="55" t="s">
        <v>8</v>
      </c>
      <c r="AE84" s="193" t="s">
        <v>200</v>
      </c>
      <c r="AF84" s="82" t="s">
        <v>212</v>
      </c>
      <c r="AG84" s="188" t="s">
        <v>589</v>
      </c>
      <c r="AH84" s="76"/>
      <c r="AI84" s="76"/>
    </row>
    <row r="85" spans="1:35" s="75" customFormat="1" ht="15.75" thickBot="1" x14ac:dyDescent="0.3">
      <c r="B85" s="150" t="s">
        <v>586</v>
      </c>
      <c r="C85" s="75" t="s">
        <v>586</v>
      </c>
      <c r="D85" s="75" t="s">
        <v>586</v>
      </c>
      <c r="E85" s="75" t="s">
        <v>586</v>
      </c>
      <c r="F85" s="276" t="s">
        <v>586</v>
      </c>
      <c r="G85" s="75" t="s">
        <v>586</v>
      </c>
      <c r="H85" s="75" t="s">
        <v>586</v>
      </c>
      <c r="I85" s="75" t="s">
        <v>586</v>
      </c>
      <c r="J85" s="75" t="s">
        <v>586</v>
      </c>
      <c r="K85" s="75" t="s">
        <v>586</v>
      </c>
      <c r="L85" s="75" t="s">
        <v>586</v>
      </c>
      <c r="M85" s="75" t="s">
        <v>586</v>
      </c>
      <c r="N85" s="75" t="s">
        <v>586</v>
      </c>
      <c r="O85" s="75" t="s">
        <v>586</v>
      </c>
      <c r="P85" s="75" t="s">
        <v>586</v>
      </c>
      <c r="Q85" s="75" t="s">
        <v>586</v>
      </c>
      <c r="R85" s="75" t="s">
        <v>586</v>
      </c>
      <c r="S85" s="75" t="s">
        <v>586</v>
      </c>
      <c r="T85" s="75" t="s">
        <v>586</v>
      </c>
      <c r="U85" s="75" t="s">
        <v>586</v>
      </c>
      <c r="V85" s="75" t="s">
        <v>586</v>
      </c>
      <c r="W85" s="75" t="s">
        <v>586</v>
      </c>
      <c r="X85" s="75" t="s">
        <v>586</v>
      </c>
      <c r="Y85" s="75" t="s">
        <v>586</v>
      </c>
      <c r="Z85" s="75" t="s">
        <v>586</v>
      </c>
      <c r="AA85" s="75" t="s">
        <v>586</v>
      </c>
      <c r="AB85" s="75" t="s">
        <v>586</v>
      </c>
      <c r="AC85" s="75" t="s">
        <v>586</v>
      </c>
      <c r="AD85" s="75" t="s">
        <v>586</v>
      </c>
      <c r="AE85" s="75" t="s">
        <v>586</v>
      </c>
      <c r="AF85" s="75" t="s">
        <v>586</v>
      </c>
    </row>
    <row r="86" spans="1:35" ht="100.15" customHeight="1" x14ac:dyDescent="0.25">
      <c r="A86" s="620" t="s">
        <v>917</v>
      </c>
      <c r="B86" s="151" t="s">
        <v>13</v>
      </c>
      <c r="C86" s="40" t="s">
        <v>14</v>
      </c>
      <c r="D86" s="40" t="s">
        <v>15</v>
      </c>
      <c r="E86" s="41" t="s">
        <v>16</v>
      </c>
      <c r="F86" s="289" t="s">
        <v>17</v>
      </c>
      <c r="G86" s="40" t="s">
        <v>70</v>
      </c>
      <c r="H86" s="40" t="s">
        <v>71</v>
      </c>
      <c r="I86" s="40" t="s">
        <v>72</v>
      </c>
      <c r="J86" s="40" t="s">
        <v>2</v>
      </c>
      <c r="K86" s="40" t="s">
        <v>73</v>
      </c>
      <c r="L86" s="42" t="s">
        <v>74</v>
      </c>
      <c r="M86" s="42" t="s">
        <v>75</v>
      </c>
      <c r="N86" s="40" t="s">
        <v>76</v>
      </c>
      <c r="O86" s="40" t="s">
        <v>77</v>
      </c>
      <c r="P86" s="40" t="s">
        <v>78</v>
      </c>
      <c r="Q86" s="40" t="s">
        <v>79</v>
      </c>
      <c r="R86" s="40" t="s">
        <v>80</v>
      </c>
      <c r="S86" s="40" t="s">
        <v>81</v>
      </c>
      <c r="T86" s="40" t="s">
        <v>82</v>
      </c>
      <c r="U86" s="40" t="s">
        <v>83</v>
      </c>
      <c r="V86" s="40" t="s">
        <v>84</v>
      </c>
      <c r="W86" s="40" t="s">
        <v>3</v>
      </c>
      <c r="X86" s="40" t="s">
        <v>85</v>
      </c>
      <c r="Y86" s="40" t="s">
        <v>86</v>
      </c>
      <c r="Z86" s="40" t="s">
        <v>87</v>
      </c>
      <c r="AA86" s="40" t="s">
        <v>88</v>
      </c>
      <c r="AB86" s="40" t="s">
        <v>89</v>
      </c>
      <c r="AC86" s="40" t="s">
        <v>90</v>
      </c>
      <c r="AD86" s="40" t="s">
        <v>91</v>
      </c>
      <c r="AE86" s="40" t="s">
        <v>92</v>
      </c>
      <c r="AF86" s="43" t="s">
        <v>93</v>
      </c>
      <c r="AG86" s="2"/>
    </row>
    <row r="87" spans="1:35" ht="19.899999999999999" customHeight="1" x14ac:dyDescent="0.25">
      <c r="A87" s="615"/>
      <c r="B87" s="152">
        <v>1</v>
      </c>
      <c r="C87" s="44" t="s">
        <v>47</v>
      </c>
      <c r="D87" s="45">
        <v>11</v>
      </c>
      <c r="E87" s="46" t="s">
        <v>48</v>
      </c>
      <c r="F87" s="290" t="s">
        <v>49</v>
      </c>
      <c r="G87" s="47" t="s">
        <v>50</v>
      </c>
      <c r="H87" s="47">
        <v>36</v>
      </c>
      <c r="I87" s="47" t="s">
        <v>94</v>
      </c>
      <c r="J87" s="47" t="s">
        <v>95</v>
      </c>
      <c r="K87" s="47" t="s">
        <v>96</v>
      </c>
      <c r="L87" s="48" t="s">
        <v>97</v>
      </c>
      <c r="M87" s="48" t="s">
        <v>98</v>
      </c>
      <c r="N87" s="47" t="s">
        <v>99</v>
      </c>
      <c r="O87" s="47">
        <v>53</v>
      </c>
      <c r="P87" s="47">
        <v>54</v>
      </c>
      <c r="Q87" s="47" t="s">
        <v>913</v>
      </c>
      <c r="R87" s="47" t="s">
        <v>100</v>
      </c>
      <c r="S87" s="47" t="s">
        <v>101</v>
      </c>
      <c r="T87" s="47" t="s">
        <v>57</v>
      </c>
      <c r="U87" s="47" t="s">
        <v>102</v>
      </c>
      <c r="V87" s="47" t="s">
        <v>103</v>
      </c>
      <c r="W87" s="47" t="s">
        <v>104</v>
      </c>
      <c r="X87" s="47" t="s">
        <v>105</v>
      </c>
      <c r="Y87" s="47" t="s">
        <v>106</v>
      </c>
      <c r="Z87" s="47" t="s">
        <v>107</v>
      </c>
      <c r="AA87" s="47" t="s">
        <v>108</v>
      </c>
      <c r="AB87" s="45" t="s">
        <v>109</v>
      </c>
      <c r="AC87" s="47" t="s">
        <v>110</v>
      </c>
      <c r="AD87" s="45">
        <v>120</v>
      </c>
      <c r="AE87" s="45">
        <v>121</v>
      </c>
      <c r="AF87" s="49" t="s">
        <v>111</v>
      </c>
    </row>
    <row r="88" spans="1:35" outlineLevel="1" x14ac:dyDescent="0.25">
      <c r="A88" s="615"/>
      <c r="B88" s="152">
        <v>1</v>
      </c>
      <c r="C88" s="45">
        <v>9</v>
      </c>
      <c r="D88" s="45">
        <v>1</v>
      </c>
      <c r="E88" s="50">
        <v>13</v>
      </c>
      <c r="F88" s="291">
        <v>2</v>
      </c>
      <c r="G88" s="45">
        <v>9</v>
      </c>
      <c r="H88" s="45">
        <v>1</v>
      </c>
      <c r="I88" s="45">
        <v>2</v>
      </c>
      <c r="J88" s="45">
        <v>2</v>
      </c>
      <c r="K88" s="45">
        <v>3</v>
      </c>
      <c r="L88" s="51">
        <v>6</v>
      </c>
      <c r="M88" s="51">
        <v>1</v>
      </c>
      <c r="N88" s="45">
        <v>2</v>
      </c>
      <c r="O88" s="45">
        <v>1</v>
      </c>
      <c r="P88" s="45">
        <v>1</v>
      </c>
      <c r="Q88" s="45">
        <v>9</v>
      </c>
      <c r="R88" s="45">
        <v>2</v>
      </c>
      <c r="S88" s="45">
        <v>2</v>
      </c>
      <c r="T88" s="45">
        <v>6</v>
      </c>
      <c r="U88" s="45">
        <v>5</v>
      </c>
      <c r="V88" s="45">
        <v>2</v>
      </c>
      <c r="W88" s="45">
        <v>6</v>
      </c>
      <c r="X88" s="45">
        <v>2</v>
      </c>
      <c r="Y88" s="45">
        <v>7</v>
      </c>
      <c r="Z88" s="45">
        <v>7</v>
      </c>
      <c r="AA88" s="45">
        <v>3</v>
      </c>
      <c r="AB88" s="45">
        <v>7</v>
      </c>
      <c r="AC88" s="45">
        <v>7</v>
      </c>
      <c r="AD88" s="45">
        <v>1</v>
      </c>
      <c r="AE88" s="45">
        <v>1</v>
      </c>
      <c r="AF88" s="49">
        <v>7</v>
      </c>
    </row>
    <row r="89" spans="1:35" outlineLevel="1" x14ac:dyDescent="0.25">
      <c r="A89" s="615"/>
      <c r="B89" s="152" t="s">
        <v>1</v>
      </c>
      <c r="C89" s="45" t="s">
        <v>1</v>
      </c>
      <c r="D89" s="45" t="s">
        <v>69</v>
      </c>
      <c r="E89" s="50" t="s">
        <v>69</v>
      </c>
      <c r="F89" s="291" t="s">
        <v>1</v>
      </c>
      <c r="G89" s="45" t="s">
        <v>1</v>
      </c>
      <c r="H89" s="45" t="s">
        <v>69</v>
      </c>
      <c r="I89" s="45" t="s">
        <v>1</v>
      </c>
      <c r="J89" s="45" t="s">
        <v>1</v>
      </c>
      <c r="K89" s="45" t="s">
        <v>1</v>
      </c>
      <c r="L89" s="52" t="s">
        <v>1</v>
      </c>
      <c r="M89" s="52" t="s">
        <v>1</v>
      </c>
      <c r="N89" s="45" t="s">
        <v>69</v>
      </c>
      <c r="O89" s="45" t="s">
        <v>69</v>
      </c>
      <c r="P89" s="53" t="s">
        <v>69</v>
      </c>
      <c r="Q89" s="45" t="s">
        <v>1</v>
      </c>
      <c r="R89" s="45" t="s">
        <v>1</v>
      </c>
      <c r="S89" s="45" t="s">
        <v>1</v>
      </c>
      <c r="T89" s="45" t="s">
        <v>1</v>
      </c>
      <c r="U89" s="45" t="s">
        <v>69</v>
      </c>
      <c r="V89" s="45" t="s">
        <v>1</v>
      </c>
      <c r="W89" s="45" t="s">
        <v>1</v>
      </c>
      <c r="X89" s="45" t="s">
        <v>1</v>
      </c>
      <c r="Y89" s="45" t="s">
        <v>1</v>
      </c>
      <c r="Z89" s="45" t="s">
        <v>1</v>
      </c>
      <c r="AA89" s="45" t="s">
        <v>1</v>
      </c>
      <c r="AB89" s="45" t="s">
        <v>1</v>
      </c>
      <c r="AC89" s="45" t="s">
        <v>1</v>
      </c>
      <c r="AD89" s="45" t="s">
        <v>69</v>
      </c>
      <c r="AE89" s="45" t="s">
        <v>1</v>
      </c>
      <c r="AF89" s="49" t="s">
        <v>1</v>
      </c>
    </row>
    <row r="90" spans="1:35" outlineLevel="1" x14ac:dyDescent="0.25">
      <c r="A90" s="615"/>
      <c r="B90" s="152" t="s">
        <v>0</v>
      </c>
      <c r="C90" s="45" t="s">
        <v>0</v>
      </c>
      <c r="D90" s="45" t="s">
        <v>4</v>
      </c>
      <c r="E90" s="50" t="s">
        <v>0</v>
      </c>
      <c r="F90" s="291" t="s">
        <v>0</v>
      </c>
      <c r="G90" s="45" t="s">
        <v>0</v>
      </c>
      <c r="H90" s="45" t="s">
        <v>4</v>
      </c>
      <c r="I90" s="45" t="s">
        <v>4</v>
      </c>
      <c r="J90" s="45" t="s">
        <v>4</v>
      </c>
      <c r="K90" s="45" t="s">
        <v>4</v>
      </c>
      <c r="L90" s="52" t="s">
        <v>4</v>
      </c>
      <c r="M90" s="52" t="s">
        <v>0</v>
      </c>
      <c r="N90" s="45" t="s">
        <v>4</v>
      </c>
      <c r="O90" s="45" t="s">
        <v>4</v>
      </c>
      <c r="P90" s="45" t="s">
        <v>4</v>
      </c>
      <c r="Q90" s="45" t="s">
        <v>4</v>
      </c>
      <c r="R90" s="45" t="s">
        <v>4</v>
      </c>
      <c r="S90" s="45" t="s">
        <v>112</v>
      </c>
      <c r="T90" s="45" t="s">
        <v>0</v>
      </c>
      <c r="U90" s="45" t="s">
        <v>0</v>
      </c>
      <c r="V90" s="45" t="s">
        <v>0</v>
      </c>
      <c r="W90" s="45" t="s">
        <v>0</v>
      </c>
      <c r="X90" s="45" t="s">
        <v>0</v>
      </c>
      <c r="Y90" s="45" t="s">
        <v>0</v>
      </c>
      <c r="Z90" s="45" t="s">
        <v>0</v>
      </c>
      <c r="AA90" s="45" t="s">
        <v>0</v>
      </c>
      <c r="AB90" s="45" t="s">
        <v>0</v>
      </c>
      <c r="AC90" s="45" t="s">
        <v>0</v>
      </c>
      <c r="AD90" s="45" t="s">
        <v>4</v>
      </c>
      <c r="AE90" s="45" t="s">
        <v>4</v>
      </c>
      <c r="AF90" s="49" t="s">
        <v>4</v>
      </c>
    </row>
    <row r="91" spans="1:35" ht="30" customHeight="1" thickBot="1" x14ac:dyDescent="0.3">
      <c r="A91" s="616"/>
      <c r="B91" s="149" t="s">
        <v>10</v>
      </c>
      <c r="C91" s="54" t="s">
        <v>544</v>
      </c>
      <c r="D91" s="55" t="s">
        <v>8</v>
      </c>
      <c r="E91" s="54" t="s">
        <v>198</v>
      </c>
      <c r="F91" s="288">
        <v>77</v>
      </c>
      <c r="G91" s="54">
        <v>250000001</v>
      </c>
      <c r="H91" s="193" t="s">
        <v>8</v>
      </c>
      <c r="I91" s="193" t="s">
        <v>5</v>
      </c>
      <c r="J91" s="55" t="s">
        <v>5</v>
      </c>
      <c r="K91" s="55" t="s">
        <v>6</v>
      </c>
      <c r="L91" s="55" t="s">
        <v>208</v>
      </c>
      <c r="M91" s="193" t="s">
        <v>397</v>
      </c>
      <c r="N91" s="55" t="s">
        <v>210</v>
      </c>
      <c r="O91" s="55" t="s">
        <v>8</v>
      </c>
      <c r="P91" s="55" t="s">
        <v>8</v>
      </c>
      <c r="Q91" s="54" t="s">
        <v>544</v>
      </c>
      <c r="R91" s="55" t="s">
        <v>5</v>
      </c>
      <c r="S91" s="55" t="s">
        <v>5</v>
      </c>
      <c r="T91" s="33" t="s">
        <v>581</v>
      </c>
      <c r="U91" s="228" t="s">
        <v>244</v>
      </c>
      <c r="V91" s="33" t="s">
        <v>202</v>
      </c>
      <c r="W91" s="54" t="s">
        <v>590</v>
      </c>
      <c r="X91" s="33" t="s">
        <v>202</v>
      </c>
      <c r="Y91" s="54" t="s">
        <v>595</v>
      </c>
      <c r="Z91" s="96" t="s">
        <v>595</v>
      </c>
      <c r="AA91" s="54" t="s">
        <v>6</v>
      </c>
      <c r="AB91" s="54" t="s">
        <v>212</v>
      </c>
      <c r="AC91" s="54" t="s">
        <v>212</v>
      </c>
      <c r="AD91" s="193" t="s">
        <v>498</v>
      </c>
      <c r="AE91" s="193" t="s">
        <v>200</v>
      </c>
      <c r="AF91" s="54" t="s">
        <v>212</v>
      </c>
      <c r="AG91" s="188" t="s">
        <v>589</v>
      </c>
      <c r="AH91" s="76"/>
      <c r="AI91" s="76"/>
    </row>
    <row r="92" spans="1:35" s="75" customFormat="1" ht="15.75" thickBot="1" x14ac:dyDescent="0.3">
      <c r="B92" s="150" t="s">
        <v>586</v>
      </c>
      <c r="C92" s="75" t="s">
        <v>586</v>
      </c>
      <c r="D92" s="75" t="s">
        <v>586</v>
      </c>
      <c r="E92" s="75" t="s">
        <v>586</v>
      </c>
      <c r="F92" s="276" t="s">
        <v>586</v>
      </c>
      <c r="G92" s="75" t="s">
        <v>586</v>
      </c>
      <c r="H92" s="75" t="s">
        <v>586</v>
      </c>
      <c r="I92" s="75" t="s">
        <v>586</v>
      </c>
      <c r="J92" s="75" t="s">
        <v>586</v>
      </c>
      <c r="K92" s="75" t="s">
        <v>586</v>
      </c>
      <c r="L92" s="75" t="s">
        <v>586</v>
      </c>
      <c r="M92" s="75" t="s">
        <v>586</v>
      </c>
      <c r="N92" s="75" t="s">
        <v>586</v>
      </c>
      <c r="O92" s="75" t="s">
        <v>586</v>
      </c>
      <c r="P92" s="75" t="s">
        <v>586</v>
      </c>
      <c r="Q92" s="75" t="s">
        <v>586</v>
      </c>
      <c r="R92" s="75" t="s">
        <v>586</v>
      </c>
      <c r="S92" s="75" t="s">
        <v>586</v>
      </c>
      <c r="T92" s="75" t="s">
        <v>586</v>
      </c>
      <c r="U92" s="75" t="s">
        <v>586</v>
      </c>
      <c r="V92" s="75" t="s">
        <v>586</v>
      </c>
      <c r="W92" s="75" t="s">
        <v>586</v>
      </c>
      <c r="X92" s="75" t="s">
        <v>586</v>
      </c>
      <c r="Y92" s="75" t="s">
        <v>586</v>
      </c>
      <c r="Z92" s="75" t="s">
        <v>586</v>
      </c>
      <c r="AA92" s="75" t="s">
        <v>586</v>
      </c>
      <c r="AB92" s="75" t="s">
        <v>586</v>
      </c>
      <c r="AC92" s="75" t="s">
        <v>586</v>
      </c>
      <c r="AD92" s="75" t="s">
        <v>586</v>
      </c>
      <c r="AE92" s="75" t="s">
        <v>586</v>
      </c>
      <c r="AF92" s="75" t="s">
        <v>586</v>
      </c>
    </row>
    <row r="93" spans="1:35" ht="100.15" customHeight="1" x14ac:dyDescent="0.25">
      <c r="A93" s="614" t="s">
        <v>360</v>
      </c>
      <c r="B93" s="147" t="s">
        <v>13</v>
      </c>
      <c r="C93" s="24" t="s">
        <v>14</v>
      </c>
      <c r="D93" s="24" t="s">
        <v>15</v>
      </c>
      <c r="E93" s="25" t="s">
        <v>16</v>
      </c>
      <c r="F93" s="282" t="s">
        <v>17</v>
      </c>
      <c r="G93" s="24" t="s">
        <v>70</v>
      </c>
      <c r="H93" s="24" t="s">
        <v>15</v>
      </c>
      <c r="I93" s="24" t="s">
        <v>220</v>
      </c>
      <c r="J93" s="24" t="s">
        <v>221</v>
      </c>
      <c r="K93" s="26" t="s">
        <v>222</v>
      </c>
      <c r="L93" s="26" t="s">
        <v>223</v>
      </c>
      <c r="M93" s="24" t="s">
        <v>224</v>
      </c>
      <c r="N93" s="24" t="s">
        <v>225</v>
      </c>
      <c r="O93" s="24" t="s">
        <v>226</v>
      </c>
      <c r="P93" s="24" t="s">
        <v>221</v>
      </c>
      <c r="Q93" s="24" t="s">
        <v>227</v>
      </c>
      <c r="R93" s="24" t="s">
        <v>15</v>
      </c>
      <c r="S93" s="27" t="s">
        <v>228</v>
      </c>
    </row>
    <row r="94" spans="1:35" ht="19.899999999999999" customHeight="1" x14ac:dyDescent="0.25">
      <c r="A94" s="615"/>
      <c r="B94" s="148">
        <v>1</v>
      </c>
      <c r="C94" s="5" t="s">
        <v>47</v>
      </c>
      <c r="D94" s="4">
        <v>11</v>
      </c>
      <c r="E94" s="6" t="s">
        <v>48</v>
      </c>
      <c r="F94" s="283" t="s">
        <v>49</v>
      </c>
      <c r="G94" s="7" t="s">
        <v>50</v>
      </c>
      <c r="H94" s="7" t="s">
        <v>229</v>
      </c>
      <c r="I94" s="7" t="s">
        <v>216</v>
      </c>
      <c r="J94" s="7" t="s">
        <v>230</v>
      </c>
      <c r="K94" s="8" t="s">
        <v>217</v>
      </c>
      <c r="L94" s="8" t="s">
        <v>218</v>
      </c>
      <c r="M94" s="7" t="s">
        <v>179</v>
      </c>
      <c r="N94" s="7" t="s">
        <v>219</v>
      </c>
      <c r="O94" s="7">
        <v>90</v>
      </c>
      <c r="P94" s="7" t="s">
        <v>231</v>
      </c>
      <c r="Q94" s="7">
        <v>94</v>
      </c>
      <c r="R94" s="7" t="s">
        <v>232</v>
      </c>
      <c r="S94" s="28" t="s">
        <v>233</v>
      </c>
    </row>
    <row r="95" spans="1:35" outlineLevel="1" x14ac:dyDescent="0.25">
      <c r="A95" s="615"/>
      <c r="B95" s="148">
        <v>1</v>
      </c>
      <c r="C95" s="4">
        <v>9</v>
      </c>
      <c r="D95" s="4">
        <v>1</v>
      </c>
      <c r="E95" s="9">
        <v>13</v>
      </c>
      <c r="F95" s="284">
        <v>2</v>
      </c>
      <c r="G95" s="4">
        <v>9</v>
      </c>
      <c r="H95" s="4">
        <v>3</v>
      </c>
      <c r="I95" s="4">
        <v>3</v>
      </c>
      <c r="J95" s="4">
        <v>16</v>
      </c>
      <c r="K95" s="10">
        <v>8</v>
      </c>
      <c r="L95" s="10">
        <v>8</v>
      </c>
      <c r="M95" s="4">
        <v>8</v>
      </c>
      <c r="N95" s="4">
        <v>8</v>
      </c>
      <c r="O95" s="4">
        <v>1</v>
      </c>
      <c r="P95" s="4">
        <v>3</v>
      </c>
      <c r="Q95" s="4">
        <v>1</v>
      </c>
      <c r="R95" s="4">
        <v>2</v>
      </c>
      <c r="S95" s="29">
        <v>32</v>
      </c>
    </row>
    <row r="96" spans="1:35" ht="13.5" customHeight="1" outlineLevel="1" x14ac:dyDescent="0.25">
      <c r="A96" s="615"/>
      <c r="B96" s="148" t="s">
        <v>1</v>
      </c>
      <c r="C96" s="4" t="s">
        <v>1</v>
      </c>
      <c r="D96" s="4" t="s">
        <v>69</v>
      </c>
      <c r="E96" s="9" t="s">
        <v>69</v>
      </c>
      <c r="F96" s="284" t="s">
        <v>1</v>
      </c>
      <c r="G96" s="4" t="s">
        <v>1</v>
      </c>
      <c r="H96" s="4" t="s">
        <v>69</v>
      </c>
      <c r="I96" s="4" t="s">
        <v>1</v>
      </c>
      <c r="J96" s="4" t="s">
        <v>69</v>
      </c>
      <c r="K96" s="12" t="s">
        <v>1</v>
      </c>
      <c r="L96" s="12" t="s">
        <v>1</v>
      </c>
      <c r="M96" s="4" t="s">
        <v>1</v>
      </c>
      <c r="N96" s="4" t="s">
        <v>1</v>
      </c>
      <c r="O96" s="4" t="s">
        <v>69</v>
      </c>
      <c r="P96" s="4" t="s">
        <v>69</v>
      </c>
      <c r="Q96" s="4" t="s">
        <v>69</v>
      </c>
      <c r="R96" s="4" t="s">
        <v>69</v>
      </c>
      <c r="S96" s="29" t="s">
        <v>69</v>
      </c>
    </row>
    <row r="97" spans="1:35" outlineLevel="1" x14ac:dyDescent="0.25">
      <c r="A97" s="615"/>
      <c r="B97" s="148" t="s">
        <v>0</v>
      </c>
      <c r="C97" s="4" t="s">
        <v>0</v>
      </c>
      <c r="D97" s="4" t="s">
        <v>4</v>
      </c>
      <c r="E97" s="9" t="s">
        <v>0</v>
      </c>
      <c r="F97" s="284" t="s">
        <v>0</v>
      </c>
      <c r="G97" s="4" t="s">
        <v>0</v>
      </c>
      <c r="H97" s="4" t="s">
        <v>4</v>
      </c>
      <c r="I97" s="4" t="s">
        <v>0</v>
      </c>
      <c r="J97" s="4" t="s">
        <v>0</v>
      </c>
      <c r="K97" s="12" t="s">
        <v>0</v>
      </c>
      <c r="L97" s="12" t="s">
        <v>0</v>
      </c>
      <c r="M97" s="4" t="s">
        <v>0</v>
      </c>
      <c r="N97" s="4" t="s">
        <v>4</v>
      </c>
      <c r="O97" s="4" t="s">
        <v>4</v>
      </c>
      <c r="P97" s="4" t="s">
        <v>0</v>
      </c>
      <c r="Q97" s="4" t="s">
        <v>0</v>
      </c>
      <c r="R97" s="4" t="s">
        <v>4</v>
      </c>
      <c r="S97" s="29" t="s">
        <v>4</v>
      </c>
    </row>
    <row r="98" spans="1:35" s="163" customFormat="1" ht="30" customHeight="1" thickBot="1" x14ac:dyDescent="0.3">
      <c r="A98" s="616"/>
      <c r="B98" s="157">
        <v>5</v>
      </c>
      <c r="C98" s="54" t="s">
        <v>544</v>
      </c>
      <c r="D98" s="55" t="s">
        <v>8</v>
      </c>
      <c r="E98" s="55" t="s">
        <v>198</v>
      </c>
      <c r="F98" s="270">
        <v>77</v>
      </c>
      <c r="G98" s="55">
        <v>250000001</v>
      </c>
      <c r="H98" s="98" t="s">
        <v>9</v>
      </c>
      <c r="I98" s="496" t="s">
        <v>729</v>
      </c>
      <c r="J98" s="98" t="s">
        <v>234</v>
      </c>
      <c r="K98" s="56" t="s">
        <v>669</v>
      </c>
      <c r="L98" s="56" t="s">
        <v>670</v>
      </c>
      <c r="M98" s="56" t="s">
        <v>671</v>
      </c>
      <c r="N98" s="56" t="s">
        <v>599</v>
      </c>
      <c r="O98" s="56" t="s">
        <v>8</v>
      </c>
      <c r="P98" s="56" t="s">
        <v>9</v>
      </c>
      <c r="Q98" s="56" t="s">
        <v>8</v>
      </c>
      <c r="R98" s="56" t="s">
        <v>210</v>
      </c>
      <c r="S98" s="99" t="s">
        <v>235</v>
      </c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</row>
    <row r="99" spans="1:35" ht="15.75" thickBot="1" x14ac:dyDescent="0.3">
      <c r="A99" s="75"/>
      <c r="B99" s="150" t="s">
        <v>586</v>
      </c>
      <c r="C99" s="75" t="s">
        <v>586</v>
      </c>
      <c r="D99" s="75" t="s">
        <v>586</v>
      </c>
      <c r="E99" s="75" t="s">
        <v>586</v>
      </c>
      <c r="F99" s="276" t="s">
        <v>586</v>
      </c>
      <c r="G99" s="75" t="s">
        <v>586</v>
      </c>
      <c r="H99" s="75" t="s">
        <v>586</v>
      </c>
      <c r="I99" s="75" t="s">
        <v>586</v>
      </c>
      <c r="J99" s="75" t="s">
        <v>586</v>
      </c>
      <c r="K99" s="75" t="s">
        <v>586</v>
      </c>
      <c r="L99" s="75" t="s">
        <v>586</v>
      </c>
      <c r="M99" s="75" t="s">
        <v>586</v>
      </c>
      <c r="N99" s="75" t="s">
        <v>586</v>
      </c>
      <c r="O99" s="75" t="s">
        <v>586</v>
      </c>
      <c r="P99" s="75" t="s">
        <v>586</v>
      </c>
      <c r="Q99" s="75" t="s">
        <v>586</v>
      </c>
      <c r="R99" s="75" t="s">
        <v>586</v>
      </c>
      <c r="S99" s="75" t="s">
        <v>586</v>
      </c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</row>
    <row r="100" spans="1:35" ht="100.15" customHeight="1" x14ac:dyDescent="0.25">
      <c r="A100" s="608" t="s">
        <v>361</v>
      </c>
      <c r="B100" s="327" t="s">
        <v>13</v>
      </c>
      <c r="C100" s="328" t="s">
        <v>14</v>
      </c>
      <c r="D100" s="328" t="s">
        <v>339</v>
      </c>
      <c r="E100" s="329" t="s">
        <v>469</v>
      </c>
      <c r="F100" s="330" t="s">
        <v>470</v>
      </c>
      <c r="G100" s="328" t="s">
        <v>471</v>
      </c>
      <c r="H100" s="328" t="s">
        <v>340</v>
      </c>
      <c r="I100" s="328" t="s">
        <v>473</v>
      </c>
      <c r="J100" s="328" t="s">
        <v>472</v>
      </c>
      <c r="K100" s="331" t="s">
        <v>312</v>
      </c>
      <c r="L100" s="331" t="s">
        <v>341</v>
      </c>
      <c r="M100" s="328" t="s">
        <v>25</v>
      </c>
      <c r="N100" s="328" t="s">
        <v>15</v>
      </c>
      <c r="O100" s="328" t="s">
        <v>474</v>
      </c>
      <c r="P100" s="328" t="s">
        <v>342</v>
      </c>
      <c r="Q100" s="328" t="s">
        <v>15</v>
      </c>
      <c r="R100" s="328" t="s">
        <v>343</v>
      </c>
      <c r="S100" s="332" t="s">
        <v>228</v>
      </c>
    </row>
    <row r="101" spans="1:35" ht="19.899999999999999" customHeight="1" x14ac:dyDescent="0.25">
      <c r="A101" s="609"/>
      <c r="B101" s="158">
        <v>1</v>
      </c>
      <c r="C101" s="102" t="s">
        <v>47</v>
      </c>
      <c r="D101" s="103" t="s">
        <v>344</v>
      </c>
      <c r="E101" s="104" t="s">
        <v>345</v>
      </c>
      <c r="F101" s="298" t="s">
        <v>346</v>
      </c>
      <c r="G101" s="103" t="s">
        <v>347</v>
      </c>
      <c r="H101" s="103" t="s">
        <v>348</v>
      </c>
      <c r="I101" s="103" t="s">
        <v>349</v>
      </c>
      <c r="J101" s="103" t="s">
        <v>350</v>
      </c>
      <c r="K101" s="105" t="s">
        <v>351</v>
      </c>
      <c r="L101" s="105" t="s">
        <v>352</v>
      </c>
      <c r="M101" s="103" t="s">
        <v>353</v>
      </c>
      <c r="N101" s="103" t="s">
        <v>354</v>
      </c>
      <c r="O101" s="103" t="s">
        <v>355</v>
      </c>
      <c r="P101" s="103" t="s">
        <v>356</v>
      </c>
      <c r="Q101" s="103" t="s">
        <v>357</v>
      </c>
      <c r="R101" s="103" t="s">
        <v>358</v>
      </c>
      <c r="S101" s="333" t="s">
        <v>233</v>
      </c>
    </row>
    <row r="102" spans="1:35" outlineLevel="1" x14ac:dyDescent="0.25">
      <c r="A102" s="609"/>
      <c r="B102" s="158">
        <v>1</v>
      </c>
      <c r="C102" s="101">
        <v>9</v>
      </c>
      <c r="D102" s="101">
        <v>3</v>
      </c>
      <c r="E102" s="101">
        <v>4</v>
      </c>
      <c r="F102" s="299">
        <v>4</v>
      </c>
      <c r="G102" s="101">
        <v>3</v>
      </c>
      <c r="H102" s="101">
        <v>9</v>
      </c>
      <c r="I102" s="101">
        <v>9</v>
      </c>
      <c r="J102" s="101">
        <v>9</v>
      </c>
      <c r="K102" s="107">
        <v>3</v>
      </c>
      <c r="L102" s="107">
        <v>1</v>
      </c>
      <c r="M102" s="101">
        <v>1</v>
      </c>
      <c r="N102" s="101">
        <v>4</v>
      </c>
      <c r="O102" s="101">
        <v>12</v>
      </c>
      <c r="P102" s="101">
        <v>12</v>
      </c>
      <c r="Q102" s="103">
        <v>3</v>
      </c>
      <c r="R102" s="101">
        <v>9</v>
      </c>
      <c r="S102" s="334">
        <v>32</v>
      </c>
    </row>
    <row r="103" spans="1:35" outlineLevel="1" x14ac:dyDescent="0.25">
      <c r="A103" s="609"/>
      <c r="B103" s="158" t="s">
        <v>1</v>
      </c>
      <c r="C103" s="101" t="s">
        <v>1</v>
      </c>
      <c r="D103" s="197" t="s">
        <v>1</v>
      </c>
      <c r="E103" s="106" t="s">
        <v>1</v>
      </c>
      <c r="F103" s="299" t="s">
        <v>1</v>
      </c>
      <c r="G103" s="101" t="s">
        <v>1</v>
      </c>
      <c r="H103" s="101" t="s">
        <v>1</v>
      </c>
      <c r="I103" s="101" t="s">
        <v>1</v>
      </c>
      <c r="J103" s="101" t="s">
        <v>1</v>
      </c>
      <c r="K103" s="108" t="s">
        <v>1</v>
      </c>
      <c r="L103" s="108" t="s">
        <v>69</v>
      </c>
      <c r="M103" s="101" t="s">
        <v>69</v>
      </c>
      <c r="N103" s="101" t="s">
        <v>69</v>
      </c>
      <c r="O103" s="101" t="s">
        <v>69</v>
      </c>
      <c r="P103" s="101" t="s">
        <v>1</v>
      </c>
      <c r="Q103" s="101" t="s">
        <v>69</v>
      </c>
      <c r="R103" s="101" t="s">
        <v>1</v>
      </c>
      <c r="S103" s="334" t="s">
        <v>1</v>
      </c>
    </row>
    <row r="104" spans="1:35" outlineLevel="1" x14ac:dyDescent="0.25">
      <c r="A104" s="609"/>
      <c r="B104" s="158" t="s">
        <v>0</v>
      </c>
      <c r="C104" s="101" t="s">
        <v>0</v>
      </c>
      <c r="D104" s="101" t="s">
        <v>0</v>
      </c>
      <c r="E104" s="106" t="s">
        <v>0</v>
      </c>
      <c r="F104" s="299" t="s">
        <v>0</v>
      </c>
      <c r="G104" s="101" t="s">
        <v>0</v>
      </c>
      <c r="H104" s="101" t="s">
        <v>0</v>
      </c>
      <c r="I104" s="101" t="s">
        <v>0</v>
      </c>
      <c r="J104" s="101" t="s">
        <v>0</v>
      </c>
      <c r="K104" s="108" t="s">
        <v>0</v>
      </c>
      <c r="L104" s="108" t="s">
        <v>4</v>
      </c>
      <c r="M104" s="101" t="s">
        <v>4</v>
      </c>
      <c r="N104" s="101" t="s">
        <v>4</v>
      </c>
      <c r="O104" s="101" t="s">
        <v>4</v>
      </c>
      <c r="P104" s="101" t="s">
        <v>4</v>
      </c>
      <c r="Q104" s="101" t="s">
        <v>4</v>
      </c>
      <c r="R104" s="101" t="s">
        <v>4</v>
      </c>
      <c r="S104" s="334" t="s">
        <v>0</v>
      </c>
    </row>
    <row r="105" spans="1:35" s="163" customFormat="1" ht="30" customHeight="1" thickBot="1" x14ac:dyDescent="0.3">
      <c r="A105" s="610"/>
      <c r="B105" s="183">
        <v>6</v>
      </c>
      <c r="C105" s="335" t="s">
        <v>544</v>
      </c>
      <c r="D105" s="185" t="s">
        <v>195</v>
      </c>
      <c r="E105" s="336" t="s">
        <v>672</v>
      </c>
      <c r="F105" s="337" t="s">
        <v>521</v>
      </c>
      <c r="G105" s="185" t="s">
        <v>195</v>
      </c>
      <c r="H105" s="184" t="s">
        <v>673</v>
      </c>
      <c r="I105" s="184" t="s">
        <v>674</v>
      </c>
      <c r="J105" s="184" t="s">
        <v>209</v>
      </c>
      <c r="K105" s="184" t="s">
        <v>195</v>
      </c>
      <c r="L105" s="186" t="s">
        <v>8</v>
      </c>
      <c r="M105" s="186" t="s">
        <v>8</v>
      </c>
      <c r="N105" s="186" t="s">
        <v>387</v>
      </c>
      <c r="O105" s="186" t="s">
        <v>941</v>
      </c>
      <c r="P105" s="186" t="s">
        <v>388</v>
      </c>
      <c r="Q105" s="186" t="s">
        <v>9</v>
      </c>
      <c r="R105" s="186" t="s">
        <v>389</v>
      </c>
      <c r="S105" s="187" t="s">
        <v>235</v>
      </c>
    </row>
    <row r="106" spans="1:35" ht="9.75" customHeight="1" thickBot="1" x14ac:dyDescent="0.3">
      <c r="B106" s="150" t="s">
        <v>586</v>
      </c>
      <c r="C106" s="150" t="s">
        <v>586</v>
      </c>
      <c r="D106" s="150" t="s">
        <v>586</v>
      </c>
      <c r="E106" s="150" t="s">
        <v>586</v>
      </c>
      <c r="F106" s="276" t="s">
        <v>586</v>
      </c>
      <c r="G106" s="150" t="s">
        <v>586</v>
      </c>
      <c r="H106" s="150" t="s">
        <v>586</v>
      </c>
      <c r="I106" s="150" t="s">
        <v>586</v>
      </c>
      <c r="J106" s="150" t="s">
        <v>586</v>
      </c>
      <c r="K106" s="150" t="s">
        <v>586</v>
      </c>
      <c r="L106" s="150" t="s">
        <v>586</v>
      </c>
      <c r="M106" s="150" t="s">
        <v>586</v>
      </c>
      <c r="N106" s="150" t="s">
        <v>586</v>
      </c>
      <c r="O106" s="150" t="s">
        <v>586</v>
      </c>
      <c r="P106" s="150" t="s">
        <v>586</v>
      </c>
      <c r="Q106" s="150" t="s">
        <v>586</v>
      </c>
      <c r="R106" s="150" t="s">
        <v>586</v>
      </c>
      <c r="S106" s="150" t="s">
        <v>586</v>
      </c>
    </row>
    <row r="107" spans="1:35" ht="100.15" customHeight="1" x14ac:dyDescent="0.25">
      <c r="A107" s="611" t="s">
        <v>371</v>
      </c>
      <c r="B107" s="159" t="s">
        <v>13</v>
      </c>
      <c r="C107" s="117" t="s">
        <v>363</v>
      </c>
      <c r="D107" s="117" t="s">
        <v>364</v>
      </c>
      <c r="E107" s="118" t="s">
        <v>15</v>
      </c>
      <c r="F107" s="300" t="s">
        <v>283</v>
      </c>
      <c r="G107" s="117" t="s">
        <v>365</v>
      </c>
      <c r="H107" s="117" t="s">
        <v>15</v>
      </c>
      <c r="I107" s="117" t="s">
        <v>286</v>
      </c>
      <c r="J107" s="117" t="s">
        <v>287</v>
      </c>
      <c r="K107" s="119" t="s">
        <v>366</v>
      </c>
      <c r="L107" s="119" t="s">
        <v>15</v>
      </c>
      <c r="M107" s="117" t="s">
        <v>367</v>
      </c>
      <c r="N107" s="120" t="s">
        <v>15</v>
      </c>
    </row>
    <row r="108" spans="1:35" ht="19.899999999999999" customHeight="1" x14ac:dyDescent="0.25">
      <c r="A108" s="612"/>
      <c r="B108" s="198" t="s">
        <v>293</v>
      </c>
      <c r="C108" s="110" t="s">
        <v>294</v>
      </c>
      <c r="D108" s="111" t="s">
        <v>295</v>
      </c>
      <c r="E108" s="112" t="s">
        <v>296</v>
      </c>
      <c r="F108" s="301" t="s">
        <v>297</v>
      </c>
      <c r="G108" s="111" t="s">
        <v>298</v>
      </c>
      <c r="H108" s="111" t="s">
        <v>299</v>
      </c>
      <c r="I108" s="111" t="s">
        <v>300</v>
      </c>
      <c r="J108" s="111" t="s">
        <v>301</v>
      </c>
      <c r="K108" s="113" t="s">
        <v>368</v>
      </c>
      <c r="L108" s="113" t="s">
        <v>369</v>
      </c>
      <c r="M108" s="111" t="s">
        <v>307</v>
      </c>
      <c r="N108" s="121" t="s">
        <v>370</v>
      </c>
    </row>
    <row r="109" spans="1:35" outlineLevel="1" x14ac:dyDescent="0.25">
      <c r="A109" s="612"/>
      <c r="B109" s="160">
        <v>3</v>
      </c>
      <c r="C109" s="109">
        <v>2</v>
      </c>
      <c r="D109" s="109">
        <v>14</v>
      </c>
      <c r="E109" s="109">
        <v>6</v>
      </c>
      <c r="F109" s="302">
        <v>2</v>
      </c>
      <c r="G109" s="109">
        <v>14</v>
      </c>
      <c r="H109" s="109">
        <v>6</v>
      </c>
      <c r="I109" s="109">
        <v>2</v>
      </c>
      <c r="J109" s="109">
        <v>6</v>
      </c>
      <c r="K109" s="115">
        <v>8</v>
      </c>
      <c r="L109" s="115">
        <v>19</v>
      </c>
      <c r="M109" s="109">
        <v>3</v>
      </c>
      <c r="N109" s="122">
        <v>43</v>
      </c>
    </row>
    <row r="110" spans="1:35" outlineLevel="1" x14ac:dyDescent="0.25">
      <c r="A110" s="612"/>
      <c r="B110" s="160" t="s">
        <v>1</v>
      </c>
      <c r="C110" s="109" t="s">
        <v>69</v>
      </c>
      <c r="D110" s="109" t="s">
        <v>1</v>
      </c>
      <c r="E110" s="114" t="s">
        <v>69</v>
      </c>
      <c r="F110" s="302" t="s">
        <v>69</v>
      </c>
      <c r="G110" s="109" t="s">
        <v>1</v>
      </c>
      <c r="H110" s="109" t="s">
        <v>69</v>
      </c>
      <c r="I110" s="109" t="s">
        <v>69</v>
      </c>
      <c r="J110" s="109" t="s">
        <v>69</v>
      </c>
      <c r="K110" s="116" t="s">
        <v>1</v>
      </c>
      <c r="L110" s="116" t="s">
        <v>69</v>
      </c>
      <c r="M110" s="109" t="s">
        <v>1</v>
      </c>
      <c r="N110" s="122" t="s">
        <v>69</v>
      </c>
    </row>
    <row r="111" spans="1:35" outlineLevel="1" x14ac:dyDescent="0.25">
      <c r="A111" s="612"/>
      <c r="B111" s="160" t="s">
        <v>0</v>
      </c>
      <c r="C111" s="109" t="s">
        <v>0</v>
      </c>
      <c r="D111" s="109" t="s">
        <v>0</v>
      </c>
      <c r="E111" s="114" t="s">
        <v>4</v>
      </c>
      <c r="F111" s="302" t="s">
        <v>0</v>
      </c>
      <c r="G111" s="109" t="s">
        <v>0</v>
      </c>
      <c r="H111" s="109" t="s">
        <v>4</v>
      </c>
      <c r="I111" s="109" t="s">
        <v>0</v>
      </c>
      <c r="J111" s="109" t="s">
        <v>0</v>
      </c>
      <c r="K111" s="116" t="s">
        <v>0</v>
      </c>
      <c r="L111" s="116" t="s">
        <v>4</v>
      </c>
      <c r="M111" s="109" t="s">
        <v>0</v>
      </c>
      <c r="N111" s="122" t="s">
        <v>4</v>
      </c>
    </row>
    <row r="112" spans="1:35" ht="30" customHeight="1" thickBot="1" x14ac:dyDescent="0.3">
      <c r="A112" s="613"/>
      <c r="B112" s="183">
        <v>999</v>
      </c>
      <c r="C112" s="186" t="s">
        <v>373</v>
      </c>
      <c r="D112" s="174" t="s">
        <v>584</v>
      </c>
      <c r="E112" s="186" t="s">
        <v>374</v>
      </c>
      <c r="F112" s="303" t="s">
        <v>375</v>
      </c>
      <c r="G112" s="174" t="s">
        <v>585</v>
      </c>
      <c r="H112" s="186" t="s">
        <v>374</v>
      </c>
      <c r="I112" s="186" t="s">
        <v>376</v>
      </c>
      <c r="J112" s="184" t="s">
        <v>377</v>
      </c>
      <c r="K112" s="497" t="s">
        <v>754</v>
      </c>
      <c r="L112" s="186" t="s">
        <v>390</v>
      </c>
      <c r="M112" s="185" t="s">
        <v>195</v>
      </c>
      <c r="N112" s="187" t="s">
        <v>391</v>
      </c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</row>
    <row r="113" spans="2:14" x14ac:dyDescent="0.25">
      <c r="B113" s="150" t="s">
        <v>586</v>
      </c>
      <c r="C113" s="150" t="s">
        <v>586</v>
      </c>
      <c r="D113" s="150" t="s">
        <v>586</v>
      </c>
      <c r="E113" s="150" t="s">
        <v>586</v>
      </c>
      <c r="F113" s="276" t="s">
        <v>586</v>
      </c>
      <c r="G113" s="150" t="s">
        <v>586</v>
      </c>
      <c r="H113" s="150" t="s">
        <v>586</v>
      </c>
      <c r="I113" s="150" t="s">
        <v>586</v>
      </c>
      <c r="J113" s="150" t="s">
        <v>586</v>
      </c>
      <c r="K113" s="150" t="s">
        <v>586</v>
      </c>
      <c r="L113" s="150" t="s">
        <v>586</v>
      </c>
      <c r="M113" s="150" t="s">
        <v>586</v>
      </c>
      <c r="N113" s="150" t="s">
        <v>586</v>
      </c>
    </row>
  </sheetData>
  <sheetProtection algorithmName="SHA-512" hashValue="EY8nV6MpTczoq+NBzxxq62MMfXFwK3txsKCTPaTcPVZHm0LxlzoULeDSQgKv6heHkWsqLjwILnwRtuoUFgUVCg==" saltValue="hGBseShHZQmpXpay1HHCSA==" spinCount="100000" sheet="1" sort="0"/>
  <mergeCells count="23">
    <mergeCell ref="A107:A112"/>
    <mergeCell ref="B1:AI1"/>
    <mergeCell ref="A3:C3"/>
    <mergeCell ref="D3:F3"/>
    <mergeCell ref="G3:H3"/>
    <mergeCell ref="I3:X3"/>
    <mergeCell ref="A86:A91"/>
    <mergeCell ref="A58:A63"/>
    <mergeCell ref="A65:A70"/>
    <mergeCell ref="A72:A77"/>
    <mergeCell ref="A79:A84"/>
    <mergeCell ref="A23:A28"/>
    <mergeCell ref="A30:A35"/>
    <mergeCell ref="A37:A42"/>
    <mergeCell ref="A44:A49"/>
    <mergeCell ref="A51:A56"/>
    <mergeCell ref="Z3:AE3"/>
    <mergeCell ref="AG3:AI3"/>
    <mergeCell ref="A7:AI7"/>
    <mergeCell ref="A93:A98"/>
    <mergeCell ref="A100:A105"/>
    <mergeCell ref="A9:A14"/>
    <mergeCell ref="A16:A21"/>
  </mergeCells>
  <conditionalFormatting sqref="B28">
    <cfRule type="expression" dxfId="33" priority="2">
      <formula>"B17&lt;&gt;0"</formula>
    </cfRule>
  </conditionalFormatting>
  <conditionalFormatting sqref="F28">
    <cfRule type="expression" dxfId="32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tabColor theme="8" tint="-0.499984740745262"/>
    <pageSetUpPr fitToPage="1"/>
  </sheetPr>
  <dimension ref="A1:AI120"/>
  <sheetViews>
    <sheetView view="pageBreakPreview" topLeftCell="M94" zoomScale="85" zoomScaleNormal="25" zoomScaleSheetLayoutView="85" workbookViewId="0">
      <selection activeCell="O112" sqref="O112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30'!A20</f>
        <v>CONVENTION CAS 9</v>
      </c>
      <c r="B5" s="369">
        <f>'LISTE DES CAS ANNEXE 30'!B20</f>
        <v>1</v>
      </c>
      <c r="C5" s="370">
        <f>'LISTE DES CAS ANNEXE 30'!C20</f>
        <v>1</v>
      </c>
      <c r="D5" s="367" t="str">
        <f>'LISTE DES CAS ANNEXE 30'!D20</f>
        <v>MALADIE</v>
      </c>
      <c r="E5" s="368">
        <f>'LISTE DES CAS ANNEXE 30'!E20</f>
        <v>0.55000000000000004</v>
      </c>
      <c r="F5" s="361" t="str">
        <f>'LISTE DES CAS ANNEXE 30'!H20</f>
        <v>NON</v>
      </c>
      <c r="G5" s="384" t="str">
        <f>'LISTE DES CAS ANNEXE 30'!I20</f>
        <v>Sans objet</v>
      </c>
      <c r="H5" s="366" t="str">
        <f>'LISTE DES CAS ANNEXE 30'!J20</f>
        <v>05 - TP AMO SEUL</v>
      </c>
      <c r="I5" s="354" t="str">
        <f>'LISTE DES CAS ANNEXE 30'!K20</f>
        <v>42-SAINT-ETIENNE</v>
      </c>
      <c r="J5" s="355" t="str">
        <f>'LISTE DES CAS ANNEXE 30'!L20</f>
        <v>42-MONTBRISON</v>
      </c>
      <c r="K5" s="356" t="str">
        <f>'LISTE DES CAS ANNEXE 30'!M20</f>
        <v>11/11/2025 à 10h00</v>
      </c>
      <c r="L5" s="356" t="str">
        <f>'LISTE DES CAS ANNEXE 30'!N20</f>
        <v>11/11/10/2025 à 10h40</v>
      </c>
      <c r="M5" s="357" t="str">
        <f>'LISTE DES CAS ANNEXE 30'!O20</f>
        <v>AA-001-BB</v>
      </c>
      <c r="N5" s="357" t="str">
        <f>'LISTE DES CAS ANNEXE 30'!P20</f>
        <v>42218 
(SAINT-ETIENNE)</v>
      </c>
      <c r="O5" s="357" t="str">
        <f>'LISTE DES CAS ANNEXE 30'!Q20</f>
        <v>042</v>
      </c>
      <c r="P5" s="357" t="str">
        <f>'LISTE DES CAS ANNEXE 30'!R20</f>
        <v>422 - CPAM DE LA LOIRE</v>
      </c>
      <c r="Q5" s="358">
        <f>'LISTE DES CAS ANNEXE 30'!S20</f>
        <v>43</v>
      </c>
      <c r="R5" s="430" t="str">
        <f>'LISTE DES CAS ANNEXE 30'!T20</f>
        <v>DIM / J FERIE</v>
      </c>
      <c r="S5" s="360">
        <f>'LISTE DES CAS ANNEXE 30'!U20</f>
        <v>1</v>
      </c>
      <c r="T5" s="428" t="str">
        <f>'LISTE DES CAS ANNEXE 30'!V20</f>
        <v>OUI  
(TYPES 1 &amp; 2)</v>
      </c>
      <c r="U5" s="428" t="str">
        <f>'LISTE DES CAS ANNEXE 30'!W20</f>
        <v>OUI
(à 1,20€)</v>
      </c>
      <c r="V5" s="428" t="str">
        <f>'LISTE DES CAS ANNEXE 30'!X20</f>
        <v>OUI</v>
      </c>
      <c r="W5" s="428" t="str">
        <f>'LISTE DES CAS ANNEXE 30'!Y20</f>
        <v>OUI</v>
      </c>
      <c r="X5" s="361" t="str">
        <f>'LISTE DES CAS ANNEXE 30'!Z20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676</v>
      </c>
      <c r="U42" s="228" t="s">
        <v>242</v>
      </c>
      <c r="V42" s="193" t="s">
        <v>202</v>
      </c>
      <c r="W42" s="33" t="s">
        <v>590</v>
      </c>
      <c r="X42" s="33" t="s">
        <v>202</v>
      </c>
      <c r="Y42" s="194" t="s">
        <v>663</v>
      </c>
      <c r="Z42" s="194" t="s">
        <v>663</v>
      </c>
      <c r="AA42" s="194" t="s">
        <v>592</v>
      </c>
      <c r="AB42" s="194" t="s">
        <v>664</v>
      </c>
      <c r="AC42" s="194" t="s">
        <v>663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676</v>
      </c>
      <c r="K56" s="54" t="s">
        <v>582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676</v>
      </c>
      <c r="S56" s="54" t="s">
        <v>637</v>
      </c>
      <c r="T56" s="54" t="s">
        <v>262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638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676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677</v>
      </c>
      <c r="Z63" s="96" t="s">
        <v>677</v>
      </c>
      <c r="AA63" s="97" t="s">
        <v>592</v>
      </c>
      <c r="AB63" s="96" t="s">
        <v>678</v>
      </c>
      <c r="AC63" s="96" t="s">
        <v>677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676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630</v>
      </c>
      <c r="Z70" s="96" t="s">
        <v>630</v>
      </c>
      <c r="AA70" s="54" t="s">
        <v>592</v>
      </c>
      <c r="AB70" s="54" t="s">
        <v>631</v>
      </c>
      <c r="AC70" s="54" t="s">
        <v>630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20" t="s">
        <v>925</v>
      </c>
      <c r="B72" s="151" t="s">
        <v>13</v>
      </c>
      <c r="C72" s="40" t="s">
        <v>14</v>
      </c>
      <c r="D72" s="40" t="s">
        <v>15</v>
      </c>
      <c r="E72" s="41" t="s">
        <v>16</v>
      </c>
      <c r="F72" s="289" t="s">
        <v>17</v>
      </c>
      <c r="G72" s="40" t="s">
        <v>70</v>
      </c>
      <c r="H72" s="40" t="s">
        <v>71</v>
      </c>
      <c r="I72" s="40" t="s">
        <v>72</v>
      </c>
      <c r="J72" s="40" t="s">
        <v>2</v>
      </c>
      <c r="K72" s="40" t="s">
        <v>73</v>
      </c>
      <c r="L72" s="42" t="s">
        <v>74</v>
      </c>
      <c r="M72" s="42" t="s">
        <v>75</v>
      </c>
      <c r="N72" s="40" t="s">
        <v>76</v>
      </c>
      <c r="O72" s="40" t="s">
        <v>77</v>
      </c>
      <c r="P72" s="40" t="s">
        <v>78</v>
      </c>
      <c r="Q72" s="40" t="s">
        <v>79</v>
      </c>
      <c r="R72" s="40" t="s">
        <v>80</v>
      </c>
      <c r="S72" s="40" t="s">
        <v>81</v>
      </c>
      <c r="T72" s="40" t="s">
        <v>82</v>
      </c>
      <c r="U72" s="40" t="s">
        <v>83</v>
      </c>
      <c r="V72" s="40" t="s">
        <v>84</v>
      </c>
      <c r="W72" s="40" t="s">
        <v>3</v>
      </c>
      <c r="X72" s="40" t="s">
        <v>85</v>
      </c>
      <c r="Y72" s="40" t="s">
        <v>86</v>
      </c>
      <c r="Z72" s="40" t="s">
        <v>87</v>
      </c>
      <c r="AA72" s="40" t="s">
        <v>88</v>
      </c>
      <c r="AB72" s="40" t="s">
        <v>89</v>
      </c>
      <c r="AC72" s="40" t="s">
        <v>90</v>
      </c>
      <c r="AD72" s="40" t="s">
        <v>91</v>
      </c>
      <c r="AE72" s="40" t="s">
        <v>92</v>
      </c>
      <c r="AF72" s="43" t="s">
        <v>93</v>
      </c>
    </row>
    <row r="73" spans="1:35" ht="19.899999999999999" customHeight="1" x14ac:dyDescent="0.25">
      <c r="A73" s="615"/>
      <c r="B73" s="152">
        <v>1</v>
      </c>
      <c r="C73" s="44" t="s">
        <v>47</v>
      </c>
      <c r="D73" s="45">
        <v>11</v>
      </c>
      <c r="E73" s="46" t="s">
        <v>48</v>
      </c>
      <c r="F73" s="290" t="s">
        <v>49</v>
      </c>
      <c r="G73" s="47" t="s">
        <v>50</v>
      </c>
      <c r="H73" s="47">
        <v>36</v>
      </c>
      <c r="I73" s="47" t="s">
        <v>94</v>
      </c>
      <c r="J73" s="47" t="s">
        <v>95</v>
      </c>
      <c r="K73" s="47" t="s">
        <v>96</v>
      </c>
      <c r="L73" s="48" t="s">
        <v>97</v>
      </c>
      <c r="M73" s="48" t="s">
        <v>98</v>
      </c>
      <c r="N73" s="47" t="s">
        <v>99</v>
      </c>
      <c r="O73" s="47">
        <v>53</v>
      </c>
      <c r="P73" s="47">
        <v>54</v>
      </c>
      <c r="Q73" s="47" t="s">
        <v>913</v>
      </c>
      <c r="R73" s="47" t="s">
        <v>100</v>
      </c>
      <c r="S73" s="47" t="s">
        <v>101</v>
      </c>
      <c r="T73" s="47" t="s">
        <v>57</v>
      </c>
      <c r="U73" s="47" t="s">
        <v>102</v>
      </c>
      <c r="V73" s="47" t="s">
        <v>103</v>
      </c>
      <c r="W73" s="47" t="s">
        <v>104</v>
      </c>
      <c r="X73" s="47" t="s">
        <v>105</v>
      </c>
      <c r="Y73" s="47" t="s">
        <v>106</v>
      </c>
      <c r="Z73" s="47" t="s">
        <v>107</v>
      </c>
      <c r="AA73" s="47" t="s">
        <v>108</v>
      </c>
      <c r="AB73" s="45" t="s">
        <v>109</v>
      </c>
      <c r="AC73" s="47" t="s">
        <v>110</v>
      </c>
      <c r="AD73" s="45">
        <v>120</v>
      </c>
      <c r="AE73" s="45">
        <v>121</v>
      </c>
      <c r="AF73" s="49" t="s">
        <v>111</v>
      </c>
    </row>
    <row r="74" spans="1:35" outlineLevel="1" x14ac:dyDescent="0.25">
      <c r="A74" s="615"/>
      <c r="B74" s="152">
        <v>1</v>
      </c>
      <c r="C74" s="45">
        <v>9</v>
      </c>
      <c r="D74" s="45">
        <v>1</v>
      </c>
      <c r="E74" s="50">
        <v>13</v>
      </c>
      <c r="F74" s="291">
        <v>2</v>
      </c>
      <c r="G74" s="45">
        <v>9</v>
      </c>
      <c r="H74" s="45">
        <v>1</v>
      </c>
      <c r="I74" s="45">
        <v>2</v>
      </c>
      <c r="J74" s="45">
        <v>2</v>
      </c>
      <c r="K74" s="45">
        <v>3</v>
      </c>
      <c r="L74" s="51">
        <v>6</v>
      </c>
      <c r="M74" s="51">
        <v>1</v>
      </c>
      <c r="N74" s="45">
        <v>2</v>
      </c>
      <c r="O74" s="45">
        <v>1</v>
      </c>
      <c r="P74" s="45">
        <v>1</v>
      </c>
      <c r="Q74" s="45">
        <v>9</v>
      </c>
      <c r="R74" s="45">
        <v>2</v>
      </c>
      <c r="S74" s="45">
        <v>2</v>
      </c>
      <c r="T74" s="45">
        <v>6</v>
      </c>
      <c r="U74" s="45">
        <v>5</v>
      </c>
      <c r="V74" s="45">
        <v>2</v>
      </c>
      <c r="W74" s="45">
        <v>6</v>
      </c>
      <c r="X74" s="45">
        <v>2</v>
      </c>
      <c r="Y74" s="45">
        <v>7</v>
      </c>
      <c r="Z74" s="45">
        <v>7</v>
      </c>
      <c r="AA74" s="45">
        <v>3</v>
      </c>
      <c r="AB74" s="45">
        <v>7</v>
      </c>
      <c r="AC74" s="45">
        <v>7</v>
      </c>
      <c r="AD74" s="45">
        <v>1</v>
      </c>
      <c r="AE74" s="45">
        <v>1</v>
      </c>
      <c r="AF74" s="49">
        <v>7</v>
      </c>
      <c r="AG74" s="2"/>
    </row>
    <row r="75" spans="1:35" outlineLevel="1" x14ac:dyDescent="0.25">
      <c r="A75" s="615"/>
      <c r="B75" s="152" t="s">
        <v>1</v>
      </c>
      <c r="C75" s="45" t="s">
        <v>1</v>
      </c>
      <c r="D75" s="45" t="s">
        <v>69</v>
      </c>
      <c r="E75" s="50" t="s">
        <v>69</v>
      </c>
      <c r="F75" s="291" t="s">
        <v>1</v>
      </c>
      <c r="G75" s="45" t="s">
        <v>1</v>
      </c>
      <c r="H75" s="45" t="s">
        <v>69</v>
      </c>
      <c r="I75" s="45" t="s">
        <v>1</v>
      </c>
      <c r="J75" s="45" t="s">
        <v>1</v>
      </c>
      <c r="K75" s="45" t="s">
        <v>1</v>
      </c>
      <c r="L75" s="52" t="s">
        <v>1</v>
      </c>
      <c r="M75" s="52" t="s">
        <v>1</v>
      </c>
      <c r="N75" s="45" t="s">
        <v>69</v>
      </c>
      <c r="O75" s="45" t="s">
        <v>69</v>
      </c>
      <c r="P75" s="53" t="s">
        <v>69</v>
      </c>
      <c r="Q75" s="45" t="s">
        <v>1</v>
      </c>
      <c r="R75" s="45" t="s">
        <v>1</v>
      </c>
      <c r="S75" s="45" t="s">
        <v>1</v>
      </c>
      <c r="T75" s="45" t="s">
        <v>1</v>
      </c>
      <c r="U75" s="45" t="s">
        <v>69</v>
      </c>
      <c r="V75" s="45" t="s">
        <v>1</v>
      </c>
      <c r="W75" s="45" t="s">
        <v>1</v>
      </c>
      <c r="X75" s="45" t="s">
        <v>1</v>
      </c>
      <c r="Y75" s="45" t="s">
        <v>1</v>
      </c>
      <c r="Z75" s="45" t="s">
        <v>1</v>
      </c>
      <c r="AA75" s="45" t="s">
        <v>1</v>
      </c>
      <c r="AB75" s="45" t="s">
        <v>1</v>
      </c>
      <c r="AC75" s="45" t="s">
        <v>1</v>
      </c>
      <c r="AD75" s="45" t="s">
        <v>69</v>
      </c>
      <c r="AE75" s="45" t="s">
        <v>1</v>
      </c>
      <c r="AF75" s="49" t="s">
        <v>1</v>
      </c>
    </row>
    <row r="76" spans="1:35" outlineLevel="1" x14ac:dyDescent="0.25">
      <c r="A76" s="615"/>
      <c r="B76" s="152" t="s">
        <v>0</v>
      </c>
      <c r="C76" s="45" t="s">
        <v>0</v>
      </c>
      <c r="D76" s="45" t="s">
        <v>4</v>
      </c>
      <c r="E76" s="50" t="s">
        <v>0</v>
      </c>
      <c r="F76" s="291" t="s">
        <v>0</v>
      </c>
      <c r="G76" s="45" t="s">
        <v>0</v>
      </c>
      <c r="H76" s="45" t="s">
        <v>4</v>
      </c>
      <c r="I76" s="45" t="s">
        <v>4</v>
      </c>
      <c r="J76" s="45" t="s">
        <v>4</v>
      </c>
      <c r="K76" s="45" t="s">
        <v>4</v>
      </c>
      <c r="L76" s="52" t="s">
        <v>4</v>
      </c>
      <c r="M76" s="52" t="s">
        <v>0</v>
      </c>
      <c r="N76" s="45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5" t="s">
        <v>112</v>
      </c>
      <c r="T76" s="45" t="s">
        <v>0</v>
      </c>
      <c r="U76" s="45" t="s">
        <v>0</v>
      </c>
      <c r="V76" s="45" t="s">
        <v>0</v>
      </c>
      <c r="W76" s="45" t="s">
        <v>0</v>
      </c>
      <c r="X76" s="45" t="s">
        <v>0</v>
      </c>
      <c r="Y76" s="45" t="s">
        <v>0</v>
      </c>
      <c r="Z76" s="45" t="s">
        <v>0</v>
      </c>
      <c r="AA76" s="45" t="s">
        <v>0</v>
      </c>
      <c r="AB76" s="45" t="s">
        <v>0</v>
      </c>
      <c r="AC76" s="45" t="s">
        <v>0</v>
      </c>
      <c r="AD76" s="45" t="s">
        <v>4</v>
      </c>
      <c r="AE76" s="45" t="s">
        <v>4</v>
      </c>
      <c r="AF76" s="49" t="s">
        <v>4</v>
      </c>
    </row>
    <row r="77" spans="1:35" ht="30" customHeight="1" thickBot="1" x14ac:dyDescent="0.3">
      <c r="A77" s="616"/>
      <c r="B77" s="149" t="s">
        <v>10</v>
      </c>
      <c r="C77" s="54" t="s">
        <v>544</v>
      </c>
      <c r="D77" s="55" t="s">
        <v>8</v>
      </c>
      <c r="E77" s="54" t="s">
        <v>198</v>
      </c>
      <c r="F77" s="288">
        <v>77</v>
      </c>
      <c r="G77" s="54">
        <v>250000001</v>
      </c>
      <c r="H77" s="193" t="s">
        <v>8</v>
      </c>
      <c r="I77" s="193" t="s">
        <v>5</v>
      </c>
      <c r="J77" s="55" t="s">
        <v>5</v>
      </c>
      <c r="K77" s="55" t="s">
        <v>6</v>
      </c>
      <c r="L77" s="55" t="s">
        <v>208</v>
      </c>
      <c r="M77" s="193" t="s">
        <v>397</v>
      </c>
      <c r="N77" s="55" t="s">
        <v>210</v>
      </c>
      <c r="O77" s="55" t="s">
        <v>8</v>
      </c>
      <c r="P77" s="55" t="s">
        <v>8</v>
      </c>
      <c r="Q77" s="54" t="s">
        <v>544</v>
      </c>
      <c r="R77" s="55" t="s">
        <v>5</v>
      </c>
      <c r="S77" s="55" t="s">
        <v>5</v>
      </c>
      <c r="T77" s="33" t="s">
        <v>676</v>
      </c>
      <c r="U77" s="228" t="s">
        <v>247</v>
      </c>
      <c r="V77" s="55" t="s">
        <v>202</v>
      </c>
      <c r="W77" s="54" t="s">
        <v>590</v>
      </c>
      <c r="X77" s="33" t="s">
        <v>202</v>
      </c>
      <c r="Y77" s="54" t="s">
        <v>641</v>
      </c>
      <c r="Z77" s="96" t="s">
        <v>641</v>
      </c>
      <c r="AA77" s="54" t="s">
        <v>592</v>
      </c>
      <c r="AB77" s="54" t="s">
        <v>642</v>
      </c>
      <c r="AC77" s="54" t="s">
        <v>641</v>
      </c>
      <c r="AD77" s="55" t="s">
        <v>8</v>
      </c>
      <c r="AE77" s="193" t="s">
        <v>200</v>
      </c>
      <c r="AF77" s="82" t="s">
        <v>212</v>
      </c>
      <c r="AG77" s="188" t="s">
        <v>589</v>
      </c>
      <c r="AH77" s="76"/>
      <c r="AI77" s="76"/>
    </row>
    <row r="78" spans="1:35" s="75" customFormat="1" ht="15.75" thickBot="1" x14ac:dyDescent="0.3"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 t="s">
        <v>586</v>
      </c>
      <c r="U78" s="75" t="s">
        <v>586</v>
      </c>
      <c r="V78" s="75" t="s">
        <v>586</v>
      </c>
      <c r="W78" s="75" t="s">
        <v>586</v>
      </c>
      <c r="X78" s="75" t="s">
        <v>586</v>
      </c>
      <c r="Y78" s="75" t="s">
        <v>586</v>
      </c>
      <c r="Z78" s="75" t="s">
        <v>586</v>
      </c>
      <c r="AA78" s="75" t="s">
        <v>586</v>
      </c>
      <c r="AB78" s="75" t="s">
        <v>586</v>
      </c>
      <c r="AC78" s="75" t="s">
        <v>586</v>
      </c>
      <c r="AD78" s="75" t="s">
        <v>586</v>
      </c>
      <c r="AE78" s="75" t="s">
        <v>586</v>
      </c>
      <c r="AF78" s="75" t="s">
        <v>586</v>
      </c>
    </row>
    <row r="79" spans="1:35" ht="100.15" customHeight="1" x14ac:dyDescent="0.25">
      <c r="A79" s="620" t="s">
        <v>916</v>
      </c>
      <c r="B79" s="151" t="s">
        <v>13</v>
      </c>
      <c r="C79" s="40" t="s">
        <v>14</v>
      </c>
      <c r="D79" s="40" t="s">
        <v>15</v>
      </c>
      <c r="E79" s="41" t="s">
        <v>16</v>
      </c>
      <c r="F79" s="289" t="s">
        <v>17</v>
      </c>
      <c r="G79" s="40" t="s">
        <v>70</v>
      </c>
      <c r="H79" s="40" t="s">
        <v>71</v>
      </c>
      <c r="I79" s="40" t="s">
        <v>72</v>
      </c>
      <c r="J79" s="40" t="s">
        <v>2</v>
      </c>
      <c r="K79" s="40" t="s">
        <v>73</v>
      </c>
      <c r="L79" s="42" t="s">
        <v>74</v>
      </c>
      <c r="M79" s="42" t="s">
        <v>75</v>
      </c>
      <c r="N79" s="40" t="s">
        <v>76</v>
      </c>
      <c r="O79" s="40" t="s">
        <v>77</v>
      </c>
      <c r="P79" s="40" t="s">
        <v>78</v>
      </c>
      <c r="Q79" s="40" t="s">
        <v>79</v>
      </c>
      <c r="R79" s="40" t="s">
        <v>80</v>
      </c>
      <c r="S79" s="40" t="s">
        <v>81</v>
      </c>
      <c r="T79" s="40" t="s">
        <v>82</v>
      </c>
      <c r="U79" s="40" t="s">
        <v>83</v>
      </c>
      <c r="V79" s="40" t="s">
        <v>84</v>
      </c>
      <c r="W79" s="40" t="s">
        <v>3</v>
      </c>
      <c r="X79" s="40" t="s">
        <v>85</v>
      </c>
      <c r="Y79" s="40" t="s">
        <v>86</v>
      </c>
      <c r="Z79" s="40" t="s">
        <v>87</v>
      </c>
      <c r="AA79" s="40" t="s">
        <v>88</v>
      </c>
      <c r="AB79" s="40" t="s">
        <v>89</v>
      </c>
      <c r="AC79" s="40" t="s">
        <v>90</v>
      </c>
      <c r="AD79" s="40" t="s">
        <v>91</v>
      </c>
      <c r="AE79" s="40" t="s">
        <v>92</v>
      </c>
      <c r="AF79" s="43" t="s">
        <v>93</v>
      </c>
    </row>
    <row r="80" spans="1:35" ht="19.899999999999999" customHeight="1" x14ac:dyDescent="0.25">
      <c r="A80" s="615"/>
      <c r="B80" s="152">
        <v>1</v>
      </c>
      <c r="C80" s="44" t="s">
        <v>47</v>
      </c>
      <c r="D80" s="45">
        <v>11</v>
      </c>
      <c r="E80" s="46" t="s">
        <v>48</v>
      </c>
      <c r="F80" s="290" t="s">
        <v>49</v>
      </c>
      <c r="G80" s="47" t="s">
        <v>50</v>
      </c>
      <c r="H80" s="47">
        <v>36</v>
      </c>
      <c r="I80" s="47" t="s">
        <v>94</v>
      </c>
      <c r="J80" s="47" t="s">
        <v>95</v>
      </c>
      <c r="K80" s="47" t="s">
        <v>96</v>
      </c>
      <c r="L80" s="48" t="s">
        <v>97</v>
      </c>
      <c r="M80" s="48" t="s">
        <v>98</v>
      </c>
      <c r="N80" s="47" t="s">
        <v>99</v>
      </c>
      <c r="O80" s="47">
        <v>53</v>
      </c>
      <c r="P80" s="47">
        <v>54</v>
      </c>
      <c r="Q80" s="47" t="s">
        <v>913</v>
      </c>
      <c r="R80" s="47" t="s">
        <v>100</v>
      </c>
      <c r="S80" s="47" t="s">
        <v>101</v>
      </c>
      <c r="T80" s="47" t="s">
        <v>57</v>
      </c>
      <c r="U80" s="47" t="s">
        <v>102</v>
      </c>
      <c r="V80" s="47" t="s">
        <v>103</v>
      </c>
      <c r="W80" s="47" t="s">
        <v>104</v>
      </c>
      <c r="X80" s="47" t="s">
        <v>105</v>
      </c>
      <c r="Y80" s="47" t="s">
        <v>106</v>
      </c>
      <c r="Z80" s="47" t="s">
        <v>107</v>
      </c>
      <c r="AA80" s="47" t="s">
        <v>108</v>
      </c>
      <c r="AB80" s="45" t="s">
        <v>109</v>
      </c>
      <c r="AC80" s="47" t="s">
        <v>110</v>
      </c>
      <c r="AD80" s="45">
        <v>120</v>
      </c>
      <c r="AE80" s="45">
        <v>121</v>
      </c>
      <c r="AF80" s="49" t="s">
        <v>111</v>
      </c>
    </row>
    <row r="81" spans="1:35" outlineLevel="1" x14ac:dyDescent="0.25">
      <c r="A81" s="615"/>
      <c r="B81" s="152">
        <v>1</v>
      </c>
      <c r="C81" s="45">
        <v>9</v>
      </c>
      <c r="D81" s="45">
        <v>1</v>
      </c>
      <c r="E81" s="50">
        <v>13</v>
      </c>
      <c r="F81" s="291">
        <v>2</v>
      </c>
      <c r="G81" s="45">
        <v>9</v>
      </c>
      <c r="H81" s="45">
        <v>1</v>
      </c>
      <c r="I81" s="45">
        <v>2</v>
      </c>
      <c r="J81" s="45">
        <v>2</v>
      </c>
      <c r="K81" s="45">
        <v>3</v>
      </c>
      <c r="L81" s="51">
        <v>6</v>
      </c>
      <c r="M81" s="51">
        <v>1</v>
      </c>
      <c r="N81" s="45">
        <v>2</v>
      </c>
      <c r="O81" s="45">
        <v>1</v>
      </c>
      <c r="P81" s="45">
        <v>1</v>
      </c>
      <c r="Q81" s="45">
        <v>9</v>
      </c>
      <c r="R81" s="45">
        <v>2</v>
      </c>
      <c r="S81" s="45">
        <v>2</v>
      </c>
      <c r="T81" s="45">
        <v>6</v>
      </c>
      <c r="U81" s="45">
        <v>5</v>
      </c>
      <c r="V81" s="45">
        <v>2</v>
      </c>
      <c r="W81" s="45">
        <v>6</v>
      </c>
      <c r="X81" s="45">
        <v>2</v>
      </c>
      <c r="Y81" s="45">
        <v>7</v>
      </c>
      <c r="Z81" s="45">
        <v>7</v>
      </c>
      <c r="AA81" s="45">
        <v>3</v>
      </c>
      <c r="AB81" s="45">
        <v>7</v>
      </c>
      <c r="AC81" s="45">
        <v>7</v>
      </c>
      <c r="AD81" s="45">
        <v>1</v>
      </c>
      <c r="AE81" s="45">
        <v>1</v>
      </c>
      <c r="AF81" s="49">
        <v>7</v>
      </c>
      <c r="AG81" s="2"/>
    </row>
    <row r="82" spans="1:35" outlineLevel="1" x14ac:dyDescent="0.25">
      <c r="A82" s="615"/>
      <c r="B82" s="152" t="s">
        <v>1</v>
      </c>
      <c r="C82" s="45" t="s">
        <v>1</v>
      </c>
      <c r="D82" s="45" t="s">
        <v>69</v>
      </c>
      <c r="E82" s="50" t="s">
        <v>69</v>
      </c>
      <c r="F82" s="291" t="s">
        <v>1</v>
      </c>
      <c r="G82" s="45" t="s">
        <v>1</v>
      </c>
      <c r="H82" s="45" t="s">
        <v>69</v>
      </c>
      <c r="I82" s="45" t="s">
        <v>1</v>
      </c>
      <c r="J82" s="45" t="s">
        <v>1</v>
      </c>
      <c r="K82" s="45" t="s">
        <v>1</v>
      </c>
      <c r="L82" s="52" t="s">
        <v>1</v>
      </c>
      <c r="M82" s="52" t="s">
        <v>1</v>
      </c>
      <c r="N82" s="45" t="s">
        <v>69</v>
      </c>
      <c r="O82" s="45" t="s">
        <v>69</v>
      </c>
      <c r="P82" s="53" t="s">
        <v>69</v>
      </c>
      <c r="Q82" s="45" t="s">
        <v>1</v>
      </c>
      <c r="R82" s="45" t="s">
        <v>1</v>
      </c>
      <c r="S82" s="45" t="s">
        <v>1</v>
      </c>
      <c r="T82" s="45" t="s">
        <v>1</v>
      </c>
      <c r="U82" s="45" t="s">
        <v>69</v>
      </c>
      <c r="V82" s="45" t="s">
        <v>1</v>
      </c>
      <c r="W82" s="45" t="s">
        <v>1</v>
      </c>
      <c r="X82" s="45" t="s">
        <v>1</v>
      </c>
      <c r="Y82" s="45" t="s">
        <v>1</v>
      </c>
      <c r="Z82" s="45" t="s">
        <v>1</v>
      </c>
      <c r="AA82" s="45" t="s">
        <v>1</v>
      </c>
      <c r="AB82" s="45" t="s">
        <v>1</v>
      </c>
      <c r="AC82" s="45" t="s">
        <v>1</v>
      </c>
      <c r="AD82" s="45" t="s">
        <v>69</v>
      </c>
      <c r="AE82" s="45" t="s">
        <v>1</v>
      </c>
      <c r="AF82" s="49" t="s">
        <v>1</v>
      </c>
    </row>
    <row r="83" spans="1:35" outlineLevel="1" x14ac:dyDescent="0.25">
      <c r="A83" s="615"/>
      <c r="B83" s="152" t="s">
        <v>0</v>
      </c>
      <c r="C83" s="45" t="s">
        <v>0</v>
      </c>
      <c r="D83" s="45" t="s">
        <v>4</v>
      </c>
      <c r="E83" s="50" t="s">
        <v>0</v>
      </c>
      <c r="F83" s="291" t="s">
        <v>0</v>
      </c>
      <c r="G83" s="45" t="s">
        <v>0</v>
      </c>
      <c r="H83" s="45" t="s">
        <v>4</v>
      </c>
      <c r="I83" s="45" t="s">
        <v>4</v>
      </c>
      <c r="J83" s="45" t="s">
        <v>4</v>
      </c>
      <c r="K83" s="45" t="s">
        <v>4</v>
      </c>
      <c r="L83" s="52" t="s">
        <v>4</v>
      </c>
      <c r="M83" s="52" t="s">
        <v>0</v>
      </c>
      <c r="N83" s="45" t="s">
        <v>4</v>
      </c>
      <c r="O83" s="45" t="s">
        <v>4</v>
      </c>
      <c r="P83" s="45" t="s">
        <v>4</v>
      </c>
      <c r="Q83" s="45" t="s">
        <v>4</v>
      </c>
      <c r="R83" s="45" t="s">
        <v>4</v>
      </c>
      <c r="S83" s="45" t="s">
        <v>112</v>
      </c>
      <c r="T83" s="45" t="s">
        <v>0</v>
      </c>
      <c r="U83" s="45" t="s">
        <v>0</v>
      </c>
      <c r="V83" s="45" t="s">
        <v>0</v>
      </c>
      <c r="W83" s="45" t="s">
        <v>0</v>
      </c>
      <c r="X83" s="45" t="s">
        <v>0</v>
      </c>
      <c r="Y83" s="45" t="s">
        <v>0</v>
      </c>
      <c r="Z83" s="45" t="s">
        <v>0</v>
      </c>
      <c r="AA83" s="45" t="s">
        <v>0</v>
      </c>
      <c r="AB83" s="45" t="s">
        <v>0</v>
      </c>
      <c r="AC83" s="45" t="s">
        <v>0</v>
      </c>
      <c r="AD83" s="45" t="s">
        <v>4</v>
      </c>
      <c r="AE83" s="45" t="s">
        <v>4</v>
      </c>
      <c r="AF83" s="49" t="s">
        <v>4</v>
      </c>
    </row>
    <row r="84" spans="1:35" ht="30" customHeight="1" thickBot="1" x14ac:dyDescent="0.3">
      <c r="A84" s="616"/>
      <c r="B84" s="149" t="s">
        <v>10</v>
      </c>
      <c r="C84" s="54" t="s">
        <v>544</v>
      </c>
      <c r="D84" s="55" t="s">
        <v>8</v>
      </c>
      <c r="E84" s="54" t="s">
        <v>198</v>
      </c>
      <c r="F84" s="288">
        <v>77</v>
      </c>
      <c r="G84" s="54">
        <v>250000001</v>
      </c>
      <c r="H84" s="193" t="s">
        <v>8</v>
      </c>
      <c r="I84" s="193" t="s">
        <v>5</v>
      </c>
      <c r="J84" s="55" t="s">
        <v>5</v>
      </c>
      <c r="K84" s="55" t="s">
        <v>6</v>
      </c>
      <c r="L84" s="55" t="s">
        <v>208</v>
      </c>
      <c r="M84" s="193" t="s">
        <v>397</v>
      </c>
      <c r="N84" s="55" t="s">
        <v>210</v>
      </c>
      <c r="O84" s="55" t="s">
        <v>8</v>
      </c>
      <c r="P84" s="55" t="s">
        <v>8</v>
      </c>
      <c r="Q84" s="54" t="s">
        <v>544</v>
      </c>
      <c r="R84" s="55" t="s">
        <v>5</v>
      </c>
      <c r="S84" s="55" t="s">
        <v>5</v>
      </c>
      <c r="T84" s="33" t="s">
        <v>676</v>
      </c>
      <c r="U84" s="228" t="s">
        <v>279</v>
      </c>
      <c r="V84" s="33" t="s">
        <v>202</v>
      </c>
      <c r="W84" s="54" t="s">
        <v>590</v>
      </c>
      <c r="X84" s="33" t="s">
        <v>202</v>
      </c>
      <c r="Y84" s="54" t="s">
        <v>594</v>
      </c>
      <c r="Z84" s="96" t="s">
        <v>594</v>
      </c>
      <c r="AA84" s="54" t="s">
        <v>592</v>
      </c>
      <c r="AB84" s="54" t="s">
        <v>667</v>
      </c>
      <c r="AC84" s="54" t="s">
        <v>594</v>
      </c>
      <c r="AD84" s="55" t="s">
        <v>8</v>
      </c>
      <c r="AE84" s="193" t="s">
        <v>200</v>
      </c>
      <c r="AF84" s="82" t="s">
        <v>212</v>
      </c>
      <c r="AG84" s="188" t="s">
        <v>589</v>
      </c>
      <c r="AH84" s="76"/>
      <c r="AI84" s="76"/>
    </row>
    <row r="85" spans="1:35" s="75" customFormat="1" ht="15.75" thickBot="1" x14ac:dyDescent="0.3">
      <c r="B85" s="150" t="s">
        <v>586</v>
      </c>
      <c r="C85" s="75" t="s">
        <v>586</v>
      </c>
      <c r="D85" s="75" t="s">
        <v>586</v>
      </c>
      <c r="E85" s="75" t="s">
        <v>586</v>
      </c>
      <c r="F85" s="276" t="s">
        <v>586</v>
      </c>
      <c r="G85" s="75" t="s">
        <v>586</v>
      </c>
      <c r="H85" s="75" t="s">
        <v>586</v>
      </c>
      <c r="I85" s="75" t="s">
        <v>586</v>
      </c>
      <c r="J85" s="75" t="s">
        <v>586</v>
      </c>
      <c r="K85" s="75" t="s">
        <v>586</v>
      </c>
      <c r="L85" s="75" t="s">
        <v>586</v>
      </c>
      <c r="M85" s="75" t="s">
        <v>586</v>
      </c>
      <c r="N85" s="75" t="s">
        <v>586</v>
      </c>
      <c r="O85" s="75" t="s">
        <v>586</v>
      </c>
      <c r="P85" s="75" t="s">
        <v>586</v>
      </c>
      <c r="Q85" s="75" t="s">
        <v>586</v>
      </c>
      <c r="R85" s="75" t="s">
        <v>586</v>
      </c>
      <c r="S85" s="75" t="s">
        <v>586</v>
      </c>
      <c r="T85" s="75" t="s">
        <v>586</v>
      </c>
      <c r="U85" s="75" t="s">
        <v>586</v>
      </c>
      <c r="V85" s="75" t="s">
        <v>586</v>
      </c>
      <c r="W85" s="75" t="s">
        <v>586</v>
      </c>
      <c r="X85" s="75" t="s">
        <v>586</v>
      </c>
      <c r="Y85" s="75" t="s">
        <v>586</v>
      </c>
      <c r="Z85" s="75" t="s">
        <v>586</v>
      </c>
      <c r="AA85" s="75" t="s">
        <v>586</v>
      </c>
      <c r="AB85" s="75" t="s">
        <v>586</v>
      </c>
      <c r="AC85" s="75" t="s">
        <v>586</v>
      </c>
      <c r="AD85" s="75" t="s">
        <v>586</v>
      </c>
      <c r="AE85" s="75" t="s">
        <v>586</v>
      </c>
      <c r="AF85" s="75" t="s">
        <v>586</v>
      </c>
    </row>
    <row r="86" spans="1:35" ht="100.15" customHeight="1" x14ac:dyDescent="0.25">
      <c r="A86" s="620" t="s">
        <v>918</v>
      </c>
      <c r="B86" s="151" t="s">
        <v>13</v>
      </c>
      <c r="C86" s="40" t="s">
        <v>14</v>
      </c>
      <c r="D86" s="40" t="s">
        <v>15</v>
      </c>
      <c r="E86" s="41" t="s">
        <v>16</v>
      </c>
      <c r="F86" s="289" t="s">
        <v>17</v>
      </c>
      <c r="G86" s="40" t="s">
        <v>70</v>
      </c>
      <c r="H86" s="40" t="s">
        <v>71</v>
      </c>
      <c r="I86" s="40" t="s">
        <v>72</v>
      </c>
      <c r="J86" s="40" t="s">
        <v>2</v>
      </c>
      <c r="K86" s="40" t="s">
        <v>73</v>
      </c>
      <c r="L86" s="42" t="s">
        <v>74</v>
      </c>
      <c r="M86" s="42" t="s">
        <v>75</v>
      </c>
      <c r="N86" s="40" t="s">
        <v>76</v>
      </c>
      <c r="O86" s="40" t="s">
        <v>77</v>
      </c>
      <c r="P86" s="40" t="s">
        <v>78</v>
      </c>
      <c r="Q86" s="40" t="s">
        <v>79</v>
      </c>
      <c r="R86" s="40" t="s">
        <v>80</v>
      </c>
      <c r="S86" s="40" t="s">
        <v>81</v>
      </c>
      <c r="T86" s="40" t="s">
        <v>82</v>
      </c>
      <c r="U86" s="40" t="s">
        <v>83</v>
      </c>
      <c r="V86" s="40" t="s">
        <v>84</v>
      </c>
      <c r="W86" s="40" t="s">
        <v>3</v>
      </c>
      <c r="X86" s="40" t="s">
        <v>85</v>
      </c>
      <c r="Y86" s="40" t="s">
        <v>86</v>
      </c>
      <c r="Z86" s="40" t="s">
        <v>87</v>
      </c>
      <c r="AA86" s="40" t="s">
        <v>88</v>
      </c>
      <c r="AB86" s="40" t="s">
        <v>89</v>
      </c>
      <c r="AC86" s="40" t="s">
        <v>90</v>
      </c>
      <c r="AD86" s="40" t="s">
        <v>91</v>
      </c>
      <c r="AE86" s="40" t="s">
        <v>92</v>
      </c>
      <c r="AF86" s="43" t="s">
        <v>93</v>
      </c>
      <c r="AG86" s="2"/>
    </row>
    <row r="87" spans="1:35" ht="19.899999999999999" customHeight="1" x14ac:dyDescent="0.25">
      <c r="A87" s="615"/>
      <c r="B87" s="152">
        <v>1</v>
      </c>
      <c r="C87" s="44" t="s">
        <v>47</v>
      </c>
      <c r="D87" s="45">
        <v>11</v>
      </c>
      <c r="E87" s="46" t="s">
        <v>48</v>
      </c>
      <c r="F87" s="290" t="s">
        <v>49</v>
      </c>
      <c r="G87" s="47" t="s">
        <v>50</v>
      </c>
      <c r="H87" s="47">
        <v>36</v>
      </c>
      <c r="I87" s="47" t="s">
        <v>94</v>
      </c>
      <c r="J87" s="47" t="s">
        <v>95</v>
      </c>
      <c r="K87" s="47" t="s">
        <v>96</v>
      </c>
      <c r="L87" s="48" t="s">
        <v>97</v>
      </c>
      <c r="M87" s="48" t="s">
        <v>98</v>
      </c>
      <c r="N87" s="47" t="s">
        <v>99</v>
      </c>
      <c r="O87" s="47">
        <v>53</v>
      </c>
      <c r="P87" s="47">
        <v>54</v>
      </c>
      <c r="Q87" s="47" t="s">
        <v>913</v>
      </c>
      <c r="R87" s="47" t="s">
        <v>100</v>
      </c>
      <c r="S87" s="47" t="s">
        <v>101</v>
      </c>
      <c r="T87" s="47" t="s">
        <v>57</v>
      </c>
      <c r="U87" s="47" t="s">
        <v>102</v>
      </c>
      <c r="V87" s="47" t="s">
        <v>103</v>
      </c>
      <c r="W87" s="47" t="s">
        <v>104</v>
      </c>
      <c r="X87" s="47" t="s">
        <v>105</v>
      </c>
      <c r="Y87" s="47" t="s">
        <v>106</v>
      </c>
      <c r="Z87" s="47" t="s">
        <v>107</v>
      </c>
      <c r="AA87" s="47" t="s">
        <v>108</v>
      </c>
      <c r="AB87" s="45" t="s">
        <v>109</v>
      </c>
      <c r="AC87" s="47" t="s">
        <v>110</v>
      </c>
      <c r="AD87" s="45">
        <v>120</v>
      </c>
      <c r="AE87" s="45">
        <v>121</v>
      </c>
      <c r="AF87" s="49" t="s">
        <v>111</v>
      </c>
    </row>
    <row r="88" spans="1:35" outlineLevel="1" x14ac:dyDescent="0.25">
      <c r="A88" s="615"/>
      <c r="B88" s="152">
        <v>1</v>
      </c>
      <c r="C88" s="45">
        <v>9</v>
      </c>
      <c r="D88" s="45">
        <v>1</v>
      </c>
      <c r="E88" s="50">
        <v>13</v>
      </c>
      <c r="F88" s="291">
        <v>2</v>
      </c>
      <c r="G88" s="45">
        <v>9</v>
      </c>
      <c r="H88" s="45">
        <v>1</v>
      </c>
      <c r="I88" s="45">
        <v>2</v>
      </c>
      <c r="J88" s="45">
        <v>2</v>
      </c>
      <c r="K88" s="45">
        <v>3</v>
      </c>
      <c r="L88" s="51">
        <v>6</v>
      </c>
      <c r="M88" s="51">
        <v>1</v>
      </c>
      <c r="N88" s="45">
        <v>2</v>
      </c>
      <c r="O88" s="45">
        <v>1</v>
      </c>
      <c r="P88" s="45">
        <v>1</v>
      </c>
      <c r="Q88" s="45">
        <v>9</v>
      </c>
      <c r="R88" s="45">
        <v>2</v>
      </c>
      <c r="S88" s="45">
        <v>2</v>
      </c>
      <c r="T88" s="45">
        <v>6</v>
      </c>
      <c r="U88" s="45">
        <v>5</v>
      </c>
      <c r="V88" s="45">
        <v>2</v>
      </c>
      <c r="W88" s="45">
        <v>6</v>
      </c>
      <c r="X88" s="45">
        <v>2</v>
      </c>
      <c r="Y88" s="45">
        <v>7</v>
      </c>
      <c r="Z88" s="45">
        <v>7</v>
      </c>
      <c r="AA88" s="45">
        <v>3</v>
      </c>
      <c r="AB88" s="45">
        <v>7</v>
      </c>
      <c r="AC88" s="45">
        <v>7</v>
      </c>
      <c r="AD88" s="45">
        <v>1</v>
      </c>
      <c r="AE88" s="45">
        <v>1</v>
      </c>
      <c r="AF88" s="49">
        <v>7</v>
      </c>
    </row>
    <row r="89" spans="1:35" outlineLevel="1" x14ac:dyDescent="0.25">
      <c r="A89" s="615"/>
      <c r="B89" s="152" t="s">
        <v>1</v>
      </c>
      <c r="C89" s="45" t="s">
        <v>1</v>
      </c>
      <c r="D89" s="45" t="s">
        <v>69</v>
      </c>
      <c r="E89" s="50" t="s">
        <v>69</v>
      </c>
      <c r="F89" s="291" t="s">
        <v>1</v>
      </c>
      <c r="G89" s="45" t="s">
        <v>1</v>
      </c>
      <c r="H89" s="45" t="s">
        <v>69</v>
      </c>
      <c r="I89" s="45" t="s">
        <v>1</v>
      </c>
      <c r="J89" s="45" t="s">
        <v>1</v>
      </c>
      <c r="K89" s="45" t="s">
        <v>1</v>
      </c>
      <c r="L89" s="52" t="s">
        <v>1</v>
      </c>
      <c r="M89" s="52" t="s">
        <v>1</v>
      </c>
      <c r="N89" s="45" t="s">
        <v>69</v>
      </c>
      <c r="O89" s="45" t="s">
        <v>69</v>
      </c>
      <c r="P89" s="53" t="s">
        <v>69</v>
      </c>
      <c r="Q89" s="45" t="s">
        <v>1</v>
      </c>
      <c r="R89" s="45" t="s">
        <v>1</v>
      </c>
      <c r="S89" s="45" t="s">
        <v>1</v>
      </c>
      <c r="T89" s="45" t="s">
        <v>1</v>
      </c>
      <c r="U89" s="45" t="s">
        <v>69</v>
      </c>
      <c r="V89" s="45" t="s">
        <v>1</v>
      </c>
      <c r="W89" s="45" t="s">
        <v>1</v>
      </c>
      <c r="X89" s="45" t="s">
        <v>1</v>
      </c>
      <c r="Y89" s="45" t="s">
        <v>1</v>
      </c>
      <c r="Z89" s="45" t="s">
        <v>1</v>
      </c>
      <c r="AA89" s="45" t="s">
        <v>1</v>
      </c>
      <c r="AB89" s="45" t="s">
        <v>1</v>
      </c>
      <c r="AC89" s="45" t="s">
        <v>1</v>
      </c>
      <c r="AD89" s="45" t="s">
        <v>69</v>
      </c>
      <c r="AE89" s="45" t="s">
        <v>1</v>
      </c>
      <c r="AF89" s="49" t="s">
        <v>1</v>
      </c>
    </row>
    <row r="90" spans="1:35" outlineLevel="1" x14ac:dyDescent="0.25">
      <c r="A90" s="615"/>
      <c r="B90" s="152" t="s">
        <v>0</v>
      </c>
      <c r="C90" s="45" t="s">
        <v>0</v>
      </c>
      <c r="D90" s="45" t="s">
        <v>4</v>
      </c>
      <c r="E90" s="50" t="s">
        <v>0</v>
      </c>
      <c r="F90" s="291" t="s">
        <v>0</v>
      </c>
      <c r="G90" s="45" t="s">
        <v>0</v>
      </c>
      <c r="H90" s="45" t="s">
        <v>4</v>
      </c>
      <c r="I90" s="45" t="s">
        <v>4</v>
      </c>
      <c r="J90" s="45" t="s">
        <v>4</v>
      </c>
      <c r="K90" s="45" t="s">
        <v>4</v>
      </c>
      <c r="L90" s="52" t="s">
        <v>4</v>
      </c>
      <c r="M90" s="52" t="s">
        <v>0</v>
      </c>
      <c r="N90" s="45" t="s">
        <v>4</v>
      </c>
      <c r="O90" s="45" t="s">
        <v>4</v>
      </c>
      <c r="P90" s="45" t="s">
        <v>4</v>
      </c>
      <c r="Q90" s="45" t="s">
        <v>4</v>
      </c>
      <c r="R90" s="45" t="s">
        <v>4</v>
      </c>
      <c r="S90" s="45" t="s">
        <v>112</v>
      </c>
      <c r="T90" s="45" t="s">
        <v>0</v>
      </c>
      <c r="U90" s="45" t="s">
        <v>0</v>
      </c>
      <c r="V90" s="45" t="s">
        <v>0</v>
      </c>
      <c r="W90" s="45" t="s">
        <v>0</v>
      </c>
      <c r="X90" s="45" t="s">
        <v>0</v>
      </c>
      <c r="Y90" s="45" t="s">
        <v>0</v>
      </c>
      <c r="Z90" s="45" t="s">
        <v>0</v>
      </c>
      <c r="AA90" s="45" t="s">
        <v>0</v>
      </c>
      <c r="AB90" s="45" t="s">
        <v>0</v>
      </c>
      <c r="AC90" s="45" t="s">
        <v>0</v>
      </c>
      <c r="AD90" s="45" t="s">
        <v>4</v>
      </c>
      <c r="AE90" s="45" t="s">
        <v>4</v>
      </c>
      <c r="AF90" s="49" t="s">
        <v>4</v>
      </c>
    </row>
    <row r="91" spans="1:35" ht="30" customHeight="1" thickBot="1" x14ac:dyDescent="0.3">
      <c r="A91" s="616"/>
      <c r="B91" s="149" t="s">
        <v>10</v>
      </c>
      <c r="C91" s="54" t="s">
        <v>544</v>
      </c>
      <c r="D91" s="55" t="s">
        <v>8</v>
      </c>
      <c r="E91" s="54" t="s">
        <v>198</v>
      </c>
      <c r="F91" s="288">
        <v>77</v>
      </c>
      <c r="G91" s="54">
        <v>250000001</v>
      </c>
      <c r="H91" s="193" t="s">
        <v>8</v>
      </c>
      <c r="I91" s="193" t="s">
        <v>5</v>
      </c>
      <c r="J91" s="55" t="s">
        <v>5</v>
      </c>
      <c r="K91" s="55" t="s">
        <v>6</v>
      </c>
      <c r="L91" s="55" t="s">
        <v>208</v>
      </c>
      <c r="M91" s="193" t="s">
        <v>397</v>
      </c>
      <c r="N91" s="55" t="s">
        <v>210</v>
      </c>
      <c r="O91" s="55" t="s">
        <v>8</v>
      </c>
      <c r="P91" s="55" t="s">
        <v>8</v>
      </c>
      <c r="Q91" s="54" t="s">
        <v>544</v>
      </c>
      <c r="R91" s="55" t="s">
        <v>5</v>
      </c>
      <c r="S91" s="55" t="s">
        <v>5</v>
      </c>
      <c r="T91" s="33" t="s">
        <v>676</v>
      </c>
      <c r="U91" s="228" t="s">
        <v>245</v>
      </c>
      <c r="V91" s="33" t="s">
        <v>202</v>
      </c>
      <c r="W91" s="54" t="s">
        <v>590</v>
      </c>
      <c r="X91" s="33" t="s">
        <v>202</v>
      </c>
      <c r="Y91" s="54" t="s">
        <v>595</v>
      </c>
      <c r="Z91" s="96" t="s">
        <v>595</v>
      </c>
      <c r="AA91" s="54" t="s">
        <v>6</v>
      </c>
      <c r="AB91" s="54" t="s">
        <v>212</v>
      </c>
      <c r="AC91" s="54" t="s">
        <v>212</v>
      </c>
      <c r="AD91" s="193" t="s">
        <v>498</v>
      </c>
      <c r="AE91" s="193" t="s">
        <v>200</v>
      </c>
      <c r="AF91" s="54" t="s">
        <v>212</v>
      </c>
      <c r="AG91" s="188" t="s">
        <v>589</v>
      </c>
      <c r="AH91" s="76"/>
      <c r="AI91" s="76"/>
    </row>
    <row r="92" spans="1:35" s="75" customFormat="1" ht="15.75" thickBot="1" x14ac:dyDescent="0.3">
      <c r="B92" s="150" t="s">
        <v>586</v>
      </c>
      <c r="C92" s="75" t="s">
        <v>586</v>
      </c>
      <c r="D92" s="75" t="s">
        <v>586</v>
      </c>
      <c r="E92" s="75" t="s">
        <v>586</v>
      </c>
      <c r="F92" s="276" t="s">
        <v>586</v>
      </c>
      <c r="G92" s="75" t="s">
        <v>586</v>
      </c>
      <c r="H92" s="75" t="s">
        <v>586</v>
      </c>
      <c r="I92" s="75" t="s">
        <v>586</v>
      </c>
      <c r="J92" s="75" t="s">
        <v>586</v>
      </c>
      <c r="K92" s="75" t="s">
        <v>586</v>
      </c>
      <c r="L92" s="75" t="s">
        <v>586</v>
      </c>
      <c r="M92" s="75" t="s">
        <v>586</v>
      </c>
      <c r="N92" s="75" t="s">
        <v>586</v>
      </c>
      <c r="O92" s="75" t="s">
        <v>586</v>
      </c>
      <c r="P92" s="75" t="s">
        <v>586</v>
      </c>
      <c r="Q92" s="75" t="s">
        <v>586</v>
      </c>
      <c r="R92" s="75" t="s">
        <v>586</v>
      </c>
      <c r="S92" s="75" t="s">
        <v>586</v>
      </c>
      <c r="T92" s="75" t="s">
        <v>586</v>
      </c>
      <c r="U92" s="75" t="s">
        <v>586</v>
      </c>
      <c r="V92" s="75" t="s">
        <v>586</v>
      </c>
      <c r="W92" s="75" t="s">
        <v>586</v>
      </c>
      <c r="X92" s="75" t="s">
        <v>586</v>
      </c>
      <c r="Y92" s="75" t="s">
        <v>586</v>
      </c>
      <c r="Z92" s="75" t="s">
        <v>586</v>
      </c>
      <c r="AA92" s="75" t="s">
        <v>586</v>
      </c>
      <c r="AB92" s="75" t="s">
        <v>586</v>
      </c>
      <c r="AC92" s="75" t="s">
        <v>586</v>
      </c>
      <c r="AD92" s="75" t="s">
        <v>586</v>
      </c>
      <c r="AE92" s="75" t="s">
        <v>586</v>
      </c>
      <c r="AF92" s="75" t="s">
        <v>586</v>
      </c>
    </row>
    <row r="93" spans="1:35" ht="100.15" customHeight="1" x14ac:dyDescent="0.25">
      <c r="A93" s="620" t="s">
        <v>919</v>
      </c>
      <c r="B93" s="151" t="s">
        <v>13</v>
      </c>
      <c r="C93" s="40" t="s">
        <v>14</v>
      </c>
      <c r="D93" s="40" t="s">
        <v>15</v>
      </c>
      <c r="E93" s="41" t="s">
        <v>16</v>
      </c>
      <c r="F93" s="289" t="s">
        <v>17</v>
      </c>
      <c r="G93" s="40" t="s">
        <v>70</v>
      </c>
      <c r="H93" s="40" t="s">
        <v>71</v>
      </c>
      <c r="I93" s="40" t="s">
        <v>72</v>
      </c>
      <c r="J93" s="40" t="s">
        <v>2</v>
      </c>
      <c r="K93" s="40" t="s">
        <v>73</v>
      </c>
      <c r="L93" s="42" t="s">
        <v>74</v>
      </c>
      <c r="M93" s="42" t="s">
        <v>75</v>
      </c>
      <c r="N93" s="40" t="s">
        <v>76</v>
      </c>
      <c r="O93" s="40" t="s">
        <v>77</v>
      </c>
      <c r="P93" s="40" t="s">
        <v>78</v>
      </c>
      <c r="Q93" s="40" t="s">
        <v>79</v>
      </c>
      <c r="R93" s="40" t="s">
        <v>80</v>
      </c>
      <c r="S93" s="40" t="s">
        <v>81</v>
      </c>
      <c r="T93" s="40" t="s">
        <v>82</v>
      </c>
      <c r="U93" s="40" t="s">
        <v>83</v>
      </c>
      <c r="V93" s="40" t="s">
        <v>84</v>
      </c>
      <c r="W93" s="40" t="s">
        <v>3</v>
      </c>
      <c r="X93" s="40" t="s">
        <v>85</v>
      </c>
      <c r="Y93" s="40" t="s">
        <v>86</v>
      </c>
      <c r="Z93" s="40" t="s">
        <v>87</v>
      </c>
      <c r="AA93" s="40" t="s">
        <v>88</v>
      </c>
      <c r="AB93" s="40" t="s">
        <v>89</v>
      </c>
      <c r="AC93" s="40" t="s">
        <v>90</v>
      </c>
      <c r="AD93" s="40" t="s">
        <v>91</v>
      </c>
      <c r="AE93" s="40" t="s">
        <v>92</v>
      </c>
      <c r="AF93" s="43" t="s">
        <v>93</v>
      </c>
      <c r="AG93" s="2"/>
    </row>
    <row r="94" spans="1:35" ht="19.899999999999999" customHeight="1" x14ac:dyDescent="0.25">
      <c r="A94" s="615"/>
      <c r="B94" s="152">
        <v>1</v>
      </c>
      <c r="C94" s="44" t="s">
        <v>47</v>
      </c>
      <c r="D94" s="45">
        <v>11</v>
      </c>
      <c r="E94" s="46" t="s">
        <v>48</v>
      </c>
      <c r="F94" s="290" t="s">
        <v>49</v>
      </c>
      <c r="G94" s="47" t="s">
        <v>50</v>
      </c>
      <c r="H94" s="47">
        <v>36</v>
      </c>
      <c r="I94" s="47" t="s">
        <v>94</v>
      </c>
      <c r="J94" s="47" t="s">
        <v>95</v>
      </c>
      <c r="K94" s="47" t="s">
        <v>96</v>
      </c>
      <c r="L94" s="48" t="s">
        <v>97</v>
      </c>
      <c r="M94" s="48" t="s">
        <v>98</v>
      </c>
      <c r="N94" s="47" t="s">
        <v>99</v>
      </c>
      <c r="O94" s="47">
        <v>53</v>
      </c>
      <c r="P94" s="47">
        <v>54</v>
      </c>
      <c r="Q94" s="47" t="s">
        <v>913</v>
      </c>
      <c r="R94" s="47" t="s">
        <v>100</v>
      </c>
      <c r="S94" s="47" t="s">
        <v>101</v>
      </c>
      <c r="T94" s="47" t="s">
        <v>57</v>
      </c>
      <c r="U94" s="47" t="s">
        <v>102</v>
      </c>
      <c r="V94" s="47" t="s">
        <v>103</v>
      </c>
      <c r="W94" s="47" t="s">
        <v>104</v>
      </c>
      <c r="X94" s="47" t="s">
        <v>105</v>
      </c>
      <c r="Y94" s="47" t="s">
        <v>106</v>
      </c>
      <c r="Z94" s="47" t="s">
        <v>107</v>
      </c>
      <c r="AA94" s="47" t="s">
        <v>108</v>
      </c>
      <c r="AB94" s="45" t="s">
        <v>109</v>
      </c>
      <c r="AC94" s="47" t="s">
        <v>110</v>
      </c>
      <c r="AD94" s="45">
        <v>120</v>
      </c>
      <c r="AE94" s="45">
        <v>121</v>
      </c>
      <c r="AF94" s="49" t="s">
        <v>111</v>
      </c>
    </row>
    <row r="95" spans="1:35" outlineLevel="1" x14ac:dyDescent="0.25">
      <c r="A95" s="615"/>
      <c r="B95" s="152">
        <v>1</v>
      </c>
      <c r="C95" s="45">
        <v>9</v>
      </c>
      <c r="D95" s="45">
        <v>1</v>
      </c>
      <c r="E95" s="50">
        <v>13</v>
      </c>
      <c r="F95" s="291">
        <v>2</v>
      </c>
      <c r="G95" s="45">
        <v>9</v>
      </c>
      <c r="H95" s="45">
        <v>1</v>
      </c>
      <c r="I95" s="45">
        <v>2</v>
      </c>
      <c r="J95" s="45">
        <v>2</v>
      </c>
      <c r="K95" s="45">
        <v>3</v>
      </c>
      <c r="L95" s="51">
        <v>6</v>
      </c>
      <c r="M95" s="51">
        <v>1</v>
      </c>
      <c r="N95" s="45">
        <v>2</v>
      </c>
      <c r="O95" s="45">
        <v>1</v>
      </c>
      <c r="P95" s="45">
        <v>1</v>
      </c>
      <c r="Q95" s="45">
        <v>9</v>
      </c>
      <c r="R95" s="45">
        <v>2</v>
      </c>
      <c r="S95" s="45">
        <v>2</v>
      </c>
      <c r="T95" s="45">
        <v>6</v>
      </c>
      <c r="U95" s="45">
        <v>5</v>
      </c>
      <c r="V95" s="45">
        <v>2</v>
      </c>
      <c r="W95" s="45">
        <v>6</v>
      </c>
      <c r="X95" s="45">
        <v>2</v>
      </c>
      <c r="Y95" s="45">
        <v>7</v>
      </c>
      <c r="Z95" s="45">
        <v>7</v>
      </c>
      <c r="AA95" s="45">
        <v>3</v>
      </c>
      <c r="AB95" s="45">
        <v>7</v>
      </c>
      <c r="AC95" s="45">
        <v>7</v>
      </c>
      <c r="AD95" s="45">
        <v>1</v>
      </c>
      <c r="AE95" s="45">
        <v>1</v>
      </c>
      <c r="AF95" s="49">
        <v>7</v>
      </c>
    </row>
    <row r="96" spans="1:35" outlineLevel="1" x14ac:dyDescent="0.25">
      <c r="A96" s="615"/>
      <c r="B96" s="152" t="s">
        <v>1</v>
      </c>
      <c r="C96" s="45" t="s">
        <v>1</v>
      </c>
      <c r="D96" s="45" t="s">
        <v>69</v>
      </c>
      <c r="E96" s="50" t="s">
        <v>69</v>
      </c>
      <c r="F96" s="291" t="s">
        <v>1</v>
      </c>
      <c r="G96" s="45" t="s">
        <v>1</v>
      </c>
      <c r="H96" s="45" t="s">
        <v>69</v>
      </c>
      <c r="I96" s="45" t="s">
        <v>1</v>
      </c>
      <c r="J96" s="45" t="s">
        <v>1</v>
      </c>
      <c r="K96" s="45" t="s">
        <v>1</v>
      </c>
      <c r="L96" s="52" t="s">
        <v>1</v>
      </c>
      <c r="M96" s="52" t="s">
        <v>1</v>
      </c>
      <c r="N96" s="45" t="s">
        <v>69</v>
      </c>
      <c r="O96" s="45" t="s">
        <v>69</v>
      </c>
      <c r="P96" s="53" t="s">
        <v>69</v>
      </c>
      <c r="Q96" s="45" t="s">
        <v>1</v>
      </c>
      <c r="R96" s="45" t="s">
        <v>1</v>
      </c>
      <c r="S96" s="45" t="s">
        <v>1</v>
      </c>
      <c r="T96" s="45" t="s">
        <v>1</v>
      </c>
      <c r="U96" s="45" t="s">
        <v>69</v>
      </c>
      <c r="V96" s="45" t="s">
        <v>1</v>
      </c>
      <c r="W96" s="45" t="s">
        <v>1</v>
      </c>
      <c r="X96" s="45" t="s">
        <v>1</v>
      </c>
      <c r="Y96" s="45" t="s">
        <v>1</v>
      </c>
      <c r="Z96" s="45" t="s">
        <v>1</v>
      </c>
      <c r="AA96" s="45" t="s">
        <v>1</v>
      </c>
      <c r="AB96" s="45" t="s">
        <v>1</v>
      </c>
      <c r="AC96" s="45" t="s">
        <v>1</v>
      </c>
      <c r="AD96" s="45" t="s">
        <v>69</v>
      </c>
      <c r="AE96" s="45" t="s">
        <v>1</v>
      </c>
      <c r="AF96" s="49" t="s">
        <v>1</v>
      </c>
    </row>
    <row r="97" spans="1:35" ht="13.5" customHeight="1" outlineLevel="1" x14ac:dyDescent="0.25">
      <c r="A97" s="615"/>
      <c r="B97" s="152" t="s">
        <v>0</v>
      </c>
      <c r="C97" s="45" t="s">
        <v>0</v>
      </c>
      <c r="D97" s="45" t="s">
        <v>4</v>
      </c>
      <c r="E97" s="50" t="s">
        <v>0</v>
      </c>
      <c r="F97" s="291" t="s">
        <v>0</v>
      </c>
      <c r="G97" s="45" t="s">
        <v>0</v>
      </c>
      <c r="H97" s="45" t="s">
        <v>4</v>
      </c>
      <c r="I97" s="45" t="s">
        <v>4</v>
      </c>
      <c r="J97" s="45" t="s">
        <v>4</v>
      </c>
      <c r="K97" s="45" t="s">
        <v>4</v>
      </c>
      <c r="L97" s="52" t="s">
        <v>4</v>
      </c>
      <c r="M97" s="52" t="s">
        <v>0</v>
      </c>
      <c r="N97" s="45" t="s">
        <v>4</v>
      </c>
      <c r="O97" s="45" t="s">
        <v>4</v>
      </c>
      <c r="P97" s="45" t="s">
        <v>4</v>
      </c>
      <c r="Q97" s="45" t="s">
        <v>4</v>
      </c>
      <c r="R97" s="45" t="s">
        <v>4</v>
      </c>
      <c r="S97" s="45" t="s">
        <v>112</v>
      </c>
      <c r="T97" s="45" t="s">
        <v>0</v>
      </c>
      <c r="U97" s="45" t="s">
        <v>0</v>
      </c>
      <c r="V97" s="45" t="s">
        <v>0</v>
      </c>
      <c r="W97" s="45" t="s">
        <v>0</v>
      </c>
      <c r="X97" s="45" t="s">
        <v>0</v>
      </c>
      <c r="Y97" s="45" t="s">
        <v>0</v>
      </c>
      <c r="Z97" s="45" t="s">
        <v>0</v>
      </c>
      <c r="AA97" s="45" t="s">
        <v>0</v>
      </c>
      <c r="AB97" s="45" t="s">
        <v>0</v>
      </c>
      <c r="AC97" s="45" t="s">
        <v>0</v>
      </c>
      <c r="AD97" s="45" t="s">
        <v>4</v>
      </c>
      <c r="AE97" s="45" t="s">
        <v>4</v>
      </c>
      <c r="AF97" s="49" t="s">
        <v>4</v>
      </c>
    </row>
    <row r="98" spans="1:35" ht="30" customHeight="1" thickBot="1" x14ac:dyDescent="0.3">
      <c r="A98" s="616"/>
      <c r="B98" s="149" t="s">
        <v>10</v>
      </c>
      <c r="C98" s="54" t="s">
        <v>544</v>
      </c>
      <c r="D98" s="55" t="s">
        <v>8</v>
      </c>
      <c r="E98" s="54" t="s">
        <v>198</v>
      </c>
      <c r="F98" s="288">
        <v>77</v>
      </c>
      <c r="G98" s="54">
        <v>250000001</v>
      </c>
      <c r="H98" s="193" t="s">
        <v>8</v>
      </c>
      <c r="I98" s="193" t="s">
        <v>5</v>
      </c>
      <c r="J98" s="55" t="s">
        <v>5</v>
      </c>
      <c r="K98" s="55" t="s">
        <v>6</v>
      </c>
      <c r="L98" s="55" t="s">
        <v>208</v>
      </c>
      <c r="M98" s="193" t="s">
        <v>397</v>
      </c>
      <c r="N98" s="55" t="s">
        <v>210</v>
      </c>
      <c r="O98" s="55" t="s">
        <v>8</v>
      </c>
      <c r="P98" s="55" t="s">
        <v>8</v>
      </c>
      <c r="Q98" s="54" t="s">
        <v>544</v>
      </c>
      <c r="R98" s="55" t="s">
        <v>5</v>
      </c>
      <c r="S98" s="55" t="s">
        <v>5</v>
      </c>
      <c r="T98" s="33" t="s">
        <v>676</v>
      </c>
      <c r="U98" s="228" t="s">
        <v>280</v>
      </c>
      <c r="V98" s="33" t="s">
        <v>202</v>
      </c>
      <c r="W98" s="54" t="s">
        <v>590</v>
      </c>
      <c r="X98" s="33" t="s">
        <v>202</v>
      </c>
      <c r="Y98" s="54" t="s">
        <v>595</v>
      </c>
      <c r="Z98" s="96" t="s">
        <v>595</v>
      </c>
      <c r="AA98" s="54" t="s">
        <v>6</v>
      </c>
      <c r="AB98" s="54" t="s">
        <v>212</v>
      </c>
      <c r="AC98" s="54" t="s">
        <v>212</v>
      </c>
      <c r="AD98" s="193" t="s">
        <v>498</v>
      </c>
      <c r="AE98" s="193" t="s">
        <v>200</v>
      </c>
      <c r="AF98" s="54" t="s">
        <v>212</v>
      </c>
      <c r="AG98" s="188" t="s">
        <v>589</v>
      </c>
      <c r="AH98" s="76"/>
      <c r="AI98" s="76"/>
    </row>
    <row r="99" spans="1:35" s="75" customFormat="1" ht="15.75" thickBot="1" x14ac:dyDescent="0.3">
      <c r="A99" s="77"/>
      <c r="B99" s="144"/>
      <c r="C99" s="77"/>
      <c r="D99" s="77"/>
      <c r="E99" s="77"/>
      <c r="F99" s="271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</row>
    <row r="100" spans="1:35" ht="100.15" customHeight="1" x14ac:dyDescent="0.25">
      <c r="A100" s="614" t="s">
        <v>360</v>
      </c>
      <c r="B100" s="147" t="s">
        <v>13</v>
      </c>
      <c r="C100" s="24" t="s">
        <v>14</v>
      </c>
      <c r="D100" s="24" t="s">
        <v>15</v>
      </c>
      <c r="E100" s="25" t="s">
        <v>16</v>
      </c>
      <c r="F100" s="282" t="s">
        <v>17</v>
      </c>
      <c r="G100" s="24" t="s">
        <v>70</v>
      </c>
      <c r="H100" s="24" t="s">
        <v>15</v>
      </c>
      <c r="I100" s="24" t="s">
        <v>220</v>
      </c>
      <c r="J100" s="24" t="s">
        <v>221</v>
      </c>
      <c r="K100" s="26" t="s">
        <v>222</v>
      </c>
      <c r="L100" s="26" t="s">
        <v>223</v>
      </c>
      <c r="M100" s="24" t="s">
        <v>224</v>
      </c>
      <c r="N100" s="24" t="s">
        <v>225</v>
      </c>
      <c r="O100" s="24" t="s">
        <v>226</v>
      </c>
      <c r="P100" s="24" t="s">
        <v>221</v>
      </c>
      <c r="Q100" s="24" t="s">
        <v>227</v>
      </c>
      <c r="R100" s="24" t="s">
        <v>15</v>
      </c>
      <c r="S100" s="27" t="s">
        <v>228</v>
      </c>
    </row>
    <row r="101" spans="1:35" ht="19.899999999999999" customHeight="1" x14ac:dyDescent="0.25">
      <c r="A101" s="615"/>
      <c r="B101" s="148">
        <v>1</v>
      </c>
      <c r="C101" s="5" t="s">
        <v>47</v>
      </c>
      <c r="D101" s="4">
        <v>11</v>
      </c>
      <c r="E101" s="6" t="s">
        <v>48</v>
      </c>
      <c r="F101" s="283" t="s">
        <v>49</v>
      </c>
      <c r="G101" s="7" t="s">
        <v>50</v>
      </c>
      <c r="H101" s="7" t="s">
        <v>229</v>
      </c>
      <c r="I101" s="7" t="s">
        <v>216</v>
      </c>
      <c r="J101" s="7" t="s">
        <v>230</v>
      </c>
      <c r="K101" s="8" t="s">
        <v>217</v>
      </c>
      <c r="L101" s="8" t="s">
        <v>218</v>
      </c>
      <c r="M101" s="7" t="s">
        <v>179</v>
      </c>
      <c r="N101" s="7" t="s">
        <v>219</v>
      </c>
      <c r="O101" s="7">
        <v>90</v>
      </c>
      <c r="P101" s="7" t="s">
        <v>231</v>
      </c>
      <c r="Q101" s="7">
        <v>94</v>
      </c>
      <c r="R101" s="7" t="s">
        <v>232</v>
      </c>
      <c r="S101" s="28" t="s">
        <v>233</v>
      </c>
    </row>
    <row r="102" spans="1:35" outlineLevel="1" x14ac:dyDescent="0.25">
      <c r="A102" s="615"/>
      <c r="B102" s="148">
        <v>1</v>
      </c>
      <c r="C102" s="4">
        <v>9</v>
      </c>
      <c r="D102" s="4">
        <v>1</v>
      </c>
      <c r="E102" s="9">
        <v>13</v>
      </c>
      <c r="F102" s="284">
        <v>2</v>
      </c>
      <c r="G102" s="4">
        <v>9</v>
      </c>
      <c r="H102" s="4">
        <v>3</v>
      </c>
      <c r="I102" s="4">
        <v>3</v>
      </c>
      <c r="J102" s="4">
        <v>16</v>
      </c>
      <c r="K102" s="10">
        <v>8</v>
      </c>
      <c r="L102" s="10">
        <v>8</v>
      </c>
      <c r="M102" s="4">
        <v>8</v>
      </c>
      <c r="N102" s="4">
        <v>8</v>
      </c>
      <c r="O102" s="4">
        <v>1</v>
      </c>
      <c r="P102" s="4">
        <v>3</v>
      </c>
      <c r="Q102" s="4">
        <v>1</v>
      </c>
      <c r="R102" s="4">
        <v>2</v>
      </c>
      <c r="S102" s="29">
        <v>32</v>
      </c>
    </row>
    <row r="103" spans="1:35" ht="13.5" customHeight="1" outlineLevel="1" x14ac:dyDescent="0.25">
      <c r="A103" s="615"/>
      <c r="B103" s="148" t="s">
        <v>1</v>
      </c>
      <c r="C103" s="4" t="s">
        <v>1</v>
      </c>
      <c r="D103" s="4" t="s">
        <v>69</v>
      </c>
      <c r="E103" s="9" t="s">
        <v>69</v>
      </c>
      <c r="F103" s="284" t="s">
        <v>1</v>
      </c>
      <c r="G103" s="4" t="s">
        <v>1</v>
      </c>
      <c r="H103" s="4" t="s">
        <v>69</v>
      </c>
      <c r="I103" s="4" t="s">
        <v>1</v>
      </c>
      <c r="J103" s="4" t="s">
        <v>69</v>
      </c>
      <c r="K103" s="12" t="s">
        <v>1</v>
      </c>
      <c r="L103" s="12" t="s">
        <v>1</v>
      </c>
      <c r="M103" s="4" t="s">
        <v>1</v>
      </c>
      <c r="N103" s="4" t="s">
        <v>1</v>
      </c>
      <c r="O103" s="4" t="s">
        <v>69</v>
      </c>
      <c r="P103" s="4" t="s">
        <v>69</v>
      </c>
      <c r="Q103" s="4" t="s">
        <v>69</v>
      </c>
      <c r="R103" s="4" t="s">
        <v>69</v>
      </c>
      <c r="S103" s="29" t="s">
        <v>69</v>
      </c>
    </row>
    <row r="104" spans="1:35" outlineLevel="1" x14ac:dyDescent="0.25">
      <c r="A104" s="615"/>
      <c r="B104" s="148" t="s">
        <v>0</v>
      </c>
      <c r="C104" s="4" t="s">
        <v>0</v>
      </c>
      <c r="D104" s="4" t="s">
        <v>4</v>
      </c>
      <c r="E104" s="9" t="s">
        <v>0</v>
      </c>
      <c r="F104" s="284" t="s">
        <v>0</v>
      </c>
      <c r="G104" s="4" t="s">
        <v>0</v>
      </c>
      <c r="H104" s="4" t="s">
        <v>4</v>
      </c>
      <c r="I104" s="4" t="s">
        <v>0</v>
      </c>
      <c r="J104" s="4" t="s">
        <v>0</v>
      </c>
      <c r="K104" s="12" t="s">
        <v>0</v>
      </c>
      <c r="L104" s="12" t="s">
        <v>0</v>
      </c>
      <c r="M104" s="4" t="s">
        <v>0</v>
      </c>
      <c r="N104" s="4" t="s">
        <v>4</v>
      </c>
      <c r="O104" s="4" t="s">
        <v>4</v>
      </c>
      <c r="P104" s="4" t="s">
        <v>0</v>
      </c>
      <c r="Q104" s="4" t="s">
        <v>0</v>
      </c>
      <c r="R104" s="4" t="s">
        <v>4</v>
      </c>
      <c r="S104" s="29" t="s">
        <v>4</v>
      </c>
    </row>
    <row r="105" spans="1:35" s="163" customFormat="1" ht="30" customHeight="1" thickBot="1" x14ac:dyDescent="0.3">
      <c r="A105" s="616"/>
      <c r="B105" s="157">
        <v>5</v>
      </c>
      <c r="C105" s="54" t="s">
        <v>544</v>
      </c>
      <c r="D105" s="55" t="s">
        <v>8</v>
      </c>
      <c r="E105" s="55" t="s">
        <v>198</v>
      </c>
      <c r="F105" s="270">
        <v>77</v>
      </c>
      <c r="G105" s="55">
        <v>250000001</v>
      </c>
      <c r="H105" s="98" t="s">
        <v>9</v>
      </c>
      <c r="I105" s="496" t="s">
        <v>752</v>
      </c>
      <c r="J105" s="98" t="s">
        <v>234</v>
      </c>
      <c r="K105" s="56" t="s">
        <v>679</v>
      </c>
      <c r="L105" s="56" t="s">
        <v>680</v>
      </c>
      <c r="M105" s="56" t="s">
        <v>681</v>
      </c>
      <c r="N105" s="56" t="s">
        <v>599</v>
      </c>
      <c r="O105" s="56" t="s">
        <v>8</v>
      </c>
      <c r="P105" s="56" t="s">
        <v>9</v>
      </c>
      <c r="Q105" s="56" t="s">
        <v>8</v>
      </c>
      <c r="R105" s="56" t="s">
        <v>210</v>
      </c>
      <c r="S105" s="99" t="s">
        <v>235</v>
      </c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</row>
    <row r="106" spans="1:35" ht="15.75" thickBot="1" x14ac:dyDescent="0.3">
      <c r="A106" s="75"/>
      <c r="B106" s="150" t="s">
        <v>586</v>
      </c>
      <c r="C106" s="75" t="s">
        <v>586</v>
      </c>
      <c r="D106" s="75" t="s">
        <v>586</v>
      </c>
      <c r="E106" s="75" t="s">
        <v>586</v>
      </c>
      <c r="F106" s="276" t="s">
        <v>586</v>
      </c>
      <c r="G106" s="75" t="s">
        <v>586</v>
      </c>
      <c r="H106" s="75" t="s">
        <v>586</v>
      </c>
      <c r="I106" s="75" t="s">
        <v>586</v>
      </c>
      <c r="J106" s="75" t="s">
        <v>586</v>
      </c>
      <c r="K106" s="75" t="s">
        <v>586</v>
      </c>
      <c r="L106" s="75" t="s">
        <v>586</v>
      </c>
      <c r="M106" s="75" t="s">
        <v>586</v>
      </c>
      <c r="N106" s="75" t="s">
        <v>586</v>
      </c>
      <c r="O106" s="75" t="s">
        <v>586</v>
      </c>
      <c r="P106" s="75" t="s">
        <v>586</v>
      </c>
      <c r="Q106" s="75" t="s">
        <v>586</v>
      </c>
      <c r="R106" s="75" t="s">
        <v>586</v>
      </c>
      <c r="S106" s="75" t="s">
        <v>586</v>
      </c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</row>
    <row r="107" spans="1:35" ht="100.15" customHeight="1" x14ac:dyDescent="0.25">
      <c r="A107" s="608" t="s">
        <v>361</v>
      </c>
      <c r="B107" s="327" t="s">
        <v>13</v>
      </c>
      <c r="C107" s="328" t="s">
        <v>14</v>
      </c>
      <c r="D107" s="328" t="s">
        <v>339</v>
      </c>
      <c r="E107" s="329" t="s">
        <v>469</v>
      </c>
      <c r="F107" s="330" t="s">
        <v>470</v>
      </c>
      <c r="G107" s="328" t="s">
        <v>471</v>
      </c>
      <c r="H107" s="328" t="s">
        <v>340</v>
      </c>
      <c r="I107" s="328" t="s">
        <v>473</v>
      </c>
      <c r="J107" s="328" t="s">
        <v>472</v>
      </c>
      <c r="K107" s="331" t="s">
        <v>312</v>
      </c>
      <c r="L107" s="331" t="s">
        <v>341</v>
      </c>
      <c r="M107" s="328" t="s">
        <v>25</v>
      </c>
      <c r="N107" s="328" t="s">
        <v>15</v>
      </c>
      <c r="O107" s="328" t="s">
        <v>474</v>
      </c>
      <c r="P107" s="328" t="s">
        <v>342</v>
      </c>
      <c r="Q107" s="328" t="s">
        <v>15</v>
      </c>
      <c r="R107" s="328" t="s">
        <v>343</v>
      </c>
      <c r="S107" s="332" t="s">
        <v>228</v>
      </c>
    </row>
    <row r="108" spans="1:35" ht="19.899999999999999" customHeight="1" x14ac:dyDescent="0.25">
      <c r="A108" s="609"/>
      <c r="B108" s="158">
        <v>1</v>
      </c>
      <c r="C108" s="102" t="s">
        <v>47</v>
      </c>
      <c r="D108" s="103" t="s">
        <v>344</v>
      </c>
      <c r="E108" s="104" t="s">
        <v>345</v>
      </c>
      <c r="F108" s="298" t="s">
        <v>346</v>
      </c>
      <c r="G108" s="103" t="s">
        <v>347</v>
      </c>
      <c r="H108" s="103" t="s">
        <v>348</v>
      </c>
      <c r="I108" s="103" t="s">
        <v>349</v>
      </c>
      <c r="J108" s="103" t="s">
        <v>350</v>
      </c>
      <c r="K108" s="105" t="s">
        <v>351</v>
      </c>
      <c r="L108" s="105" t="s">
        <v>352</v>
      </c>
      <c r="M108" s="103" t="s">
        <v>353</v>
      </c>
      <c r="N108" s="103" t="s">
        <v>354</v>
      </c>
      <c r="O108" s="103" t="s">
        <v>355</v>
      </c>
      <c r="P108" s="103" t="s">
        <v>356</v>
      </c>
      <c r="Q108" s="103" t="s">
        <v>357</v>
      </c>
      <c r="R108" s="103" t="s">
        <v>358</v>
      </c>
      <c r="S108" s="333" t="s">
        <v>233</v>
      </c>
    </row>
    <row r="109" spans="1:35" outlineLevel="1" x14ac:dyDescent="0.25">
      <c r="A109" s="609"/>
      <c r="B109" s="158">
        <v>1</v>
      </c>
      <c r="C109" s="101">
        <v>9</v>
      </c>
      <c r="D109" s="101">
        <v>3</v>
      </c>
      <c r="E109" s="101">
        <v>4</v>
      </c>
      <c r="F109" s="299">
        <v>4</v>
      </c>
      <c r="G109" s="101">
        <v>3</v>
      </c>
      <c r="H109" s="101">
        <v>9</v>
      </c>
      <c r="I109" s="101">
        <v>9</v>
      </c>
      <c r="J109" s="101">
        <v>9</v>
      </c>
      <c r="K109" s="107">
        <v>3</v>
      </c>
      <c r="L109" s="107">
        <v>1</v>
      </c>
      <c r="M109" s="101">
        <v>1</v>
      </c>
      <c r="N109" s="101">
        <v>4</v>
      </c>
      <c r="O109" s="101">
        <v>12</v>
      </c>
      <c r="P109" s="101">
        <v>12</v>
      </c>
      <c r="Q109" s="103">
        <v>3</v>
      </c>
      <c r="R109" s="101">
        <v>9</v>
      </c>
      <c r="S109" s="334">
        <v>32</v>
      </c>
    </row>
    <row r="110" spans="1:35" outlineLevel="1" x14ac:dyDescent="0.25">
      <c r="A110" s="609"/>
      <c r="B110" s="158" t="s">
        <v>1</v>
      </c>
      <c r="C110" s="101" t="s">
        <v>1</v>
      </c>
      <c r="D110" s="197" t="s">
        <v>1</v>
      </c>
      <c r="E110" s="106" t="s">
        <v>1</v>
      </c>
      <c r="F110" s="299" t="s">
        <v>1</v>
      </c>
      <c r="G110" s="101" t="s">
        <v>1</v>
      </c>
      <c r="H110" s="101" t="s">
        <v>1</v>
      </c>
      <c r="I110" s="101" t="s">
        <v>1</v>
      </c>
      <c r="J110" s="101" t="s">
        <v>1</v>
      </c>
      <c r="K110" s="108" t="s">
        <v>1</v>
      </c>
      <c r="L110" s="108" t="s">
        <v>69</v>
      </c>
      <c r="M110" s="101" t="s">
        <v>69</v>
      </c>
      <c r="N110" s="101" t="s">
        <v>69</v>
      </c>
      <c r="O110" s="101" t="s">
        <v>69</v>
      </c>
      <c r="P110" s="101" t="s">
        <v>1</v>
      </c>
      <c r="Q110" s="101" t="s">
        <v>69</v>
      </c>
      <c r="R110" s="101" t="s">
        <v>1</v>
      </c>
      <c r="S110" s="334" t="s">
        <v>1</v>
      </c>
    </row>
    <row r="111" spans="1:35" outlineLevel="1" x14ac:dyDescent="0.25">
      <c r="A111" s="609"/>
      <c r="B111" s="158" t="s">
        <v>0</v>
      </c>
      <c r="C111" s="101" t="s">
        <v>0</v>
      </c>
      <c r="D111" s="101" t="s">
        <v>0</v>
      </c>
      <c r="E111" s="106" t="s">
        <v>0</v>
      </c>
      <c r="F111" s="299" t="s">
        <v>0</v>
      </c>
      <c r="G111" s="101" t="s">
        <v>0</v>
      </c>
      <c r="H111" s="101" t="s">
        <v>0</v>
      </c>
      <c r="I111" s="101" t="s">
        <v>0</v>
      </c>
      <c r="J111" s="101" t="s">
        <v>0</v>
      </c>
      <c r="K111" s="108" t="s">
        <v>0</v>
      </c>
      <c r="L111" s="108" t="s">
        <v>4</v>
      </c>
      <c r="M111" s="101" t="s">
        <v>4</v>
      </c>
      <c r="N111" s="101" t="s">
        <v>4</v>
      </c>
      <c r="O111" s="101" t="s">
        <v>4</v>
      </c>
      <c r="P111" s="101" t="s">
        <v>4</v>
      </c>
      <c r="Q111" s="101" t="s">
        <v>4</v>
      </c>
      <c r="R111" s="101" t="s">
        <v>4</v>
      </c>
      <c r="S111" s="334" t="s">
        <v>0</v>
      </c>
    </row>
    <row r="112" spans="1:35" s="163" customFormat="1" ht="30" customHeight="1" thickBot="1" x14ac:dyDescent="0.3">
      <c r="A112" s="610"/>
      <c r="B112" s="183">
        <v>6</v>
      </c>
      <c r="C112" s="335" t="s">
        <v>544</v>
      </c>
      <c r="D112" s="185" t="s">
        <v>195</v>
      </c>
      <c r="E112" s="336" t="s">
        <v>682</v>
      </c>
      <c r="F112" s="337" t="s">
        <v>521</v>
      </c>
      <c r="G112" s="185" t="s">
        <v>195</v>
      </c>
      <c r="H112" s="184" t="s">
        <v>683</v>
      </c>
      <c r="I112" s="184" t="s">
        <v>684</v>
      </c>
      <c r="J112" s="184" t="s">
        <v>209</v>
      </c>
      <c r="K112" s="184" t="s">
        <v>195</v>
      </c>
      <c r="L112" s="186" t="s">
        <v>8</v>
      </c>
      <c r="M112" s="186" t="s">
        <v>8</v>
      </c>
      <c r="N112" s="186" t="s">
        <v>387</v>
      </c>
      <c r="O112" s="186" t="s">
        <v>941</v>
      </c>
      <c r="P112" s="186" t="s">
        <v>388</v>
      </c>
      <c r="Q112" s="186" t="s">
        <v>9</v>
      </c>
      <c r="R112" s="186" t="s">
        <v>389</v>
      </c>
      <c r="S112" s="187" t="s">
        <v>235</v>
      </c>
    </row>
    <row r="113" spans="1:35" ht="9.75" customHeight="1" thickBot="1" x14ac:dyDescent="0.3">
      <c r="B113" s="150" t="s">
        <v>586</v>
      </c>
      <c r="C113" s="150" t="s">
        <v>586</v>
      </c>
      <c r="D113" s="150" t="s">
        <v>586</v>
      </c>
      <c r="E113" s="150" t="s">
        <v>586</v>
      </c>
      <c r="F113" s="276" t="s">
        <v>586</v>
      </c>
      <c r="G113" s="150" t="s">
        <v>586</v>
      </c>
      <c r="H113" s="150" t="s">
        <v>586</v>
      </c>
      <c r="I113" s="150" t="s">
        <v>586</v>
      </c>
      <c r="J113" s="150" t="s">
        <v>586</v>
      </c>
      <c r="K113" s="150" t="s">
        <v>586</v>
      </c>
      <c r="L113" s="150" t="s">
        <v>586</v>
      </c>
      <c r="M113" s="150" t="s">
        <v>586</v>
      </c>
      <c r="N113" s="150" t="s">
        <v>586</v>
      </c>
      <c r="O113" s="150" t="s">
        <v>586</v>
      </c>
      <c r="P113" s="150" t="s">
        <v>586</v>
      </c>
      <c r="Q113" s="150" t="s">
        <v>586</v>
      </c>
      <c r="R113" s="150" t="s">
        <v>586</v>
      </c>
      <c r="S113" s="150" t="s">
        <v>586</v>
      </c>
    </row>
    <row r="114" spans="1:35" ht="100.15" customHeight="1" x14ac:dyDescent="0.25">
      <c r="A114" s="611" t="s">
        <v>371</v>
      </c>
      <c r="B114" s="159" t="s">
        <v>13</v>
      </c>
      <c r="C114" s="117" t="s">
        <v>363</v>
      </c>
      <c r="D114" s="117" t="s">
        <v>364</v>
      </c>
      <c r="E114" s="118" t="s">
        <v>15</v>
      </c>
      <c r="F114" s="300" t="s">
        <v>283</v>
      </c>
      <c r="G114" s="117" t="s">
        <v>365</v>
      </c>
      <c r="H114" s="117" t="s">
        <v>15</v>
      </c>
      <c r="I114" s="117" t="s">
        <v>286</v>
      </c>
      <c r="J114" s="117" t="s">
        <v>287</v>
      </c>
      <c r="K114" s="119" t="s">
        <v>366</v>
      </c>
      <c r="L114" s="119" t="s">
        <v>15</v>
      </c>
      <c r="M114" s="117" t="s">
        <v>367</v>
      </c>
      <c r="N114" s="120" t="s">
        <v>15</v>
      </c>
    </row>
    <row r="115" spans="1:35" ht="19.899999999999999" customHeight="1" x14ac:dyDescent="0.25">
      <c r="A115" s="612"/>
      <c r="B115" s="198" t="s">
        <v>293</v>
      </c>
      <c r="C115" s="110" t="s">
        <v>294</v>
      </c>
      <c r="D115" s="111" t="s">
        <v>295</v>
      </c>
      <c r="E115" s="112" t="s">
        <v>296</v>
      </c>
      <c r="F115" s="301" t="s">
        <v>297</v>
      </c>
      <c r="G115" s="111" t="s">
        <v>298</v>
      </c>
      <c r="H115" s="111" t="s">
        <v>299</v>
      </c>
      <c r="I115" s="111" t="s">
        <v>300</v>
      </c>
      <c r="J115" s="111" t="s">
        <v>301</v>
      </c>
      <c r="K115" s="113" t="s">
        <v>368</v>
      </c>
      <c r="L115" s="113" t="s">
        <v>369</v>
      </c>
      <c r="M115" s="111" t="s">
        <v>307</v>
      </c>
      <c r="N115" s="121" t="s">
        <v>370</v>
      </c>
    </row>
    <row r="116" spans="1:35" outlineLevel="1" x14ac:dyDescent="0.25">
      <c r="A116" s="612"/>
      <c r="B116" s="160">
        <v>3</v>
      </c>
      <c r="C116" s="109">
        <v>2</v>
      </c>
      <c r="D116" s="109">
        <v>14</v>
      </c>
      <c r="E116" s="109">
        <v>6</v>
      </c>
      <c r="F116" s="302">
        <v>2</v>
      </c>
      <c r="G116" s="109">
        <v>14</v>
      </c>
      <c r="H116" s="109">
        <v>6</v>
      </c>
      <c r="I116" s="109">
        <v>2</v>
      </c>
      <c r="J116" s="109">
        <v>6</v>
      </c>
      <c r="K116" s="115">
        <v>8</v>
      </c>
      <c r="L116" s="115">
        <v>19</v>
      </c>
      <c r="M116" s="109">
        <v>3</v>
      </c>
      <c r="N116" s="122">
        <v>43</v>
      </c>
    </row>
    <row r="117" spans="1:35" outlineLevel="1" x14ac:dyDescent="0.25">
      <c r="A117" s="612"/>
      <c r="B117" s="160" t="s">
        <v>1</v>
      </c>
      <c r="C117" s="109" t="s">
        <v>69</v>
      </c>
      <c r="D117" s="109" t="s">
        <v>1</v>
      </c>
      <c r="E117" s="114" t="s">
        <v>69</v>
      </c>
      <c r="F117" s="302" t="s">
        <v>69</v>
      </c>
      <c r="G117" s="109" t="s">
        <v>1</v>
      </c>
      <c r="H117" s="109" t="s">
        <v>69</v>
      </c>
      <c r="I117" s="109" t="s">
        <v>69</v>
      </c>
      <c r="J117" s="109" t="s">
        <v>69</v>
      </c>
      <c r="K117" s="116" t="s">
        <v>1</v>
      </c>
      <c r="L117" s="116" t="s">
        <v>69</v>
      </c>
      <c r="M117" s="109" t="s">
        <v>1</v>
      </c>
      <c r="N117" s="122" t="s">
        <v>69</v>
      </c>
    </row>
    <row r="118" spans="1:35" outlineLevel="1" x14ac:dyDescent="0.25">
      <c r="A118" s="612"/>
      <c r="B118" s="160" t="s">
        <v>0</v>
      </c>
      <c r="C118" s="109" t="s">
        <v>0</v>
      </c>
      <c r="D118" s="109" t="s">
        <v>0</v>
      </c>
      <c r="E118" s="114" t="s">
        <v>4</v>
      </c>
      <c r="F118" s="302" t="s">
        <v>0</v>
      </c>
      <c r="G118" s="109" t="s">
        <v>0</v>
      </c>
      <c r="H118" s="109" t="s">
        <v>4</v>
      </c>
      <c r="I118" s="109" t="s">
        <v>0</v>
      </c>
      <c r="J118" s="109" t="s">
        <v>0</v>
      </c>
      <c r="K118" s="116" t="s">
        <v>0</v>
      </c>
      <c r="L118" s="116" t="s">
        <v>4</v>
      </c>
      <c r="M118" s="109" t="s">
        <v>0</v>
      </c>
      <c r="N118" s="122" t="s">
        <v>4</v>
      </c>
    </row>
    <row r="119" spans="1:35" ht="30" customHeight="1" thickBot="1" x14ac:dyDescent="0.3">
      <c r="A119" s="613"/>
      <c r="B119" s="183">
        <v>999</v>
      </c>
      <c r="C119" s="186" t="s">
        <v>373</v>
      </c>
      <c r="D119" s="174" t="s">
        <v>584</v>
      </c>
      <c r="E119" s="186" t="s">
        <v>374</v>
      </c>
      <c r="F119" s="303" t="s">
        <v>375</v>
      </c>
      <c r="G119" s="174" t="s">
        <v>585</v>
      </c>
      <c r="H119" s="186" t="s">
        <v>374</v>
      </c>
      <c r="I119" s="186" t="s">
        <v>376</v>
      </c>
      <c r="J119" s="184" t="s">
        <v>377</v>
      </c>
      <c r="K119" s="497" t="s">
        <v>909</v>
      </c>
      <c r="L119" s="186" t="s">
        <v>390</v>
      </c>
      <c r="M119" s="185" t="s">
        <v>195</v>
      </c>
      <c r="N119" s="187" t="s">
        <v>391</v>
      </c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</row>
    <row r="120" spans="1:35" x14ac:dyDescent="0.25">
      <c r="B120" s="150" t="s">
        <v>586</v>
      </c>
      <c r="C120" s="150" t="s">
        <v>586</v>
      </c>
      <c r="D120" s="150" t="s">
        <v>586</v>
      </c>
      <c r="E120" s="150" t="s">
        <v>586</v>
      </c>
      <c r="F120" s="276" t="s">
        <v>586</v>
      </c>
      <c r="G120" s="150" t="s">
        <v>586</v>
      </c>
      <c r="H120" s="150" t="s">
        <v>586</v>
      </c>
      <c r="I120" s="150" t="s">
        <v>586</v>
      </c>
      <c r="J120" s="150" t="s">
        <v>586</v>
      </c>
      <c r="K120" s="150" t="s">
        <v>586</v>
      </c>
      <c r="L120" s="150" t="s">
        <v>586</v>
      </c>
      <c r="M120" s="150" t="s">
        <v>586</v>
      </c>
      <c r="N120" s="150" t="s">
        <v>586</v>
      </c>
    </row>
  </sheetData>
  <sheetProtection algorithmName="SHA-512" hashValue="K7+o3yVONosV9f7H/uAa/mnmjkd9WGT+wzyB7WqXMyf841zx9yHQ412DlxqZO6e2KdgbCxcBzIPOOXHXJZqyQQ==" saltValue="jeqS7xHVb5aJyczcGOdIlw==" spinCount="100000" sheet="1" sort="0"/>
  <mergeCells count="24">
    <mergeCell ref="A107:A112"/>
    <mergeCell ref="A114:A119"/>
    <mergeCell ref="B1:AI1"/>
    <mergeCell ref="A3:C3"/>
    <mergeCell ref="D3:F3"/>
    <mergeCell ref="G3:H3"/>
    <mergeCell ref="I3:X3"/>
    <mergeCell ref="A86:A91"/>
    <mergeCell ref="A58:A63"/>
    <mergeCell ref="A65:A70"/>
    <mergeCell ref="A72:A77"/>
    <mergeCell ref="A79:A84"/>
    <mergeCell ref="A23:A28"/>
    <mergeCell ref="A30:A35"/>
    <mergeCell ref="A37:A42"/>
    <mergeCell ref="A44:A49"/>
    <mergeCell ref="Z3:AE3"/>
    <mergeCell ref="AG3:AI3"/>
    <mergeCell ref="A7:AI7"/>
    <mergeCell ref="A93:A98"/>
    <mergeCell ref="A100:A105"/>
    <mergeCell ref="A51:A56"/>
    <mergeCell ref="A9:A14"/>
    <mergeCell ref="A16:A21"/>
  </mergeCells>
  <conditionalFormatting sqref="B28">
    <cfRule type="expression" dxfId="31" priority="2">
      <formula>"B17&lt;&gt;0"</formula>
    </cfRule>
  </conditionalFormatting>
  <conditionalFormatting sqref="F28">
    <cfRule type="expression" dxfId="30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tabColor theme="8" tint="-0.499984740745262"/>
    <pageSetUpPr fitToPage="1"/>
  </sheetPr>
  <dimension ref="A1:AI113"/>
  <sheetViews>
    <sheetView view="pageBreakPreview" topLeftCell="A63" zoomScale="40" zoomScaleNormal="25" zoomScaleSheetLayoutView="40" workbookViewId="0">
      <selection activeCell="O105" sqref="O105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30'!A22</f>
        <v>CONVENTION CAS 10</v>
      </c>
      <c r="B5" s="369">
        <f>'LISTE DES CAS ANNEXE 30'!B22</f>
        <v>1</v>
      </c>
      <c r="C5" s="370">
        <f>'LISTE DES CAS ANNEXE 30'!C22</f>
        <v>1</v>
      </c>
      <c r="D5" s="367" t="str">
        <f>'LISTE DES CAS ANNEXE 30'!D22</f>
        <v>MALADIE</v>
      </c>
      <c r="E5" s="368">
        <f>'LISTE DES CAS ANNEXE 30'!E22</f>
        <v>0.55000000000000004</v>
      </c>
      <c r="F5" s="361" t="str">
        <f>'LISTE DES CAS ANNEXE 30'!H22</f>
        <v>NON</v>
      </c>
      <c r="G5" s="365" t="str">
        <f>'LISTE DES CAS ANNEXE 30'!I22</f>
        <v>NON</v>
      </c>
      <c r="H5" s="366" t="str">
        <f>'LISTE DES CAS ANNEXE 30'!J22</f>
        <v>05 - TP AMO SEUL</v>
      </c>
      <c r="I5" s="354" t="str">
        <f>'LISTE DES CAS ANNEXE 30'!K22</f>
        <v>42-SAINT-ETIENNE</v>
      </c>
      <c r="J5" s="355" t="str">
        <f>'LISTE DES CAS ANNEXE 30'!L22</f>
        <v>42-MONTBRISON</v>
      </c>
      <c r="K5" s="356" t="str">
        <f>'LISTE DES CAS ANNEXE 30'!M22</f>
        <v>01/12/2025 à 10H00</v>
      </c>
      <c r="L5" s="356" t="str">
        <f>'LISTE DES CAS ANNEXE 30'!N22</f>
        <v>01/12/2025 à 10h40</v>
      </c>
      <c r="M5" s="357" t="str">
        <f>'LISTE DES CAS ANNEXE 30'!O22</f>
        <v>AA-001-BB</v>
      </c>
      <c r="N5" s="357" t="str">
        <f>'LISTE DES CAS ANNEXE 30'!P22</f>
        <v>42218 
(SAINT-ETIENNE)</v>
      </c>
      <c r="O5" s="357" t="str">
        <f>'LISTE DES CAS ANNEXE 30'!Q22</f>
        <v>042</v>
      </c>
      <c r="P5" s="357" t="str">
        <f>'LISTE DES CAS ANNEXE 30'!R22</f>
        <v>422 - CPAM DE LA LOIRE</v>
      </c>
      <c r="Q5" s="358">
        <f>'LISTE DES CAS ANNEXE 30'!S22</f>
        <v>43</v>
      </c>
      <c r="R5" s="359" t="str">
        <f>'LISTE DES CAS ANNEXE 30'!T22</f>
        <v>JOUR</v>
      </c>
      <c r="S5" s="432">
        <f>'LISTE DES CAS ANNEXE 30'!U22</f>
        <v>2</v>
      </c>
      <c r="T5" s="428" t="str">
        <f>'LISTE DES CAS ANNEXE 30'!V22</f>
        <v>OUI 
(TYPE 1)</v>
      </c>
      <c r="U5" s="428" t="str">
        <f>'LISTE DES CAS ANNEXE 30'!W22</f>
        <v>OUI 
(à 0,60€)</v>
      </c>
      <c r="V5" s="428" t="str">
        <f>'LISTE DES CAS ANNEXE 30'!X22</f>
        <v>OUI</v>
      </c>
      <c r="W5" s="356" t="str">
        <f>'LISTE DES CAS ANNEXE 30'!Y22</f>
        <v>NON</v>
      </c>
      <c r="X5" s="361" t="str">
        <f>'LISTE DES CAS ANNEXE 30'!Z22</f>
        <v>NON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79.5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242</v>
      </c>
      <c r="V42" s="193" t="s">
        <v>202</v>
      </c>
      <c r="W42" s="33" t="s">
        <v>590</v>
      </c>
      <c r="X42" s="33" t="s">
        <v>202</v>
      </c>
      <c r="Y42" s="194" t="s">
        <v>686</v>
      </c>
      <c r="Z42" s="194" t="s">
        <v>686</v>
      </c>
      <c r="AA42" s="194" t="s">
        <v>592</v>
      </c>
      <c r="AB42" s="194" t="s">
        <v>687</v>
      </c>
      <c r="AC42" s="194" t="s">
        <v>686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637</v>
      </c>
      <c r="T56" s="54" t="s">
        <v>262</v>
      </c>
      <c r="U56" s="54">
        <v>2</v>
      </c>
      <c r="V56" s="55" t="s">
        <v>5</v>
      </c>
      <c r="W56" s="55" t="s">
        <v>208</v>
      </c>
      <c r="X56" s="229" t="s">
        <v>203</v>
      </c>
      <c r="Y56" s="54" t="s">
        <v>638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688</v>
      </c>
      <c r="Z63" s="96" t="s">
        <v>688</v>
      </c>
      <c r="AA63" s="97" t="s">
        <v>592</v>
      </c>
      <c r="AB63" s="96" t="s">
        <v>689</v>
      </c>
      <c r="AC63" s="96" t="s">
        <v>688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690</v>
      </c>
      <c r="Z70" s="96" t="s">
        <v>690</v>
      </c>
      <c r="AA70" s="54" t="s">
        <v>592</v>
      </c>
      <c r="AB70" s="54" t="s">
        <v>691</v>
      </c>
      <c r="AC70" s="54" t="s">
        <v>690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20" t="s">
        <v>925</v>
      </c>
      <c r="B72" s="151" t="s">
        <v>13</v>
      </c>
      <c r="C72" s="40" t="s">
        <v>14</v>
      </c>
      <c r="D72" s="40" t="s">
        <v>15</v>
      </c>
      <c r="E72" s="41" t="s">
        <v>16</v>
      </c>
      <c r="F72" s="289" t="s">
        <v>17</v>
      </c>
      <c r="G72" s="40" t="s">
        <v>70</v>
      </c>
      <c r="H72" s="40" t="s">
        <v>71</v>
      </c>
      <c r="I72" s="40" t="s">
        <v>72</v>
      </c>
      <c r="J72" s="40" t="s">
        <v>2</v>
      </c>
      <c r="K72" s="40" t="s">
        <v>73</v>
      </c>
      <c r="L72" s="42" t="s">
        <v>74</v>
      </c>
      <c r="M72" s="42" t="s">
        <v>75</v>
      </c>
      <c r="N72" s="40" t="s">
        <v>76</v>
      </c>
      <c r="O72" s="40" t="s">
        <v>77</v>
      </c>
      <c r="P72" s="40" t="s">
        <v>78</v>
      </c>
      <c r="Q72" s="40" t="s">
        <v>79</v>
      </c>
      <c r="R72" s="40" t="s">
        <v>80</v>
      </c>
      <c r="S72" s="40" t="s">
        <v>81</v>
      </c>
      <c r="T72" s="40" t="s">
        <v>82</v>
      </c>
      <c r="U72" s="40" t="s">
        <v>83</v>
      </c>
      <c r="V72" s="40" t="s">
        <v>84</v>
      </c>
      <c r="W72" s="40" t="s">
        <v>3</v>
      </c>
      <c r="X72" s="40" t="s">
        <v>85</v>
      </c>
      <c r="Y72" s="40" t="s">
        <v>86</v>
      </c>
      <c r="Z72" s="40" t="s">
        <v>87</v>
      </c>
      <c r="AA72" s="40" t="s">
        <v>88</v>
      </c>
      <c r="AB72" s="40" t="s">
        <v>89</v>
      </c>
      <c r="AC72" s="40" t="s">
        <v>90</v>
      </c>
      <c r="AD72" s="40" t="s">
        <v>91</v>
      </c>
      <c r="AE72" s="40" t="s">
        <v>92</v>
      </c>
      <c r="AF72" s="43" t="s">
        <v>93</v>
      </c>
    </row>
    <row r="73" spans="1:35" ht="19.899999999999999" customHeight="1" x14ac:dyDescent="0.25">
      <c r="A73" s="615"/>
      <c r="B73" s="152">
        <v>1</v>
      </c>
      <c r="C73" s="44" t="s">
        <v>47</v>
      </c>
      <c r="D73" s="45">
        <v>11</v>
      </c>
      <c r="E73" s="46" t="s">
        <v>48</v>
      </c>
      <c r="F73" s="290" t="s">
        <v>49</v>
      </c>
      <c r="G73" s="47" t="s">
        <v>50</v>
      </c>
      <c r="H73" s="47">
        <v>36</v>
      </c>
      <c r="I73" s="47" t="s">
        <v>94</v>
      </c>
      <c r="J73" s="47" t="s">
        <v>95</v>
      </c>
      <c r="K73" s="47" t="s">
        <v>96</v>
      </c>
      <c r="L73" s="48" t="s">
        <v>97</v>
      </c>
      <c r="M73" s="48" t="s">
        <v>98</v>
      </c>
      <c r="N73" s="47" t="s">
        <v>99</v>
      </c>
      <c r="O73" s="47">
        <v>53</v>
      </c>
      <c r="P73" s="47">
        <v>54</v>
      </c>
      <c r="Q73" s="47" t="s">
        <v>913</v>
      </c>
      <c r="R73" s="47" t="s">
        <v>100</v>
      </c>
      <c r="S73" s="47" t="s">
        <v>101</v>
      </c>
      <c r="T73" s="47" t="s">
        <v>57</v>
      </c>
      <c r="U73" s="47" t="s">
        <v>102</v>
      </c>
      <c r="V73" s="47" t="s">
        <v>103</v>
      </c>
      <c r="W73" s="47" t="s">
        <v>104</v>
      </c>
      <c r="X73" s="47" t="s">
        <v>105</v>
      </c>
      <c r="Y73" s="47" t="s">
        <v>106</v>
      </c>
      <c r="Z73" s="47" t="s">
        <v>107</v>
      </c>
      <c r="AA73" s="47" t="s">
        <v>108</v>
      </c>
      <c r="AB73" s="45" t="s">
        <v>109</v>
      </c>
      <c r="AC73" s="47" t="s">
        <v>110</v>
      </c>
      <c r="AD73" s="45">
        <v>120</v>
      </c>
      <c r="AE73" s="45">
        <v>121</v>
      </c>
      <c r="AF73" s="49" t="s">
        <v>111</v>
      </c>
    </row>
    <row r="74" spans="1:35" outlineLevel="1" x14ac:dyDescent="0.25">
      <c r="A74" s="615"/>
      <c r="B74" s="152">
        <v>1</v>
      </c>
      <c r="C74" s="45">
        <v>9</v>
      </c>
      <c r="D74" s="45">
        <v>1</v>
      </c>
      <c r="E74" s="50">
        <v>13</v>
      </c>
      <c r="F74" s="291">
        <v>2</v>
      </c>
      <c r="G74" s="45">
        <v>9</v>
      </c>
      <c r="H74" s="45">
        <v>1</v>
      </c>
      <c r="I74" s="45">
        <v>2</v>
      </c>
      <c r="J74" s="45">
        <v>2</v>
      </c>
      <c r="K74" s="45">
        <v>3</v>
      </c>
      <c r="L74" s="51">
        <v>6</v>
      </c>
      <c r="M74" s="51">
        <v>1</v>
      </c>
      <c r="N74" s="45">
        <v>2</v>
      </c>
      <c r="O74" s="45">
        <v>1</v>
      </c>
      <c r="P74" s="45">
        <v>1</v>
      </c>
      <c r="Q74" s="45">
        <v>9</v>
      </c>
      <c r="R74" s="45">
        <v>2</v>
      </c>
      <c r="S74" s="45">
        <v>2</v>
      </c>
      <c r="T74" s="45">
        <v>6</v>
      </c>
      <c r="U74" s="45">
        <v>5</v>
      </c>
      <c r="V74" s="45">
        <v>2</v>
      </c>
      <c r="W74" s="45">
        <v>6</v>
      </c>
      <c r="X74" s="45">
        <v>2</v>
      </c>
      <c r="Y74" s="45">
        <v>7</v>
      </c>
      <c r="Z74" s="45">
        <v>7</v>
      </c>
      <c r="AA74" s="45">
        <v>3</v>
      </c>
      <c r="AB74" s="45">
        <v>7</v>
      </c>
      <c r="AC74" s="45">
        <v>7</v>
      </c>
      <c r="AD74" s="45">
        <v>1</v>
      </c>
      <c r="AE74" s="45">
        <v>1</v>
      </c>
      <c r="AF74" s="49">
        <v>7</v>
      </c>
      <c r="AG74" s="2"/>
    </row>
    <row r="75" spans="1:35" outlineLevel="1" x14ac:dyDescent="0.25">
      <c r="A75" s="615"/>
      <c r="B75" s="152" t="s">
        <v>1</v>
      </c>
      <c r="C75" s="45" t="s">
        <v>1</v>
      </c>
      <c r="D75" s="45" t="s">
        <v>69</v>
      </c>
      <c r="E75" s="50" t="s">
        <v>69</v>
      </c>
      <c r="F75" s="291" t="s">
        <v>1</v>
      </c>
      <c r="G75" s="45" t="s">
        <v>1</v>
      </c>
      <c r="H75" s="45" t="s">
        <v>69</v>
      </c>
      <c r="I75" s="45" t="s">
        <v>1</v>
      </c>
      <c r="J75" s="45" t="s">
        <v>1</v>
      </c>
      <c r="K75" s="45" t="s">
        <v>1</v>
      </c>
      <c r="L75" s="52" t="s">
        <v>1</v>
      </c>
      <c r="M75" s="52" t="s">
        <v>1</v>
      </c>
      <c r="N75" s="45" t="s">
        <v>69</v>
      </c>
      <c r="O75" s="45" t="s">
        <v>69</v>
      </c>
      <c r="P75" s="53" t="s">
        <v>69</v>
      </c>
      <c r="Q75" s="45" t="s">
        <v>1</v>
      </c>
      <c r="R75" s="45" t="s">
        <v>1</v>
      </c>
      <c r="S75" s="45" t="s">
        <v>1</v>
      </c>
      <c r="T75" s="45" t="s">
        <v>1</v>
      </c>
      <c r="U75" s="45" t="s">
        <v>69</v>
      </c>
      <c r="V75" s="45" t="s">
        <v>1</v>
      </c>
      <c r="W75" s="45" t="s">
        <v>1</v>
      </c>
      <c r="X75" s="45" t="s">
        <v>1</v>
      </c>
      <c r="Y75" s="45" t="s">
        <v>1</v>
      </c>
      <c r="Z75" s="45" t="s">
        <v>1</v>
      </c>
      <c r="AA75" s="45" t="s">
        <v>1</v>
      </c>
      <c r="AB75" s="45" t="s">
        <v>1</v>
      </c>
      <c r="AC75" s="45" t="s">
        <v>1</v>
      </c>
      <c r="AD75" s="45" t="s">
        <v>69</v>
      </c>
      <c r="AE75" s="45" t="s">
        <v>1</v>
      </c>
      <c r="AF75" s="49" t="s">
        <v>1</v>
      </c>
    </row>
    <row r="76" spans="1:35" outlineLevel="1" x14ac:dyDescent="0.25">
      <c r="A76" s="615"/>
      <c r="B76" s="152" t="s">
        <v>0</v>
      </c>
      <c r="C76" s="45" t="s">
        <v>0</v>
      </c>
      <c r="D76" s="45" t="s">
        <v>4</v>
      </c>
      <c r="E76" s="50" t="s">
        <v>0</v>
      </c>
      <c r="F76" s="291" t="s">
        <v>0</v>
      </c>
      <c r="G76" s="45" t="s">
        <v>0</v>
      </c>
      <c r="H76" s="45" t="s">
        <v>4</v>
      </c>
      <c r="I76" s="45" t="s">
        <v>4</v>
      </c>
      <c r="J76" s="45" t="s">
        <v>4</v>
      </c>
      <c r="K76" s="45" t="s">
        <v>4</v>
      </c>
      <c r="L76" s="52" t="s">
        <v>4</v>
      </c>
      <c r="M76" s="52" t="s">
        <v>0</v>
      </c>
      <c r="N76" s="45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5" t="s">
        <v>112</v>
      </c>
      <c r="T76" s="45" t="s">
        <v>0</v>
      </c>
      <c r="U76" s="45" t="s">
        <v>0</v>
      </c>
      <c r="V76" s="45" t="s">
        <v>0</v>
      </c>
      <c r="W76" s="45" t="s">
        <v>0</v>
      </c>
      <c r="X76" s="45" t="s">
        <v>0</v>
      </c>
      <c r="Y76" s="45" t="s">
        <v>0</v>
      </c>
      <c r="Z76" s="45" t="s">
        <v>0</v>
      </c>
      <c r="AA76" s="45" t="s">
        <v>0</v>
      </c>
      <c r="AB76" s="45" t="s">
        <v>0</v>
      </c>
      <c r="AC76" s="45" t="s">
        <v>0</v>
      </c>
      <c r="AD76" s="45" t="s">
        <v>4</v>
      </c>
      <c r="AE76" s="45" t="s">
        <v>4</v>
      </c>
      <c r="AF76" s="49" t="s">
        <v>4</v>
      </c>
    </row>
    <row r="77" spans="1:35" ht="30" customHeight="1" thickBot="1" x14ac:dyDescent="0.3">
      <c r="A77" s="616"/>
      <c r="B77" s="149" t="s">
        <v>10</v>
      </c>
      <c r="C77" s="54" t="s">
        <v>544</v>
      </c>
      <c r="D77" s="55" t="s">
        <v>8</v>
      </c>
      <c r="E77" s="54" t="s">
        <v>198</v>
      </c>
      <c r="F77" s="288">
        <v>77</v>
      </c>
      <c r="G77" s="54">
        <v>250000001</v>
      </c>
      <c r="H77" s="193" t="s">
        <v>8</v>
      </c>
      <c r="I77" s="193" t="s">
        <v>5</v>
      </c>
      <c r="J77" s="55" t="s">
        <v>5</v>
      </c>
      <c r="K77" s="55" t="s">
        <v>6</v>
      </c>
      <c r="L77" s="55" t="s">
        <v>208</v>
      </c>
      <c r="M77" s="193" t="s">
        <v>397</v>
      </c>
      <c r="N77" s="55" t="s">
        <v>210</v>
      </c>
      <c r="O77" s="55" t="s">
        <v>8</v>
      </c>
      <c r="P77" s="55" t="s">
        <v>8</v>
      </c>
      <c r="Q77" s="54" t="s">
        <v>544</v>
      </c>
      <c r="R77" s="55" t="s">
        <v>5</v>
      </c>
      <c r="S77" s="55" t="s">
        <v>5</v>
      </c>
      <c r="T77" s="33" t="s">
        <v>581</v>
      </c>
      <c r="U77" s="228" t="s">
        <v>247</v>
      </c>
      <c r="V77" s="55" t="s">
        <v>202</v>
      </c>
      <c r="W77" s="54" t="s">
        <v>590</v>
      </c>
      <c r="X77" s="33" t="s">
        <v>202</v>
      </c>
      <c r="Y77" s="54" t="s">
        <v>692</v>
      </c>
      <c r="Z77" s="96" t="s">
        <v>692</v>
      </c>
      <c r="AA77" s="54" t="s">
        <v>592</v>
      </c>
      <c r="AB77" s="54" t="s">
        <v>693</v>
      </c>
      <c r="AC77" s="54" t="s">
        <v>692</v>
      </c>
      <c r="AD77" s="55" t="s">
        <v>8</v>
      </c>
      <c r="AE77" s="193" t="s">
        <v>200</v>
      </c>
      <c r="AF77" s="82" t="s">
        <v>212</v>
      </c>
      <c r="AG77" s="188" t="s">
        <v>589</v>
      </c>
      <c r="AH77" s="76"/>
      <c r="AI77" s="76"/>
    </row>
    <row r="78" spans="1:35" s="75" customFormat="1" ht="15.75" thickBot="1" x14ac:dyDescent="0.3"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 t="s">
        <v>586</v>
      </c>
      <c r="U78" s="75" t="s">
        <v>586</v>
      </c>
      <c r="V78" s="75" t="s">
        <v>586</v>
      </c>
      <c r="W78" s="75" t="s">
        <v>586</v>
      </c>
      <c r="X78" s="75" t="s">
        <v>586</v>
      </c>
      <c r="Y78" s="75" t="s">
        <v>586</v>
      </c>
      <c r="Z78" s="75" t="s">
        <v>586</v>
      </c>
      <c r="AA78" s="75" t="s">
        <v>586</v>
      </c>
      <c r="AB78" s="75" t="s">
        <v>586</v>
      </c>
      <c r="AC78" s="75" t="s">
        <v>586</v>
      </c>
      <c r="AD78" s="75" t="s">
        <v>586</v>
      </c>
      <c r="AE78" s="75" t="s">
        <v>586</v>
      </c>
      <c r="AF78" s="75" t="s">
        <v>586</v>
      </c>
    </row>
    <row r="79" spans="1:35" ht="100.15" customHeight="1" x14ac:dyDescent="0.25">
      <c r="A79" s="620" t="s">
        <v>916</v>
      </c>
      <c r="B79" s="151" t="s">
        <v>13</v>
      </c>
      <c r="C79" s="40" t="s">
        <v>14</v>
      </c>
      <c r="D79" s="40" t="s">
        <v>15</v>
      </c>
      <c r="E79" s="41" t="s">
        <v>16</v>
      </c>
      <c r="F79" s="289" t="s">
        <v>17</v>
      </c>
      <c r="G79" s="40" t="s">
        <v>70</v>
      </c>
      <c r="H79" s="40" t="s">
        <v>71</v>
      </c>
      <c r="I79" s="40" t="s">
        <v>72</v>
      </c>
      <c r="J79" s="40" t="s">
        <v>2</v>
      </c>
      <c r="K79" s="40" t="s">
        <v>73</v>
      </c>
      <c r="L79" s="42" t="s">
        <v>74</v>
      </c>
      <c r="M79" s="42" t="s">
        <v>75</v>
      </c>
      <c r="N79" s="40" t="s">
        <v>76</v>
      </c>
      <c r="O79" s="40" t="s">
        <v>77</v>
      </c>
      <c r="P79" s="40" t="s">
        <v>78</v>
      </c>
      <c r="Q79" s="40" t="s">
        <v>79</v>
      </c>
      <c r="R79" s="40" t="s">
        <v>80</v>
      </c>
      <c r="S79" s="40" t="s">
        <v>81</v>
      </c>
      <c r="T79" s="40" t="s">
        <v>82</v>
      </c>
      <c r="U79" s="40" t="s">
        <v>83</v>
      </c>
      <c r="V79" s="40" t="s">
        <v>84</v>
      </c>
      <c r="W79" s="40" t="s">
        <v>3</v>
      </c>
      <c r="X79" s="40" t="s">
        <v>85</v>
      </c>
      <c r="Y79" s="40" t="s">
        <v>86</v>
      </c>
      <c r="Z79" s="40" t="s">
        <v>87</v>
      </c>
      <c r="AA79" s="40" t="s">
        <v>88</v>
      </c>
      <c r="AB79" s="40" t="s">
        <v>89</v>
      </c>
      <c r="AC79" s="40" t="s">
        <v>90</v>
      </c>
      <c r="AD79" s="40" t="s">
        <v>91</v>
      </c>
      <c r="AE79" s="40" t="s">
        <v>92</v>
      </c>
      <c r="AF79" s="43" t="s">
        <v>93</v>
      </c>
    </row>
    <row r="80" spans="1:35" ht="19.899999999999999" customHeight="1" x14ac:dyDescent="0.25">
      <c r="A80" s="615"/>
      <c r="B80" s="152">
        <v>1</v>
      </c>
      <c r="C80" s="44" t="s">
        <v>47</v>
      </c>
      <c r="D80" s="45">
        <v>11</v>
      </c>
      <c r="E80" s="46" t="s">
        <v>48</v>
      </c>
      <c r="F80" s="290" t="s">
        <v>49</v>
      </c>
      <c r="G80" s="47" t="s">
        <v>50</v>
      </c>
      <c r="H80" s="47">
        <v>36</v>
      </c>
      <c r="I80" s="47" t="s">
        <v>94</v>
      </c>
      <c r="J80" s="47" t="s">
        <v>95</v>
      </c>
      <c r="K80" s="47" t="s">
        <v>96</v>
      </c>
      <c r="L80" s="48" t="s">
        <v>97</v>
      </c>
      <c r="M80" s="48" t="s">
        <v>98</v>
      </c>
      <c r="N80" s="47" t="s">
        <v>99</v>
      </c>
      <c r="O80" s="47">
        <v>53</v>
      </c>
      <c r="P80" s="47">
        <v>54</v>
      </c>
      <c r="Q80" s="47" t="s">
        <v>913</v>
      </c>
      <c r="R80" s="47" t="s">
        <v>100</v>
      </c>
      <c r="S80" s="47" t="s">
        <v>101</v>
      </c>
      <c r="T80" s="47" t="s">
        <v>57</v>
      </c>
      <c r="U80" s="47" t="s">
        <v>102</v>
      </c>
      <c r="V80" s="47" t="s">
        <v>103</v>
      </c>
      <c r="W80" s="47" t="s">
        <v>104</v>
      </c>
      <c r="X80" s="47" t="s">
        <v>105</v>
      </c>
      <c r="Y80" s="47" t="s">
        <v>106</v>
      </c>
      <c r="Z80" s="47" t="s">
        <v>107</v>
      </c>
      <c r="AA80" s="47" t="s">
        <v>108</v>
      </c>
      <c r="AB80" s="45" t="s">
        <v>109</v>
      </c>
      <c r="AC80" s="47" t="s">
        <v>110</v>
      </c>
      <c r="AD80" s="45">
        <v>120</v>
      </c>
      <c r="AE80" s="45">
        <v>121</v>
      </c>
      <c r="AF80" s="49" t="s">
        <v>111</v>
      </c>
    </row>
    <row r="81" spans="1:35" outlineLevel="1" x14ac:dyDescent="0.25">
      <c r="A81" s="615"/>
      <c r="B81" s="152">
        <v>1</v>
      </c>
      <c r="C81" s="45">
        <v>9</v>
      </c>
      <c r="D81" s="45">
        <v>1</v>
      </c>
      <c r="E81" s="50">
        <v>13</v>
      </c>
      <c r="F81" s="291">
        <v>2</v>
      </c>
      <c r="G81" s="45">
        <v>9</v>
      </c>
      <c r="H81" s="45">
        <v>1</v>
      </c>
      <c r="I81" s="45">
        <v>2</v>
      </c>
      <c r="J81" s="45">
        <v>2</v>
      </c>
      <c r="K81" s="45">
        <v>3</v>
      </c>
      <c r="L81" s="51">
        <v>6</v>
      </c>
      <c r="M81" s="51">
        <v>1</v>
      </c>
      <c r="N81" s="45">
        <v>2</v>
      </c>
      <c r="O81" s="45">
        <v>1</v>
      </c>
      <c r="P81" s="45">
        <v>1</v>
      </c>
      <c r="Q81" s="45">
        <v>9</v>
      </c>
      <c r="R81" s="45">
        <v>2</v>
      </c>
      <c r="S81" s="45">
        <v>2</v>
      </c>
      <c r="T81" s="45">
        <v>6</v>
      </c>
      <c r="U81" s="45">
        <v>5</v>
      </c>
      <c r="V81" s="45">
        <v>2</v>
      </c>
      <c r="W81" s="45">
        <v>6</v>
      </c>
      <c r="X81" s="45">
        <v>2</v>
      </c>
      <c r="Y81" s="45">
        <v>7</v>
      </c>
      <c r="Z81" s="45">
        <v>7</v>
      </c>
      <c r="AA81" s="45">
        <v>3</v>
      </c>
      <c r="AB81" s="45">
        <v>7</v>
      </c>
      <c r="AC81" s="45">
        <v>7</v>
      </c>
      <c r="AD81" s="45">
        <v>1</v>
      </c>
      <c r="AE81" s="45">
        <v>1</v>
      </c>
      <c r="AF81" s="49">
        <v>7</v>
      </c>
      <c r="AG81" s="2"/>
    </row>
    <row r="82" spans="1:35" outlineLevel="1" x14ac:dyDescent="0.25">
      <c r="A82" s="615"/>
      <c r="B82" s="152" t="s">
        <v>1</v>
      </c>
      <c r="C82" s="45" t="s">
        <v>1</v>
      </c>
      <c r="D82" s="45" t="s">
        <v>69</v>
      </c>
      <c r="E82" s="50" t="s">
        <v>69</v>
      </c>
      <c r="F82" s="291" t="s">
        <v>1</v>
      </c>
      <c r="G82" s="45" t="s">
        <v>1</v>
      </c>
      <c r="H82" s="45" t="s">
        <v>69</v>
      </c>
      <c r="I82" s="45" t="s">
        <v>1</v>
      </c>
      <c r="J82" s="45" t="s">
        <v>1</v>
      </c>
      <c r="K82" s="45" t="s">
        <v>1</v>
      </c>
      <c r="L82" s="52" t="s">
        <v>1</v>
      </c>
      <c r="M82" s="52" t="s">
        <v>1</v>
      </c>
      <c r="N82" s="45" t="s">
        <v>69</v>
      </c>
      <c r="O82" s="45" t="s">
        <v>69</v>
      </c>
      <c r="P82" s="53" t="s">
        <v>69</v>
      </c>
      <c r="Q82" s="45" t="s">
        <v>1</v>
      </c>
      <c r="R82" s="45" t="s">
        <v>1</v>
      </c>
      <c r="S82" s="45" t="s">
        <v>1</v>
      </c>
      <c r="T82" s="45" t="s">
        <v>1</v>
      </c>
      <c r="U82" s="45" t="s">
        <v>69</v>
      </c>
      <c r="V82" s="45" t="s">
        <v>1</v>
      </c>
      <c r="W82" s="45" t="s">
        <v>1</v>
      </c>
      <c r="X82" s="45" t="s">
        <v>1</v>
      </c>
      <c r="Y82" s="45" t="s">
        <v>1</v>
      </c>
      <c r="Z82" s="45" t="s">
        <v>1</v>
      </c>
      <c r="AA82" s="45" t="s">
        <v>1</v>
      </c>
      <c r="AB82" s="45" t="s">
        <v>1</v>
      </c>
      <c r="AC82" s="45" t="s">
        <v>1</v>
      </c>
      <c r="AD82" s="45" t="s">
        <v>69</v>
      </c>
      <c r="AE82" s="45" t="s">
        <v>1</v>
      </c>
      <c r="AF82" s="49" t="s">
        <v>1</v>
      </c>
    </row>
    <row r="83" spans="1:35" outlineLevel="1" x14ac:dyDescent="0.25">
      <c r="A83" s="615"/>
      <c r="B83" s="152" t="s">
        <v>0</v>
      </c>
      <c r="C83" s="45" t="s">
        <v>0</v>
      </c>
      <c r="D83" s="45" t="s">
        <v>4</v>
      </c>
      <c r="E83" s="50" t="s">
        <v>0</v>
      </c>
      <c r="F83" s="291" t="s">
        <v>0</v>
      </c>
      <c r="G83" s="45" t="s">
        <v>0</v>
      </c>
      <c r="H83" s="45" t="s">
        <v>4</v>
      </c>
      <c r="I83" s="45" t="s">
        <v>4</v>
      </c>
      <c r="J83" s="45" t="s">
        <v>4</v>
      </c>
      <c r="K83" s="45" t="s">
        <v>4</v>
      </c>
      <c r="L83" s="52" t="s">
        <v>4</v>
      </c>
      <c r="M83" s="52" t="s">
        <v>0</v>
      </c>
      <c r="N83" s="45" t="s">
        <v>4</v>
      </c>
      <c r="O83" s="45" t="s">
        <v>4</v>
      </c>
      <c r="P83" s="45" t="s">
        <v>4</v>
      </c>
      <c r="Q83" s="45" t="s">
        <v>4</v>
      </c>
      <c r="R83" s="45" t="s">
        <v>4</v>
      </c>
      <c r="S83" s="45" t="s">
        <v>112</v>
      </c>
      <c r="T83" s="45" t="s">
        <v>0</v>
      </c>
      <c r="U83" s="45" t="s">
        <v>0</v>
      </c>
      <c r="V83" s="45" t="s">
        <v>0</v>
      </c>
      <c r="W83" s="45" t="s">
        <v>0</v>
      </c>
      <c r="X83" s="45" t="s">
        <v>0</v>
      </c>
      <c r="Y83" s="45" t="s">
        <v>0</v>
      </c>
      <c r="Z83" s="45" t="s">
        <v>0</v>
      </c>
      <c r="AA83" s="45" t="s">
        <v>0</v>
      </c>
      <c r="AB83" s="45" t="s">
        <v>0</v>
      </c>
      <c r="AC83" s="45" t="s">
        <v>0</v>
      </c>
      <c r="AD83" s="45" t="s">
        <v>4</v>
      </c>
      <c r="AE83" s="45" t="s">
        <v>4</v>
      </c>
      <c r="AF83" s="49" t="s">
        <v>4</v>
      </c>
    </row>
    <row r="84" spans="1:35" ht="30" customHeight="1" thickBot="1" x14ac:dyDescent="0.3">
      <c r="A84" s="616"/>
      <c r="B84" s="149" t="s">
        <v>10</v>
      </c>
      <c r="C84" s="54" t="s">
        <v>544</v>
      </c>
      <c r="D84" s="55" t="s">
        <v>8</v>
      </c>
      <c r="E84" s="54" t="s">
        <v>198</v>
      </c>
      <c r="F84" s="288">
        <v>77</v>
      </c>
      <c r="G84" s="54">
        <v>250000001</v>
      </c>
      <c r="H84" s="193" t="s">
        <v>8</v>
      </c>
      <c r="I84" s="193" t="s">
        <v>5</v>
      </c>
      <c r="J84" s="55" t="s">
        <v>5</v>
      </c>
      <c r="K84" s="55" t="s">
        <v>6</v>
      </c>
      <c r="L84" s="55" t="s">
        <v>208</v>
      </c>
      <c r="M84" s="193" t="s">
        <v>397</v>
      </c>
      <c r="N84" s="55" t="s">
        <v>210</v>
      </c>
      <c r="O84" s="55" t="s">
        <v>8</v>
      </c>
      <c r="P84" s="55" t="s">
        <v>8</v>
      </c>
      <c r="Q84" s="54" t="s">
        <v>544</v>
      </c>
      <c r="R84" s="55" t="s">
        <v>5</v>
      </c>
      <c r="S84" s="55" t="s">
        <v>5</v>
      </c>
      <c r="T84" s="33" t="s">
        <v>581</v>
      </c>
      <c r="U84" s="228" t="s">
        <v>279</v>
      </c>
      <c r="V84" s="33" t="s">
        <v>202</v>
      </c>
      <c r="W84" s="54" t="s">
        <v>590</v>
      </c>
      <c r="X84" s="33" t="s">
        <v>202</v>
      </c>
      <c r="Y84" s="54" t="s">
        <v>594</v>
      </c>
      <c r="Z84" s="96" t="s">
        <v>594</v>
      </c>
      <c r="AA84" s="54" t="s">
        <v>592</v>
      </c>
      <c r="AB84" s="54" t="s">
        <v>667</v>
      </c>
      <c r="AC84" s="54" t="s">
        <v>594</v>
      </c>
      <c r="AD84" s="55" t="s">
        <v>8</v>
      </c>
      <c r="AE84" s="193" t="s">
        <v>200</v>
      </c>
      <c r="AF84" s="82" t="s">
        <v>212</v>
      </c>
      <c r="AG84" s="188" t="s">
        <v>589</v>
      </c>
      <c r="AH84" s="76"/>
      <c r="AI84" s="76"/>
    </row>
    <row r="85" spans="1:35" s="75" customFormat="1" ht="15.75" thickBot="1" x14ac:dyDescent="0.3">
      <c r="B85" s="150" t="s">
        <v>586</v>
      </c>
      <c r="C85" s="75" t="s">
        <v>586</v>
      </c>
      <c r="D85" s="75" t="s">
        <v>586</v>
      </c>
      <c r="E85" s="75" t="s">
        <v>586</v>
      </c>
      <c r="F85" s="276" t="s">
        <v>586</v>
      </c>
      <c r="G85" s="75" t="s">
        <v>586</v>
      </c>
      <c r="H85" s="75" t="s">
        <v>586</v>
      </c>
      <c r="I85" s="75" t="s">
        <v>586</v>
      </c>
      <c r="J85" s="75" t="s">
        <v>586</v>
      </c>
      <c r="K85" s="75" t="s">
        <v>586</v>
      </c>
      <c r="L85" s="75" t="s">
        <v>586</v>
      </c>
      <c r="M85" s="75" t="s">
        <v>586</v>
      </c>
      <c r="N85" s="75" t="s">
        <v>586</v>
      </c>
      <c r="O85" s="75" t="s">
        <v>586</v>
      </c>
      <c r="P85" s="75" t="s">
        <v>586</v>
      </c>
      <c r="Q85" s="75" t="s">
        <v>586</v>
      </c>
      <c r="R85" s="75" t="s">
        <v>586</v>
      </c>
      <c r="S85" s="75" t="s">
        <v>586</v>
      </c>
      <c r="T85" s="75" t="s">
        <v>586</v>
      </c>
      <c r="U85" s="75" t="s">
        <v>586</v>
      </c>
      <c r="V85" s="75" t="s">
        <v>586</v>
      </c>
      <c r="W85" s="75" t="s">
        <v>586</v>
      </c>
      <c r="X85" s="75" t="s">
        <v>586</v>
      </c>
      <c r="Y85" s="75" t="s">
        <v>586</v>
      </c>
      <c r="Z85" s="75" t="s">
        <v>586</v>
      </c>
      <c r="AA85" s="75" t="s">
        <v>586</v>
      </c>
      <c r="AB85" s="75" t="s">
        <v>586</v>
      </c>
      <c r="AC85" s="75" t="s">
        <v>586</v>
      </c>
      <c r="AD85" s="75" t="s">
        <v>586</v>
      </c>
      <c r="AE85" s="75" t="s">
        <v>586</v>
      </c>
      <c r="AF85" s="75" t="s">
        <v>586</v>
      </c>
    </row>
    <row r="86" spans="1:35" ht="100.15" customHeight="1" x14ac:dyDescent="0.25">
      <c r="A86" s="620" t="s">
        <v>922</v>
      </c>
      <c r="B86" s="151" t="s">
        <v>13</v>
      </c>
      <c r="C86" s="40" t="s">
        <v>14</v>
      </c>
      <c r="D86" s="40" t="s">
        <v>15</v>
      </c>
      <c r="E86" s="41" t="s">
        <v>16</v>
      </c>
      <c r="F86" s="289" t="s">
        <v>17</v>
      </c>
      <c r="G86" s="40" t="s">
        <v>70</v>
      </c>
      <c r="H86" s="40" t="s">
        <v>71</v>
      </c>
      <c r="I86" s="40" t="s">
        <v>72</v>
      </c>
      <c r="J86" s="40" t="s">
        <v>2</v>
      </c>
      <c r="K86" s="40" t="s">
        <v>73</v>
      </c>
      <c r="L86" s="42" t="s">
        <v>74</v>
      </c>
      <c r="M86" s="42" t="s">
        <v>75</v>
      </c>
      <c r="N86" s="40" t="s">
        <v>76</v>
      </c>
      <c r="O86" s="40" t="s">
        <v>77</v>
      </c>
      <c r="P86" s="40" t="s">
        <v>78</v>
      </c>
      <c r="Q86" s="40" t="s">
        <v>79</v>
      </c>
      <c r="R86" s="40" t="s">
        <v>80</v>
      </c>
      <c r="S86" s="40" t="s">
        <v>81</v>
      </c>
      <c r="T86" s="40" t="s">
        <v>82</v>
      </c>
      <c r="U86" s="40" t="s">
        <v>83</v>
      </c>
      <c r="V86" s="40" t="s">
        <v>84</v>
      </c>
      <c r="W86" s="40" t="s">
        <v>3</v>
      </c>
      <c r="X86" s="40" t="s">
        <v>85</v>
      </c>
      <c r="Y86" s="40" t="s">
        <v>86</v>
      </c>
      <c r="Z86" s="40" t="s">
        <v>87</v>
      </c>
      <c r="AA86" s="40" t="s">
        <v>88</v>
      </c>
      <c r="AB86" s="40" t="s">
        <v>89</v>
      </c>
      <c r="AC86" s="40" t="s">
        <v>90</v>
      </c>
      <c r="AD86" s="40" t="s">
        <v>91</v>
      </c>
      <c r="AE86" s="40" t="s">
        <v>92</v>
      </c>
      <c r="AF86" s="43" t="s">
        <v>93</v>
      </c>
      <c r="AG86" s="2"/>
    </row>
    <row r="87" spans="1:35" ht="19.899999999999999" customHeight="1" x14ac:dyDescent="0.25">
      <c r="A87" s="615"/>
      <c r="B87" s="152">
        <v>1</v>
      </c>
      <c r="C87" s="44" t="s">
        <v>47</v>
      </c>
      <c r="D87" s="45">
        <v>11</v>
      </c>
      <c r="E87" s="46" t="s">
        <v>48</v>
      </c>
      <c r="F87" s="290" t="s">
        <v>49</v>
      </c>
      <c r="G87" s="47" t="s">
        <v>50</v>
      </c>
      <c r="H87" s="47">
        <v>36</v>
      </c>
      <c r="I87" s="47" t="s">
        <v>94</v>
      </c>
      <c r="J87" s="47" t="s">
        <v>95</v>
      </c>
      <c r="K87" s="47" t="s">
        <v>96</v>
      </c>
      <c r="L87" s="48" t="s">
        <v>97</v>
      </c>
      <c r="M87" s="48" t="s">
        <v>98</v>
      </c>
      <c r="N87" s="47" t="s">
        <v>99</v>
      </c>
      <c r="O87" s="47">
        <v>53</v>
      </c>
      <c r="P87" s="47">
        <v>54</v>
      </c>
      <c r="Q87" s="47" t="s">
        <v>913</v>
      </c>
      <c r="R87" s="47" t="s">
        <v>100</v>
      </c>
      <c r="S87" s="47" t="s">
        <v>101</v>
      </c>
      <c r="T87" s="47" t="s">
        <v>57</v>
      </c>
      <c r="U87" s="47" t="s">
        <v>102</v>
      </c>
      <c r="V87" s="47" t="s">
        <v>103</v>
      </c>
      <c r="W87" s="47" t="s">
        <v>104</v>
      </c>
      <c r="X87" s="47" t="s">
        <v>105</v>
      </c>
      <c r="Y87" s="47" t="s">
        <v>106</v>
      </c>
      <c r="Z87" s="47" t="s">
        <v>107</v>
      </c>
      <c r="AA87" s="47" t="s">
        <v>108</v>
      </c>
      <c r="AB87" s="45" t="s">
        <v>109</v>
      </c>
      <c r="AC87" s="47" t="s">
        <v>110</v>
      </c>
      <c r="AD87" s="45">
        <v>120</v>
      </c>
      <c r="AE87" s="45">
        <v>121</v>
      </c>
      <c r="AF87" s="49" t="s">
        <v>111</v>
      </c>
    </row>
    <row r="88" spans="1:35" outlineLevel="1" x14ac:dyDescent="0.25">
      <c r="A88" s="615"/>
      <c r="B88" s="152">
        <v>1</v>
      </c>
      <c r="C88" s="45">
        <v>9</v>
      </c>
      <c r="D88" s="45">
        <v>1</v>
      </c>
      <c r="E88" s="50">
        <v>13</v>
      </c>
      <c r="F88" s="291">
        <v>2</v>
      </c>
      <c r="G88" s="45">
        <v>9</v>
      </c>
      <c r="H88" s="45">
        <v>1</v>
      </c>
      <c r="I88" s="45">
        <v>2</v>
      </c>
      <c r="J88" s="45">
        <v>2</v>
      </c>
      <c r="K88" s="45">
        <v>3</v>
      </c>
      <c r="L88" s="51">
        <v>6</v>
      </c>
      <c r="M88" s="51">
        <v>1</v>
      </c>
      <c r="N88" s="45">
        <v>2</v>
      </c>
      <c r="O88" s="45">
        <v>1</v>
      </c>
      <c r="P88" s="45">
        <v>1</v>
      </c>
      <c r="Q88" s="45">
        <v>9</v>
      </c>
      <c r="R88" s="45">
        <v>2</v>
      </c>
      <c r="S88" s="45">
        <v>2</v>
      </c>
      <c r="T88" s="45">
        <v>6</v>
      </c>
      <c r="U88" s="45">
        <v>5</v>
      </c>
      <c r="V88" s="45">
        <v>2</v>
      </c>
      <c r="W88" s="45">
        <v>6</v>
      </c>
      <c r="X88" s="45">
        <v>2</v>
      </c>
      <c r="Y88" s="45">
        <v>7</v>
      </c>
      <c r="Z88" s="45">
        <v>7</v>
      </c>
      <c r="AA88" s="45">
        <v>3</v>
      </c>
      <c r="AB88" s="45">
        <v>7</v>
      </c>
      <c r="AC88" s="45">
        <v>7</v>
      </c>
      <c r="AD88" s="45">
        <v>1</v>
      </c>
      <c r="AE88" s="45">
        <v>1</v>
      </c>
      <c r="AF88" s="49">
        <v>7</v>
      </c>
    </row>
    <row r="89" spans="1:35" outlineLevel="1" x14ac:dyDescent="0.25">
      <c r="A89" s="615"/>
      <c r="B89" s="152" t="s">
        <v>1</v>
      </c>
      <c r="C89" s="45" t="s">
        <v>1</v>
      </c>
      <c r="D89" s="45" t="s">
        <v>69</v>
      </c>
      <c r="E89" s="50" t="s">
        <v>69</v>
      </c>
      <c r="F89" s="291" t="s">
        <v>1</v>
      </c>
      <c r="G89" s="45" t="s">
        <v>1</v>
      </c>
      <c r="H89" s="45" t="s">
        <v>69</v>
      </c>
      <c r="I89" s="45" t="s">
        <v>1</v>
      </c>
      <c r="J89" s="45" t="s">
        <v>1</v>
      </c>
      <c r="K89" s="45" t="s">
        <v>1</v>
      </c>
      <c r="L89" s="52" t="s">
        <v>1</v>
      </c>
      <c r="M89" s="52" t="s">
        <v>1</v>
      </c>
      <c r="N89" s="45" t="s">
        <v>69</v>
      </c>
      <c r="O89" s="45" t="s">
        <v>69</v>
      </c>
      <c r="P89" s="53" t="s">
        <v>69</v>
      </c>
      <c r="Q89" s="45" t="s">
        <v>1</v>
      </c>
      <c r="R89" s="45" t="s">
        <v>1</v>
      </c>
      <c r="S89" s="45" t="s">
        <v>1</v>
      </c>
      <c r="T89" s="45" t="s">
        <v>1</v>
      </c>
      <c r="U89" s="45" t="s">
        <v>69</v>
      </c>
      <c r="V89" s="45" t="s">
        <v>1</v>
      </c>
      <c r="W89" s="45" t="s">
        <v>1</v>
      </c>
      <c r="X89" s="45" t="s">
        <v>1</v>
      </c>
      <c r="Y89" s="45" t="s">
        <v>1</v>
      </c>
      <c r="Z89" s="45" t="s">
        <v>1</v>
      </c>
      <c r="AA89" s="45" t="s">
        <v>1</v>
      </c>
      <c r="AB89" s="45" t="s">
        <v>1</v>
      </c>
      <c r="AC89" s="45" t="s">
        <v>1</v>
      </c>
      <c r="AD89" s="45" t="s">
        <v>69</v>
      </c>
      <c r="AE89" s="45" t="s">
        <v>1</v>
      </c>
      <c r="AF89" s="49" t="s">
        <v>1</v>
      </c>
    </row>
    <row r="90" spans="1:35" outlineLevel="1" x14ac:dyDescent="0.25">
      <c r="A90" s="615"/>
      <c r="B90" s="152" t="s">
        <v>0</v>
      </c>
      <c r="C90" s="45" t="s">
        <v>0</v>
      </c>
      <c r="D90" s="45" t="s">
        <v>4</v>
      </c>
      <c r="E90" s="50" t="s">
        <v>0</v>
      </c>
      <c r="F90" s="291" t="s">
        <v>0</v>
      </c>
      <c r="G90" s="45" t="s">
        <v>0</v>
      </c>
      <c r="H90" s="45" t="s">
        <v>4</v>
      </c>
      <c r="I90" s="45" t="s">
        <v>4</v>
      </c>
      <c r="J90" s="45" t="s">
        <v>4</v>
      </c>
      <c r="K90" s="45" t="s">
        <v>4</v>
      </c>
      <c r="L90" s="52" t="s">
        <v>4</v>
      </c>
      <c r="M90" s="52" t="s">
        <v>0</v>
      </c>
      <c r="N90" s="45" t="s">
        <v>4</v>
      </c>
      <c r="O90" s="45" t="s">
        <v>4</v>
      </c>
      <c r="P90" s="45" t="s">
        <v>4</v>
      </c>
      <c r="Q90" s="45" t="s">
        <v>4</v>
      </c>
      <c r="R90" s="45" t="s">
        <v>4</v>
      </c>
      <c r="S90" s="45" t="s">
        <v>112</v>
      </c>
      <c r="T90" s="45" t="s">
        <v>0</v>
      </c>
      <c r="U90" s="45" t="s">
        <v>0</v>
      </c>
      <c r="V90" s="45" t="s">
        <v>0</v>
      </c>
      <c r="W90" s="45" t="s">
        <v>0</v>
      </c>
      <c r="X90" s="45" t="s">
        <v>0</v>
      </c>
      <c r="Y90" s="45" t="s">
        <v>0</v>
      </c>
      <c r="Z90" s="45" t="s">
        <v>0</v>
      </c>
      <c r="AA90" s="45" t="s">
        <v>0</v>
      </c>
      <c r="AB90" s="45" t="s">
        <v>0</v>
      </c>
      <c r="AC90" s="45" t="s">
        <v>0</v>
      </c>
      <c r="AD90" s="45" t="s">
        <v>4</v>
      </c>
      <c r="AE90" s="45" t="s">
        <v>4</v>
      </c>
      <c r="AF90" s="49" t="s">
        <v>4</v>
      </c>
    </row>
    <row r="91" spans="1:35" ht="30" customHeight="1" thickBot="1" x14ac:dyDescent="0.3">
      <c r="A91" s="616"/>
      <c r="B91" s="149" t="s">
        <v>10</v>
      </c>
      <c r="C91" s="54" t="s">
        <v>544</v>
      </c>
      <c r="D91" s="55" t="s">
        <v>8</v>
      </c>
      <c r="E91" s="54" t="s">
        <v>198</v>
      </c>
      <c r="F91" s="288">
        <v>77</v>
      </c>
      <c r="G91" s="54">
        <v>250000001</v>
      </c>
      <c r="H91" s="193" t="s">
        <v>8</v>
      </c>
      <c r="I91" s="193" t="s">
        <v>5</v>
      </c>
      <c r="J91" s="55" t="s">
        <v>5</v>
      </c>
      <c r="K91" s="55" t="s">
        <v>6</v>
      </c>
      <c r="L91" s="55" t="s">
        <v>208</v>
      </c>
      <c r="M91" s="193" t="s">
        <v>397</v>
      </c>
      <c r="N91" s="55" t="s">
        <v>210</v>
      </c>
      <c r="O91" s="55" t="s">
        <v>8</v>
      </c>
      <c r="P91" s="55" t="s">
        <v>8</v>
      </c>
      <c r="Q91" s="54" t="s">
        <v>544</v>
      </c>
      <c r="R91" s="55" t="s">
        <v>5</v>
      </c>
      <c r="S91" s="55" t="s">
        <v>5</v>
      </c>
      <c r="T91" s="33" t="s">
        <v>581</v>
      </c>
      <c r="U91" s="228" t="s">
        <v>239</v>
      </c>
      <c r="V91" s="33" t="s">
        <v>202</v>
      </c>
      <c r="W91" s="54" t="s">
        <v>590</v>
      </c>
      <c r="X91" s="33" t="s">
        <v>202</v>
      </c>
      <c r="Y91" s="54" t="s">
        <v>595</v>
      </c>
      <c r="Z91" s="96" t="s">
        <v>595</v>
      </c>
      <c r="AA91" s="54" t="s">
        <v>6</v>
      </c>
      <c r="AB91" s="54" t="s">
        <v>212</v>
      </c>
      <c r="AC91" s="54" t="s">
        <v>212</v>
      </c>
      <c r="AD91" s="193" t="s">
        <v>498</v>
      </c>
      <c r="AE91" s="193" t="s">
        <v>200</v>
      </c>
      <c r="AF91" s="54" t="s">
        <v>212</v>
      </c>
      <c r="AG91" s="188" t="s">
        <v>589</v>
      </c>
      <c r="AH91" s="76"/>
      <c r="AI91" s="76"/>
    </row>
    <row r="92" spans="1:35" s="75" customFormat="1" ht="15.75" thickBot="1" x14ac:dyDescent="0.3">
      <c r="B92" s="150" t="s">
        <v>586</v>
      </c>
      <c r="C92" s="75" t="s">
        <v>586</v>
      </c>
      <c r="D92" s="75" t="s">
        <v>586</v>
      </c>
      <c r="E92" s="75" t="s">
        <v>586</v>
      </c>
      <c r="F92" s="276" t="s">
        <v>586</v>
      </c>
      <c r="G92" s="75" t="s">
        <v>586</v>
      </c>
      <c r="H92" s="75" t="s">
        <v>586</v>
      </c>
      <c r="I92" s="75" t="s">
        <v>586</v>
      </c>
      <c r="J92" s="75" t="s">
        <v>586</v>
      </c>
      <c r="K92" s="75" t="s">
        <v>586</v>
      </c>
      <c r="L92" s="75" t="s">
        <v>586</v>
      </c>
      <c r="M92" s="75" t="s">
        <v>586</v>
      </c>
      <c r="N92" s="75" t="s">
        <v>586</v>
      </c>
      <c r="O92" s="75" t="s">
        <v>586</v>
      </c>
      <c r="P92" s="75" t="s">
        <v>586</v>
      </c>
      <c r="Q92" s="75" t="s">
        <v>586</v>
      </c>
      <c r="R92" s="75" t="s">
        <v>586</v>
      </c>
      <c r="S92" s="75" t="s">
        <v>586</v>
      </c>
      <c r="T92" s="75" t="s">
        <v>586</v>
      </c>
      <c r="U92" s="75" t="s">
        <v>586</v>
      </c>
      <c r="V92" s="75" t="s">
        <v>586</v>
      </c>
      <c r="W92" s="75" t="s">
        <v>586</v>
      </c>
      <c r="X92" s="75" t="s">
        <v>586</v>
      </c>
      <c r="Y92" s="75" t="s">
        <v>586</v>
      </c>
      <c r="Z92" s="75" t="s">
        <v>586</v>
      </c>
      <c r="AA92" s="75" t="s">
        <v>586</v>
      </c>
      <c r="AB92" s="75" t="s">
        <v>586</v>
      </c>
      <c r="AC92" s="75" t="s">
        <v>586</v>
      </c>
      <c r="AD92" s="75" t="s">
        <v>586</v>
      </c>
      <c r="AE92" s="75" t="s">
        <v>586</v>
      </c>
      <c r="AF92" s="75" t="s">
        <v>586</v>
      </c>
    </row>
    <row r="93" spans="1:35" ht="100.15" customHeight="1" x14ac:dyDescent="0.25">
      <c r="A93" s="614" t="s">
        <v>360</v>
      </c>
      <c r="B93" s="147" t="s">
        <v>13</v>
      </c>
      <c r="C93" s="24" t="s">
        <v>14</v>
      </c>
      <c r="D93" s="24" t="s">
        <v>15</v>
      </c>
      <c r="E93" s="25" t="s">
        <v>16</v>
      </c>
      <c r="F93" s="282" t="s">
        <v>17</v>
      </c>
      <c r="G93" s="24" t="s">
        <v>70</v>
      </c>
      <c r="H93" s="24" t="s">
        <v>15</v>
      </c>
      <c r="I93" s="24" t="s">
        <v>220</v>
      </c>
      <c r="J93" s="24" t="s">
        <v>221</v>
      </c>
      <c r="K93" s="26" t="s">
        <v>222</v>
      </c>
      <c r="L93" s="26" t="s">
        <v>223</v>
      </c>
      <c r="M93" s="24" t="s">
        <v>224</v>
      </c>
      <c r="N93" s="24" t="s">
        <v>225</v>
      </c>
      <c r="O93" s="24" t="s">
        <v>226</v>
      </c>
      <c r="P93" s="24" t="s">
        <v>221</v>
      </c>
      <c r="Q93" s="24" t="s">
        <v>227</v>
      </c>
      <c r="R93" s="24" t="s">
        <v>15</v>
      </c>
      <c r="S93" s="27" t="s">
        <v>228</v>
      </c>
    </row>
    <row r="94" spans="1:35" ht="19.899999999999999" customHeight="1" x14ac:dyDescent="0.25">
      <c r="A94" s="615"/>
      <c r="B94" s="148">
        <v>1</v>
      </c>
      <c r="C94" s="5" t="s">
        <v>47</v>
      </c>
      <c r="D94" s="4">
        <v>11</v>
      </c>
      <c r="E94" s="6" t="s">
        <v>48</v>
      </c>
      <c r="F94" s="283" t="s">
        <v>49</v>
      </c>
      <c r="G94" s="7" t="s">
        <v>50</v>
      </c>
      <c r="H94" s="7" t="s">
        <v>229</v>
      </c>
      <c r="I94" s="7" t="s">
        <v>216</v>
      </c>
      <c r="J94" s="7" t="s">
        <v>230</v>
      </c>
      <c r="K94" s="8" t="s">
        <v>217</v>
      </c>
      <c r="L94" s="8" t="s">
        <v>218</v>
      </c>
      <c r="M94" s="7" t="s">
        <v>179</v>
      </c>
      <c r="N94" s="7" t="s">
        <v>219</v>
      </c>
      <c r="O94" s="7">
        <v>90</v>
      </c>
      <c r="P94" s="7" t="s">
        <v>231</v>
      </c>
      <c r="Q94" s="7">
        <v>94</v>
      </c>
      <c r="R94" s="7" t="s">
        <v>232</v>
      </c>
      <c r="S94" s="28" t="s">
        <v>233</v>
      </c>
    </row>
    <row r="95" spans="1:35" outlineLevel="1" x14ac:dyDescent="0.25">
      <c r="A95" s="615"/>
      <c r="B95" s="148">
        <v>1</v>
      </c>
      <c r="C95" s="4">
        <v>9</v>
      </c>
      <c r="D95" s="4">
        <v>1</v>
      </c>
      <c r="E95" s="9">
        <v>13</v>
      </c>
      <c r="F95" s="284">
        <v>2</v>
      </c>
      <c r="G95" s="4">
        <v>9</v>
      </c>
      <c r="H95" s="4">
        <v>3</v>
      </c>
      <c r="I95" s="4">
        <v>3</v>
      </c>
      <c r="J95" s="4">
        <v>16</v>
      </c>
      <c r="K95" s="10">
        <v>8</v>
      </c>
      <c r="L95" s="10">
        <v>8</v>
      </c>
      <c r="M95" s="4">
        <v>8</v>
      </c>
      <c r="N95" s="4">
        <v>8</v>
      </c>
      <c r="O95" s="4">
        <v>1</v>
      </c>
      <c r="P95" s="4">
        <v>3</v>
      </c>
      <c r="Q95" s="4">
        <v>1</v>
      </c>
      <c r="R95" s="4">
        <v>2</v>
      </c>
      <c r="S95" s="29">
        <v>32</v>
      </c>
    </row>
    <row r="96" spans="1:35" ht="13.5" customHeight="1" outlineLevel="1" x14ac:dyDescent="0.25">
      <c r="A96" s="615"/>
      <c r="B96" s="148" t="s">
        <v>1</v>
      </c>
      <c r="C96" s="4" t="s">
        <v>1</v>
      </c>
      <c r="D96" s="4" t="s">
        <v>69</v>
      </c>
      <c r="E96" s="9" t="s">
        <v>69</v>
      </c>
      <c r="F96" s="284" t="s">
        <v>1</v>
      </c>
      <c r="G96" s="4" t="s">
        <v>1</v>
      </c>
      <c r="H96" s="4" t="s">
        <v>69</v>
      </c>
      <c r="I96" s="4" t="s">
        <v>1</v>
      </c>
      <c r="J96" s="4" t="s">
        <v>69</v>
      </c>
      <c r="K96" s="12" t="s">
        <v>1</v>
      </c>
      <c r="L96" s="12" t="s">
        <v>1</v>
      </c>
      <c r="M96" s="4" t="s">
        <v>1</v>
      </c>
      <c r="N96" s="4" t="s">
        <v>1</v>
      </c>
      <c r="O96" s="4" t="s">
        <v>69</v>
      </c>
      <c r="P96" s="4" t="s">
        <v>69</v>
      </c>
      <c r="Q96" s="4" t="s">
        <v>69</v>
      </c>
      <c r="R96" s="4" t="s">
        <v>69</v>
      </c>
      <c r="S96" s="29" t="s">
        <v>69</v>
      </c>
    </row>
    <row r="97" spans="1:35" outlineLevel="1" x14ac:dyDescent="0.25">
      <c r="A97" s="615"/>
      <c r="B97" s="148" t="s">
        <v>0</v>
      </c>
      <c r="C97" s="4" t="s">
        <v>0</v>
      </c>
      <c r="D97" s="4" t="s">
        <v>4</v>
      </c>
      <c r="E97" s="9" t="s">
        <v>0</v>
      </c>
      <c r="F97" s="284" t="s">
        <v>0</v>
      </c>
      <c r="G97" s="4" t="s">
        <v>0</v>
      </c>
      <c r="H97" s="4" t="s">
        <v>4</v>
      </c>
      <c r="I97" s="4" t="s">
        <v>0</v>
      </c>
      <c r="J97" s="4" t="s">
        <v>0</v>
      </c>
      <c r="K97" s="12" t="s">
        <v>0</v>
      </c>
      <c r="L97" s="12" t="s">
        <v>0</v>
      </c>
      <c r="M97" s="4" t="s">
        <v>0</v>
      </c>
      <c r="N97" s="4" t="s">
        <v>4</v>
      </c>
      <c r="O97" s="4" t="s">
        <v>4</v>
      </c>
      <c r="P97" s="4" t="s">
        <v>0</v>
      </c>
      <c r="Q97" s="4" t="s">
        <v>0</v>
      </c>
      <c r="R97" s="4" t="s">
        <v>4</v>
      </c>
      <c r="S97" s="29" t="s">
        <v>4</v>
      </c>
    </row>
    <row r="98" spans="1:35" s="163" customFormat="1" ht="30" customHeight="1" thickBot="1" x14ac:dyDescent="0.3">
      <c r="A98" s="616"/>
      <c r="B98" s="157">
        <v>5</v>
      </c>
      <c r="C98" s="54" t="s">
        <v>544</v>
      </c>
      <c r="D98" s="55" t="s">
        <v>8</v>
      </c>
      <c r="E98" s="55" t="s">
        <v>198</v>
      </c>
      <c r="F98" s="270">
        <v>77</v>
      </c>
      <c r="G98" s="55">
        <v>250000001</v>
      </c>
      <c r="H98" s="98" t="s">
        <v>9</v>
      </c>
      <c r="I98" s="496" t="s">
        <v>729</v>
      </c>
      <c r="J98" s="98" t="s">
        <v>234</v>
      </c>
      <c r="K98" s="56" t="s">
        <v>694</v>
      </c>
      <c r="L98" s="56" t="s">
        <v>695</v>
      </c>
      <c r="M98" s="56" t="s">
        <v>696</v>
      </c>
      <c r="N98" s="56" t="s">
        <v>599</v>
      </c>
      <c r="O98" s="56" t="s">
        <v>8</v>
      </c>
      <c r="P98" s="56" t="s">
        <v>9</v>
      </c>
      <c r="Q98" s="56" t="s">
        <v>8</v>
      </c>
      <c r="R98" s="56" t="s">
        <v>210</v>
      </c>
      <c r="S98" s="99" t="s">
        <v>235</v>
      </c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</row>
    <row r="99" spans="1:35" ht="15.75" thickBot="1" x14ac:dyDescent="0.3">
      <c r="A99" s="75"/>
      <c r="B99" s="150" t="s">
        <v>586</v>
      </c>
      <c r="C99" s="75" t="s">
        <v>586</v>
      </c>
      <c r="D99" s="75" t="s">
        <v>586</v>
      </c>
      <c r="E99" s="75" t="s">
        <v>586</v>
      </c>
      <c r="F99" s="276" t="s">
        <v>586</v>
      </c>
      <c r="G99" s="75" t="s">
        <v>586</v>
      </c>
      <c r="H99" s="75" t="s">
        <v>586</v>
      </c>
      <c r="I99" s="75" t="s">
        <v>586</v>
      </c>
      <c r="J99" s="75" t="s">
        <v>586</v>
      </c>
      <c r="K99" s="75" t="s">
        <v>586</v>
      </c>
      <c r="L99" s="75" t="s">
        <v>586</v>
      </c>
      <c r="M99" s="75" t="s">
        <v>586</v>
      </c>
      <c r="N99" s="75" t="s">
        <v>586</v>
      </c>
      <c r="O99" s="75" t="s">
        <v>586</v>
      </c>
      <c r="P99" s="75" t="s">
        <v>586</v>
      </c>
      <c r="Q99" s="75" t="s">
        <v>586</v>
      </c>
      <c r="R99" s="75" t="s">
        <v>586</v>
      </c>
      <c r="S99" s="75" t="s">
        <v>586</v>
      </c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</row>
    <row r="100" spans="1:35" ht="100.15" customHeight="1" x14ac:dyDescent="0.25">
      <c r="A100" s="608" t="s">
        <v>361</v>
      </c>
      <c r="B100" s="327" t="s">
        <v>13</v>
      </c>
      <c r="C100" s="328" t="s">
        <v>14</v>
      </c>
      <c r="D100" s="328" t="s">
        <v>339</v>
      </c>
      <c r="E100" s="329" t="s">
        <v>469</v>
      </c>
      <c r="F100" s="330" t="s">
        <v>470</v>
      </c>
      <c r="G100" s="328" t="s">
        <v>471</v>
      </c>
      <c r="H100" s="328" t="s">
        <v>340</v>
      </c>
      <c r="I100" s="328" t="s">
        <v>473</v>
      </c>
      <c r="J100" s="328" t="s">
        <v>472</v>
      </c>
      <c r="K100" s="331" t="s">
        <v>312</v>
      </c>
      <c r="L100" s="331" t="s">
        <v>341</v>
      </c>
      <c r="M100" s="328" t="s">
        <v>25</v>
      </c>
      <c r="N100" s="328" t="s">
        <v>15</v>
      </c>
      <c r="O100" s="328" t="s">
        <v>474</v>
      </c>
      <c r="P100" s="328" t="s">
        <v>342</v>
      </c>
      <c r="Q100" s="328" t="s">
        <v>15</v>
      </c>
      <c r="R100" s="328" t="s">
        <v>343</v>
      </c>
      <c r="S100" s="332" t="s">
        <v>228</v>
      </c>
    </row>
    <row r="101" spans="1:35" ht="19.899999999999999" customHeight="1" x14ac:dyDescent="0.25">
      <c r="A101" s="609"/>
      <c r="B101" s="158">
        <v>1</v>
      </c>
      <c r="C101" s="102" t="s">
        <v>47</v>
      </c>
      <c r="D101" s="103" t="s">
        <v>344</v>
      </c>
      <c r="E101" s="104" t="s">
        <v>345</v>
      </c>
      <c r="F101" s="298" t="s">
        <v>346</v>
      </c>
      <c r="G101" s="103" t="s">
        <v>347</v>
      </c>
      <c r="H101" s="103" t="s">
        <v>348</v>
      </c>
      <c r="I101" s="103" t="s">
        <v>349</v>
      </c>
      <c r="J101" s="103" t="s">
        <v>350</v>
      </c>
      <c r="K101" s="105" t="s">
        <v>351</v>
      </c>
      <c r="L101" s="105" t="s">
        <v>352</v>
      </c>
      <c r="M101" s="103" t="s">
        <v>353</v>
      </c>
      <c r="N101" s="103" t="s">
        <v>354</v>
      </c>
      <c r="O101" s="103" t="s">
        <v>355</v>
      </c>
      <c r="P101" s="103" t="s">
        <v>356</v>
      </c>
      <c r="Q101" s="103" t="s">
        <v>357</v>
      </c>
      <c r="R101" s="103" t="s">
        <v>358</v>
      </c>
      <c r="S101" s="333" t="s">
        <v>233</v>
      </c>
    </row>
    <row r="102" spans="1:35" outlineLevel="1" x14ac:dyDescent="0.25">
      <c r="A102" s="609"/>
      <c r="B102" s="158">
        <v>1</v>
      </c>
      <c r="C102" s="101">
        <v>9</v>
      </c>
      <c r="D102" s="101">
        <v>3</v>
      </c>
      <c r="E102" s="101">
        <v>4</v>
      </c>
      <c r="F102" s="299">
        <v>4</v>
      </c>
      <c r="G102" s="101">
        <v>3</v>
      </c>
      <c r="H102" s="101">
        <v>9</v>
      </c>
      <c r="I102" s="101">
        <v>9</v>
      </c>
      <c r="J102" s="101">
        <v>9</v>
      </c>
      <c r="K102" s="107">
        <v>3</v>
      </c>
      <c r="L102" s="107">
        <v>1</v>
      </c>
      <c r="M102" s="101">
        <v>1</v>
      </c>
      <c r="N102" s="101">
        <v>4</v>
      </c>
      <c r="O102" s="101">
        <v>12</v>
      </c>
      <c r="P102" s="101">
        <v>12</v>
      </c>
      <c r="Q102" s="103">
        <v>3</v>
      </c>
      <c r="R102" s="101">
        <v>9</v>
      </c>
      <c r="S102" s="334">
        <v>32</v>
      </c>
    </row>
    <row r="103" spans="1:35" outlineLevel="1" x14ac:dyDescent="0.25">
      <c r="A103" s="609"/>
      <c r="B103" s="158" t="s">
        <v>1</v>
      </c>
      <c r="C103" s="101" t="s">
        <v>1</v>
      </c>
      <c r="D103" s="197" t="s">
        <v>1</v>
      </c>
      <c r="E103" s="106" t="s">
        <v>1</v>
      </c>
      <c r="F103" s="299" t="s">
        <v>1</v>
      </c>
      <c r="G103" s="101" t="s">
        <v>1</v>
      </c>
      <c r="H103" s="101" t="s">
        <v>1</v>
      </c>
      <c r="I103" s="101" t="s">
        <v>1</v>
      </c>
      <c r="J103" s="101" t="s">
        <v>1</v>
      </c>
      <c r="K103" s="108" t="s">
        <v>1</v>
      </c>
      <c r="L103" s="108" t="s">
        <v>69</v>
      </c>
      <c r="M103" s="101" t="s">
        <v>69</v>
      </c>
      <c r="N103" s="101" t="s">
        <v>69</v>
      </c>
      <c r="O103" s="101" t="s">
        <v>69</v>
      </c>
      <c r="P103" s="101" t="s">
        <v>1</v>
      </c>
      <c r="Q103" s="101" t="s">
        <v>69</v>
      </c>
      <c r="R103" s="101" t="s">
        <v>1</v>
      </c>
      <c r="S103" s="334" t="s">
        <v>1</v>
      </c>
    </row>
    <row r="104" spans="1:35" outlineLevel="1" x14ac:dyDescent="0.25">
      <c r="A104" s="609"/>
      <c r="B104" s="158" t="s">
        <v>0</v>
      </c>
      <c r="C104" s="101" t="s">
        <v>0</v>
      </c>
      <c r="D104" s="101" t="s">
        <v>0</v>
      </c>
      <c r="E104" s="106" t="s">
        <v>0</v>
      </c>
      <c r="F104" s="299" t="s">
        <v>0</v>
      </c>
      <c r="G104" s="101" t="s">
        <v>0</v>
      </c>
      <c r="H104" s="101" t="s">
        <v>0</v>
      </c>
      <c r="I104" s="101" t="s">
        <v>0</v>
      </c>
      <c r="J104" s="101" t="s">
        <v>0</v>
      </c>
      <c r="K104" s="108" t="s">
        <v>0</v>
      </c>
      <c r="L104" s="108" t="s">
        <v>4</v>
      </c>
      <c r="M104" s="101" t="s">
        <v>4</v>
      </c>
      <c r="N104" s="101" t="s">
        <v>4</v>
      </c>
      <c r="O104" s="101" t="s">
        <v>4</v>
      </c>
      <c r="P104" s="101" t="s">
        <v>4</v>
      </c>
      <c r="Q104" s="101" t="s">
        <v>4</v>
      </c>
      <c r="R104" s="101" t="s">
        <v>4</v>
      </c>
      <c r="S104" s="334" t="s">
        <v>0</v>
      </c>
    </row>
    <row r="105" spans="1:35" s="163" customFormat="1" ht="30" customHeight="1" thickBot="1" x14ac:dyDescent="0.3">
      <c r="A105" s="610"/>
      <c r="B105" s="183">
        <v>6</v>
      </c>
      <c r="C105" s="335" t="s">
        <v>544</v>
      </c>
      <c r="D105" s="185" t="s">
        <v>195</v>
      </c>
      <c r="E105" s="336" t="s">
        <v>672</v>
      </c>
      <c r="F105" s="337" t="s">
        <v>521</v>
      </c>
      <c r="G105" s="185" t="s">
        <v>195</v>
      </c>
      <c r="H105" s="184" t="s">
        <v>697</v>
      </c>
      <c r="I105" s="184" t="s">
        <v>698</v>
      </c>
      <c r="J105" s="184" t="s">
        <v>209</v>
      </c>
      <c r="K105" s="184" t="s">
        <v>195</v>
      </c>
      <c r="L105" s="186" t="s">
        <v>8</v>
      </c>
      <c r="M105" s="186" t="s">
        <v>8</v>
      </c>
      <c r="N105" s="186" t="s">
        <v>387</v>
      </c>
      <c r="O105" s="186" t="s">
        <v>941</v>
      </c>
      <c r="P105" s="186" t="s">
        <v>388</v>
      </c>
      <c r="Q105" s="186" t="s">
        <v>9</v>
      </c>
      <c r="R105" s="186" t="s">
        <v>389</v>
      </c>
      <c r="S105" s="187" t="s">
        <v>235</v>
      </c>
    </row>
    <row r="106" spans="1:35" ht="9.75" customHeight="1" thickBot="1" x14ac:dyDescent="0.3">
      <c r="B106" s="150" t="s">
        <v>586</v>
      </c>
      <c r="C106" s="150" t="s">
        <v>586</v>
      </c>
      <c r="D106" s="150" t="s">
        <v>586</v>
      </c>
      <c r="E106" s="150" t="s">
        <v>586</v>
      </c>
      <c r="F106" s="276" t="s">
        <v>586</v>
      </c>
      <c r="G106" s="150" t="s">
        <v>586</v>
      </c>
      <c r="H106" s="150" t="s">
        <v>586</v>
      </c>
      <c r="I106" s="150" t="s">
        <v>586</v>
      </c>
      <c r="J106" s="150" t="s">
        <v>586</v>
      </c>
      <c r="K106" s="150" t="s">
        <v>586</v>
      </c>
      <c r="L106" s="150" t="s">
        <v>586</v>
      </c>
      <c r="M106" s="150" t="s">
        <v>586</v>
      </c>
      <c r="N106" s="150" t="s">
        <v>586</v>
      </c>
      <c r="O106" s="150" t="s">
        <v>586</v>
      </c>
      <c r="P106" s="150" t="s">
        <v>586</v>
      </c>
      <c r="Q106" s="150" t="s">
        <v>586</v>
      </c>
      <c r="R106" s="150" t="s">
        <v>586</v>
      </c>
      <c r="S106" s="150" t="s">
        <v>586</v>
      </c>
    </row>
    <row r="107" spans="1:35" ht="100.15" customHeight="1" x14ac:dyDescent="0.25">
      <c r="A107" s="611" t="s">
        <v>371</v>
      </c>
      <c r="B107" s="159" t="s">
        <v>13</v>
      </c>
      <c r="C107" s="117" t="s">
        <v>363</v>
      </c>
      <c r="D107" s="117" t="s">
        <v>364</v>
      </c>
      <c r="E107" s="118" t="s">
        <v>15</v>
      </c>
      <c r="F107" s="300" t="s">
        <v>283</v>
      </c>
      <c r="G107" s="117" t="s">
        <v>365</v>
      </c>
      <c r="H107" s="117" t="s">
        <v>15</v>
      </c>
      <c r="I107" s="117" t="s">
        <v>286</v>
      </c>
      <c r="J107" s="117" t="s">
        <v>287</v>
      </c>
      <c r="K107" s="119" t="s">
        <v>366</v>
      </c>
      <c r="L107" s="119" t="s">
        <v>15</v>
      </c>
      <c r="M107" s="117" t="s">
        <v>367</v>
      </c>
      <c r="N107" s="120" t="s">
        <v>15</v>
      </c>
    </row>
    <row r="108" spans="1:35" ht="19.899999999999999" customHeight="1" x14ac:dyDescent="0.25">
      <c r="A108" s="612"/>
      <c r="B108" s="198" t="s">
        <v>293</v>
      </c>
      <c r="C108" s="110" t="s">
        <v>294</v>
      </c>
      <c r="D108" s="111" t="s">
        <v>295</v>
      </c>
      <c r="E108" s="112" t="s">
        <v>296</v>
      </c>
      <c r="F108" s="301" t="s">
        <v>297</v>
      </c>
      <c r="G108" s="111" t="s">
        <v>298</v>
      </c>
      <c r="H108" s="111" t="s">
        <v>299</v>
      </c>
      <c r="I108" s="111" t="s">
        <v>300</v>
      </c>
      <c r="J108" s="111" t="s">
        <v>301</v>
      </c>
      <c r="K108" s="113" t="s">
        <v>368</v>
      </c>
      <c r="L108" s="113" t="s">
        <v>369</v>
      </c>
      <c r="M108" s="111" t="s">
        <v>307</v>
      </c>
      <c r="N108" s="121" t="s">
        <v>370</v>
      </c>
    </row>
    <row r="109" spans="1:35" outlineLevel="1" x14ac:dyDescent="0.25">
      <c r="A109" s="612"/>
      <c r="B109" s="160">
        <v>3</v>
      </c>
      <c r="C109" s="109">
        <v>2</v>
      </c>
      <c r="D109" s="109">
        <v>14</v>
      </c>
      <c r="E109" s="109">
        <v>6</v>
      </c>
      <c r="F109" s="302">
        <v>2</v>
      </c>
      <c r="G109" s="109">
        <v>14</v>
      </c>
      <c r="H109" s="109">
        <v>6</v>
      </c>
      <c r="I109" s="109">
        <v>2</v>
      </c>
      <c r="J109" s="109">
        <v>6</v>
      </c>
      <c r="K109" s="115">
        <v>8</v>
      </c>
      <c r="L109" s="115">
        <v>19</v>
      </c>
      <c r="M109" s="109">
        <v>3</v>
      </c>
      <c r="N109" s="122">
        <v>43</v>
      </c>
    </row>
    <row r="110" spans="1:35" outlineLevel="1" x14ac:dyDescent="0.25">
      <c r="A110" s="612"/>
      <c r="B110" s="160" t="s">
        <v>1</v>
      </c>
      <c r="C110" s="109" t="s">
        <v>69</v>
      </c>
      <c r="D110" s="109" t="s">
        <v>1</v>
      </c>
      <c r="E110" s="114" t="s">
        <v>69</v>
      </c>
      <c r="F110" s="302" t="s">
        <v>69</v>
      </c>
      <c r="G110" s="109" t="s">
        <v>1</v>
      </c>
      <c r="H110" s="109" t="s">
        <v>69</v>
      </c>
      <c r="I110" s="109" t="s">
        <v>69</v>
      </c>
      <c r="J110" s="109" t="s">
        <v>69</v>
      </c>
      <c r="K110" s="116" t="s">
        <v>1</v>
      </c>
      <c r="L110" s="116" t="s">
        <v>69</v>
      </c>
      <c r="M110" s="109" t="s">
        <v>1</v>
      </c>
      <c r="N110" s="122" t="s">
        <v>69</v>
      </c>
    </row>
    <row r="111" spans="1:35" outlineLevel="1" x14ac:dyDescent="0.25">
      <c r="A111" s="612"/>
      <c r="B111" s="160" t="s">
        <v>0</v>
      </c>
      <c r="C111" s="109" t="s">
        <v>0</v>
      </c>
      <c r="D111" s="109" t="s">
        <v>0</v>
      </c>
      <c r="E111" s="114" t="s">
        <v>4</v>
      </c>
      <c r="F111" s="302" t="s">
        <v>0</v>
      </c>
      <c r="G111" s="109" t="s">
        <v>0</v>
      </c>
      <c r="H111" s="109" t="s">
        <v>4</v>
      </c>
      <c r="I111" s="109" t="s">
        <v>0</v>
      </c>
      <c r="J111" s="109" t="s">
        <v>0</v>
      </c>
      <c r="K111" s="116" t="s">
        <v>0</v>
      </c>
      <c r="L111" s="116" t="s">
        <v>4</v>
      </c>
      <c r="M111" s="109" t="s">
        <v>0</v>
      </c>
      <c r="N111" s="122" t="s">
        <v>4</v>
      </c>
    </row>
    <row r="112" spans="1:35" ht="30" customHeight="1" thickBot="1" x14ac:dyDescent="0.3">
      <c r="A112" s="613"/>
      <c r="B112" s="183">
        <v>999</v>
      </c>
      <c r="C112" s="186" t="s">
        <v>373</v>
      </c>
      <c r="D112" s="174" t="s">
        <v>584</v>
      </c>
      <c r="E112" s="186" t="s">
        <v>374</v>
      </c>
      <c r="F112" s="303" t="s">
        <v>375</v>
      </c>
      <c r="G112" s="174" t="s">
        <v>585</v>
      </c>
      <c r="H112" s="186" t="s">
        <v>374</v>
      </c>
      <c r="I112" s="186" t="s">
        <v>376</v>
      </c>
      <c r="J112" s="184" t="s">
        <v>377</v>
      </c>
      <c r="K112" s="497" t="s">
        <v>754</v>
      </c>
      <c r="L112" s="186" t="s">
        <v>390</v>
      </c>
      <c r="M112" s="185" t="s">
        <v>195</v>
      </c>
      <c r="N112" s="187" t="s">
        <v>391</v>
      </c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</row>
    <row r="113" spans="2:14" x14ac:dyDescent="0.25">
      <c r="B113" s="150" t="s">
        <v>586</v>
      </c>
      <c r="C113" s="150" t="s">
        <v>586</v>
      </c>
      <c r="D113" s="150" t="s">
        <v>586</v>
      </c>
      <c r="E113" s="150" t="s">
        <v>586</v>
      </c>
      <c r="F113" s="276" t="s">
        <v>586</v>
      </c>
      <c r="G113" s="150" t="s">
        <v>586</v>
      </c>
      <c r="H113" s="150" t="s">
        <v>586</v>
      </c>
      <c r="I113" s="150" t="s">
        <v>586</v>
      </c>
      <c r="J113" s="150" t="s">
        <v>586</v>
      </c>
      <c r="K113" s="150" t="s">
        <v>586</v>
      </c>
      <c r="L113" s="150" t="s">
        <v>586</v>
      </c>
      <c r="M113" s="150" t="s">
        <v>586</v>
      </c>
      <c r="N113" s="150" t="s">
        <v>586</v>
      </c>
    </row>
  </sheetData>
  <sheetProtection algorithmName="SHA-512" hashValue="NAhU1VYeIL0VpnpvS6tmavNGLTb5oNur6WKlBtpyByLfY9yqDMWFxbD+XVvt7FeAzsupL3PhF4AX1zawGLWLVA==" saltValue="m5qlqMe6d+Akp0IsL2Fg8g==" spinCount="100000" sheet="1" sort="0"/>
  <mergeCells count="23">
    <mergeCell ref="A107:A112"/>
    <mergeCell ref="B1:AI1"/>
    <mergeCell ref="A3:C3"/>
    <mergeCell ref="D3:F3"/>
    <mergeCell ref="G3:H3"/>
    <mergeCell ref="I3:X3"/>
    <mergeCell ref="A86:A91"/>
    <mergeCell ref="A58:A63"/>
    <mergeCell ref="A65:A70"/>
    <mergeCell ref="A72:A77"/>
    <mergeCell ref="A79:A84"/>
    <mergeCell ref="A23:A28"/>
    <mergeCell ref="A30:A35"/>
    <mergeCell ref="A37:A42"/>
    <mergeCell ref="A44:A49"/>
    <mergeCell ref="A51:A56"/>
    <mergeCell ref="Z3:AE3"/>
    <mergeCell ref="AG3:AI3"/>
    <mergeCell ref="A7:AI7"/>
    <mergeCell ref="A93:A98"/>
    <mergeCell ref="A100:A105"/>
    <mergeCell ref="A9:A14"/>
    <mergeCell ref="A16:A21"/>
  </mergeCells>
  <conditionalFormatting sqref="B28">
    <cfRule type="expression" dxfId="29" priority="2">
      <formula>"B17&lt;&gt;0"</formula>
    </cfRule>
  </conditionalFormatting>
  <conditionalFormatting sqref="F28">
    <cfRule type="expression" dxfId="28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tabColor theme="8" tint="-0.499984740745262"/>
    <pageSetUpPr fitToPage="1"/>
  </sheetPr>
  <dimension ref="A1:AI113"/>
  <sheetViews>
    <sheetView view="pageBreakPreview" topLeftCell="A72" zoomScale="40" zoomScaleNormal="25" zoomScaleSheetLayoutView="40" workbookViewId="0">
      <selection activeCell="O105" sqref="O105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30'!A24</f>
        <v>CONVENTION CAS 11</v>
      </c>
      <c r="B5" s="369">
        <f>'LISTE DES CAS ANNEXE 30'!B24</f>
        <v>1</v>
      </c>
      <c r="C5" s="370">
        <f>'LISTE DES CAS ANNEXE 30'!C24</f>
        <v>1</v>
      </c>
      <c r="D5" s="367" t="str">
        <f>'LISTE DES CAS ANNEXE 30'!D24</f>
        <v>MALADIE</v>
      </c>
      <c r="E5" s="368">
        <f>'LISTE DES CAS ANNEXE 30'!E24</f>
        <v>0.55000000000000004</v>
      </c>
      <c r="F5" s="361" t="str">
        <f>'LISTE DES CAS ANNEXE 30'!H24</f>
        <v>NON</v>
      </c>
      <c r="G5" s="365" t="str">
        <f>'LISTE DES CAS ANNEXE 30'!I24</f>
        <v>NON</v>
      </c>
      <c r="H5" s="366" t="str">
        <f>'LISTE DES CAS ANNEXE 30'!J24</f>
        <v>05 - TP AMO SEUL</v>
      </c>
      <c r="I5" s="412" t="str">
        <f>'LISTE DES CAS ANNEXE 30'!K24</f>
        <v>69-LYON</v>
      </c>
      <c r="J5" s="355" t="str">
        <f>'LISTE DES CAS ANNEXE 30'!L24</f>
        <v>42-SAINT-ETIENNE</v>
      </c>
      <c r="K5" s="356" t="str">
        <f>'LISTE DES CAS ANNEXE 30'!M24</f>
        <v>01/12/2025 à 10H00</v>
      </c>
      <c r="L5" s="356" t="str">
        <f>'LISTE DES CAS ANNEXE 30'!N24</f>
        <v>01/12/2025 à 11h15</v>
      </c>
      <c r="M5" s="357" t="str">
        <f>'LISTE DES CAS ANNEXE 30'!O24</f>
        <v>EE-003-FF</v>
      </c>
      <c r="N5" s="357" t="str">
        <f>'LISTE DES CAS ANNEXE 30'!P24</f>
        <v>69123
(LYON)</v>
      </c>
      <c r="O5" s="357" t="str">
        <f>'LISTE DES CAS ANNEXE 30'!Q24</f>
        <v>069</v>
      </c>
      <c r="P5" s="357" t="str">
        <f>'LISTE DES CAS ANNEXE 30'!R24</f>
        <v xml:space="preserve">691 - CPAM DU RHONE </v>
      </c>
      <c r="Q5" s="358">
        <f>'LISTE DES CAS ANNEXE 30'!S24</f>
        <v>63</v>
      </c>
      <c r="R5" s="359" t="str">
        <f>'LISTE DES CAS ANNEXE 30'!T24</f>
        <v>JOUR</v>
      </c>
      <c r="S5" s="431">
        <f>'LISTE DES CAS ANNEXE 30'!U24</f>
        <v>4</v>
      </c>
      <c r="T5" s="428" t="str">
        <f>'LISTE DES CAS ANNEXE 30'!V24</f>
        <v>OUI 
(TYPE 1)</v>
      </c>
      <c r="U5" s="356" t="str">
        <f>'LISTE DES CAS ANNEXE 30'!W24</f>
        <v>NON</v>
      </c>
      <c r="V5" s="428" t="str">
        <f>'LISTE DES CAS ANNEXE 30'!X24</f>
        <v>OUI</v>
      </c>
      <c r="W5" s="428" t="str">
        <f>'LISTE DES CAS ANNEXE 30'!Y24</f>
        <v>OUI</v>
      </c>
      <c r="X5" s="361" t="str">
        <f>'LISTE DES CAS ANNEXE 30'!Z24</f>
        <v>NON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79.5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699</v>
      </c>
      <c r="Z42" s="194" t="s">
        <v>699</v>
      </c>
      <c r="AA42" s="194" t="s">
        <v>592</v>
      </c>
      <c r="AB42" s="194" t="s">
        <v>700</v>
      </c>
      <c r="AC42" s="194" t="s">
        <v>699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214</v>
      </c>
      <c r="M56" s="54" t="s">
        <v>543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609</v>
      </c>
      <c r="T56" s="54" t="s">
        <v>263</v>
      </c>
      <c r="U56" s="54">
        <v>4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701</v>
      </c>
      <c r="Z63" s="96" t="s">
        <v>701</v>
      </c>
      <c r="AA63" s="97" t="s">
        <v>592</v>
      </c>
      <c r="AB63" s="96" t="s">
        <v>702</v>
      </c>
      <c r="AC63" s="96" t="s">
        <v>701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703</v>
      </c>
      <c r="Z70" s="96" t="s">
        <v>703</v>
      </c>
      <c r="AA70" s="54" t="s">
        <v>592</v>
      </c>
      <c r="AB70" s="54" t="s">
        <v>704</v>
      </c>
      <c r="AC70" s="54" t="s">
        <v>703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20" t="s">
        <v>916</v>
      </c>
      <c r="B72" s="151" t="s">
        <v>13</v>
      </c>
      <c r="C72" s="40" t="s">
        <v>14</v>
      </c>
      <c r="D72" s="40" t="s">
        <v>15</v>
      </c>
      <c r="E72" s="41" t="s">
        <v>16</v>
      </c>
      <c r="F72" s="289" t="s">
        <v>17</v>
      </c>
      <c r="G72" s="40" t="s">
        <v>70</v>
      </c>
      <c r="H72" s="40" t="s">
        <v>71</v>
      </c>
      <c r="I72" s="40" t="s">
        <v>72</v>
      </c>
      <c r="J72" s="40" t="s">
        <v>2</v>
      </c>
      <c r="K72" s="40" t="s">
        <v>73</v>
      </c>
      <c r="L72" s="42" t="s">
        <v>74</v>
      </c>
      <c r="M72" s="42" t="s">
        <v>75</v>
      </c>
      <c r="N72" s="40" t="s">
        <v>76</v>
      </c>
      <c r="O72" s="40" t="s">
        <v>77</v>
      </c>
      <c r="P72" s="40" t="s">
        <v>78</v>
      </c>
      <c r="Q72" s="40" t="s">
        <v>79</v>
      </c>
      <c r="R72" s="40" t="s">
        <v>80</v>
      </c>
      <c r="S72" s="40" t="s">
        <v>81</v>
      </c>
      <c r="T72" s="40" t="s">
        <v>82</v>
      </c>
      <c r="U72" s="40" t="s">
        <v>83</v>
      </c>
      <c r="V72" s="40" t="s">
        <v>84</v>
      </c>
      <c r="W72" s="40" t="s">
        <v>3</v>
      </c>
      <c r="X72" s="40" t="s">
        <v>85</v>
      </c>
      <c r="Y72" s="40" t="s">
        <v>86</v>
      </c>
      <c r="Z72" s="40" t="s">
        <v>87</v>
      </c>
      <c r="AA72" s="40" t="s">
        <v>88</v>
      </c>
      <c r="AB72" s="40" t="s">
        <v>89</v>
      </c>
      <c r="AC72" s="40" t="s">
        <v>90</v>
      </c>
      <c r="AD72" s="40" t="s">
        <v>91</v>
      </c>
      <c r="AE72" s="40" t="s">
        <v>92</v>
      </c>
      <c r="AF72" s="43" t="s">
        <v>93</v>
      </c>
    </row>
    <row r="73" spans="1:35" ht="19.899999999999999" customHeight="1" x14ac:dyDescent="0.25">
      <c r="A73" s="615"/>
      <c r="B73" s="152">
        <v>1</v>
      </c>
      <c r="C73" s="44" t="s">
        <v>47</v>
      </c>
      <c r="D73" s="45">
        <v>11</v>
      </c>
      <c r="E73" s="46" t="s">
        <v>48</v>
      </c>
      <c r="F73" s="290" t="s">
        <v>49</v>
      </c>
      <c r="G73" s="47" t="s">
        <v>50</v>
      </c>
      <c r="H73" s="47">
        <v>36</v>
      </c>
      <c r="I73" s="47" t="s">
        <v>94</v>
      </c>
      <c r="J73" s="47" t="s">
        <v>95</v>
      </c>
      <c r="K73" s="47" t="s">
        <v>96</v>
      </c>
      <c r="L73" s="48" t="s">
        <v>97</v>
      </c>
      <c r="M73" s="48" t="s">
        <v>98</v>
      </c>
      <c r="N73" s="47" t="s">
        <v>99</v>
      </c>
      <c r="O73" s="47">
        <v>53</v>
      </c>
      <c r="P73" s="47">
        <v>54</v>
      </c>
      <c r="Q73" s="47" t="s">
        <v>913</v>
      </c>
      <c r="R73" s="47" t="s">
        <v>100</v>
      </c>
      <c r="S73" s="47" t="s">
        <v>101</v>
      </c>
      <c r="T73" s="47" t="s">
        <v>57</v>
      </c>
      <c r="U73" s="47" t="s">
        <v>102</v>
      </c>
      <c r="V73" s="47" t="s">
        <v>103</v>
      </c>
      <c r="W73" s="47" t="s">
        <v>104</v>
      </c>
      <c r="X73" s="47" t="s">
        <v>105</v>
      </c>
      <c r="Y73" s="47" t="s">
        <v>106</v>
      </c>
      <c r="Z73" s="47" t="s">
        <v>107</v>
      </c>
      <c r="AA73" s="47" t="s">
        <v>108</v>
      </c>
      <c r="AB73" s="45" t="s">
        <v>109</v>
      </c>
      <c r="AC73" s="47" t="s">
        <v>110</v>
      </c>
      <c r="AD73" s="45">
        <v>120</v>
      </c>
      <c r="AE73" s="45">
        <v>121</v>
      </c>
      <c r="AF73" s="49" t="s">
        <v>111</v>
      </c>
    </row>
    <row r="74" spans="1:35" outlineLevel="1" x14ac:dyDescent="0.25">
      <c r="A74" s="615"/>
      <c r="B74" s="152">
        <v>1</v>
      </c>
      <c r="C74" s="45">
        <v>9</v>
      </c>
      <c r="D74" s="45">
        <v>1</v>
      </c>
      <c r="E74" s="50">
        <v>13</v>
      </c>
      <c r="F74" s="291">
        <v>2</v>
      </c>
      <c r="G74" s="45">
        <v>9</v>
      </c>
      <c r="H74" s="45">
        <v>1</v>
      </c>
      <c r="I74" s="45">
        <v>2</v>
      </c>
      <c r="J74" s="45">
        <v>2</v>
      </c>
      <c r="K74" s="45">
        <v>3</v>
      </c>
      <c r="L74" s="51">
        <v>6</v>
      </c>
      <c r="M74" s="51">
        <v>1</v>
      </c>
      <c r="N74" s="45">
        <v>2</v>
      </c>
      <c r="O74" s="45">
        <v>1</v>
      </c>
      <c r="P74" s="45">
        <v>1</v>
      </c>
      <c r="Q74" s="45">
        <v>9</v>
      </c>
      <c r="R74" s="45">
        <v>2</v>
      </c>
      <c r="S74" s="45">
        <v>2</v>
      </c>
      <c r="T74" s="45">
        <v>6</v>
      </c>
      <c r="U74" s="45">
        <v>5</v>
      </c>
      <c r="V74" s="45">
        <v>2</v>
      </c>
      <c r="W74" s="45">
        <v>6</v>
      </c>
      <c r="X74" s="45">
        <v>2</v>
      </c>
      <c r="Y74" s="45">
        <v>7</v>
      </c>
      <c r="Z74" s="45">
        <v>7</v>
      </c>
      <c r="AA74" s="45">
        <v>3</v>
      </c>
      <c r="AB74" s="45">
        <v>7</v>
      </c>
      <c r="AC74" s="45">
        <v>7</v>
      </c>
      <c r="AD74" s="45">
        <v>1</v>
      </c>
      <c r="AE74" s="45">
        <v>1</v>
      </c>
      <c r="AF74" s="49">
        <v>7</v>
      </c>
      <c r="AG74" s="2"/>
    </row>
    <row r="75" spans="1:35" outlineLevel="1" x14ac:dyDescent="0.25">
      <c r="A75" s="615"/>
      <c r="B75" s="152" t="s">
        <v>1</v>
      </c>
      <c r="C75" s="45" t="s">
        <v>1</v>
      </c>
      <c r="D75" s="45" t="s">
        <v>69</v>
      </c>
      <c r="E75" s="50" t="s">
        <v>69</v>
      </c>
      <c r="F75" s="291" t="s">
        <v>1</v>
      </c>
      <c r="G75" s="45" t="s">
        <v>1</v>
      </c>
      <c r="H75" s="45" t="s">
        <v>69</v>
      </c>
      <c r="I75" s="45" t="s">
        <v>1</v>
      </c>
      <c r="J75" s="45" t="s">
        <v>1</v>
      </c>
      <c r="K75" s="45" t="s">
        <v>1</v>
      </c>
      <c r="L75" s="52" t="s">
        <v>1</v>
      </c>
      <c r="M75" s="52" t="s">
        <v>1</v>
      </c>
      <c r="N75" s="45" t="s">
        <v>69</v>
      </c>
      <c r="O75" s="45" t="s">
        <v>69</v>
      </c>
      <c r="P75" s="53" t="s">
        <v>69</v>
      </c>
      <c r="Q75" s="45" t="s">
        <v>1</v>
      </c>
      <c r="R75" s="45" t="s">
        <v>1</v>
      </c>
      <c r="S75" s="45" t="s">
        <v>1</v>
      </c>
      <c r="T75" s="45" t="s">
        <v>1</v>
      </c>
      <c r="U75" s="45" t="s">
        <v>69</v>
      </c>
      <c r="V75" s="45" t="s">
        <v>1</v>
      </c>
      <c r="W75" s="45" t="s">
        <v>1</v>
      </c>
      <c r="X75" s="45" t="s">
        <v>1</v>
      </c>
      <c r="Y75" s="45" t="s">
        <v>1</v>
      </c>
      <c r="Z75" s="45" t="s">
        <v>1</v>
      </c>
      <c r="AA75" s="45" t="s">
        <v>1</v>
      </c>
      <c r="AB75" s="45" t="s">
        <v>1</v>
      </c>
      <c r="AC75" s="45" t="s">
        <v>1</v>
      </c>
      <c r="AD75" s="45" t="s">
        <v>69</v>
      </c>
      <c r="AE75" s="45" t="s">
        <v>1</v>
      </c>
      <c r="AF75" s="49" t="s">
        <v>1</v>
      </c>
    </row>
    <row r="76" spans="1:35" outlineLevel="1" x14ac:dyDescent="0.25">
      <c r="A76" s="615"/>
      <c r="B76" s="152" t="s">
        <v>0</v>
      </c>
      <c r="C76" s="45" t="s">
        <v>0</v>
      </c>
      <c r="D76" s="45" t="s">
        <v>4</v>
      </c>
      <c r="E76" s="50" t="s">
        <v>0</v>
      </c>
      <c r="F76" s="291" t="s">
        <v>0</v>
      </c>
      <c r="G76" s="45" t="s">
        <v>0</v>
      </c>
      <c r="H76" s="45" t="s">
        <v>4</v>
      </c>
      <c r="I76" s="45" t="s">
        <v>4</v>
      </c>
      <c r="J76" s="45" t="s">
        <v>4</v>
      </c>
      <c r="K76" s="45" t="s">
        <v>4</v>
      </c>
      <c r="L76" s="52" t="s">
        <v>4</v>
      </c>
      <c r="M76" s="52" t="s">
        <v>0</v>
      </c>
      <c r="N76" s="45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5" t="s">
        <v>112</v>
      </c>
      <c r="T76" s="45" t="s">
        <v>0</v>
      </c>
      <c r="U76" s="45" t="s">
        <v>0</v>
      </c>
      <c r="V76" s="45" t="s">
        <v>0</v>
      </c>
      <c r="W76" s="45" t="s">
        <v>0</v>
      </c>
      <c r="X76" s="45" t="s">
        <v>0</v>
      </c>
      <c r="Y76" s="45" t="s">
        <v>0</v>
      </c>
      <c r="Z76" s="45" t="s">
        <v>0</v>
      </c>
      <c r="AA76" s="45" t="s">
        <v>0</v>
      </c>
      <c r="AB76" s="45" t="s">
        <v>0</v>
      </c>
      <c r="AC76" s="45" t="s">
        <v>0</v>
      </c>
      <c r="AD76" s="45" t="s">
        <v>4</v>
      </c>
      <c r="AE76" s="45" t="s">
        <v>4</v>
      </c>
      <c r="AF76" s="49" t="s">
        <v>4</v>
      </c>
    </row>
    <row r="77" spans="1:35" ht="30" customHeight="1" thickBot="1" x14ac:dyDescent="0.3">
      <c r="A77" s="616"/>
      <c r="B77" s="149" t="s">
        <v>10</v>
      </c>
      <c r="C77" s="54" t="s">
        <v>544</v>
      </c>
      <c r="D77" s="55" t="s">
        <v>8</v>
      </c>
      <c r="E77" s="54" t="s">
        <v>198</v>
      </c>
      <c r="F77" s="288">
        <v>77</v>
      </c>
      <c r="G77" s="54">
        <v>250000001</v>
      </c>
      <c r="H77" s="193" t="s">
        <v>8</v>
      </c>
      <c r="I77" s="193" t="s">
        <v>5</v>
      </c>
      <c r="J77" s="55" t="s">
        <v>5</v>
      </c>
      <c r="K77" s="55" t="s">
        <v>6</v>
      </c>
      <c r="L77" s="55" t="s">
        <v>208</v>
      </c>
      <c r="M77" s="193" t="s">
        <v>397</v>
      </c>
      <c r="N77" s="55" t="s">
        <v>210</v>
      </c>
      <c r="O77" s="55" t="s">
        <v>8</v>
      </c>
      <c r="P77" s="55" t="s">
        <v>8</v>
      </c>
      <c r="Q77" s="54" t="s">
        <v>544</v>
      </c>
      <c r="R77" s="55" t="s">
        <v>5</v>
      </c>
      <c r="S77" s="55" t="s">
        <v>5</v>
      </c>
      <c r="T77" s="33" t="s">
        <v>581</v>
      </c>
      <c r="U77" s="228" t="s">
        <v>279</v>
      </c>
      <c r="V77" s="33" t="s">
        <v>202</v>
      </c>
      <c r="W77" s="54" t="s">
        <v>590</v>
      </c>
      <c r="X77" s="33" t="s">
        <v>202</v>
      </c>
      <c r="Y77" s="54" t="s">
        <v>594</v>
      </c>
      <c r="Z77" s="96" t="s">
        <v>594</v>
      </c>
      <c r="AA77" s="54" t="s">
        <v>592</v>
      </c>
      <c r="AB77" s="54" t="s">
        <v>667</v>
      </c>
      <c r="AC77" s="54" t="s">
        <v>594</v>
      </c>
      <c r="AD77" s="55" t="s">
        <v>8</v>
      </c>
      <c r="AE77" s="193" t="s">
        <v>200</v>
      </c>
      <c r="AF77" s="82" t="s">
        <v>212</v>
      </c>
      <c r="AG77" s="188" t="s">
        <v>589</v>
      </c>
      <c r="AH77" s="76"/>
      <c r="AI77" s="76"/>
    </row>
    <row r="78" spans="1:35" s="75" customFormat="1" ht="15.75" thickBot="1" x14ac:dyDescent="0.3"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 t="s">
        <v>586</v>
      </c>
      <c r="U78" s="75" t="s">
        <v>586</v>
      </c>
      <c r="V78" s="75" t="s">
        <v>586</v>
      </c>
      <c r="W78" s="75" t="s">
        <v>586</v>
      </c>
      <c r="X78" s="75" t="s">
        <v>586</v>
      </c>
      <c r="Y78" s="75" t="s">
        <v>586</v>
      </c>
      <c r="Z78" s="75" t="s">
        <v>586</v>
      </c>
      <c r="AA78" s="75" t="s">
        <v>586</v>
      </c>
      <c r="AB78" s="75" t="s">
        <v>586</v>
      </c>
      <c r="AC78" s="75" t="s">
        <v>586</v>
      </c>
      <c r="AD78" s="75" t="s">
        <v>586</v>
      </c>
      <c r="AE78" s="75" t="s">
        <v>586</v>
      </c>
      <c r="AF78" s="75" t="s">
        <v>586</v>
      </c>
    </row>
    <row r="79" spans="1:35" ht="100.15" customHeight="1" x14ac:dyDescent="0.25">
      <c r="A79" s="620" t="s">
        <v>924</v>
      </c>
      <c r="B79" s="151" t="s">
        <v>13</v>
      </c>
      <c r="C79" s="40" t="s">
        <v>14</v>
      </c>
      <c r="D79" s="40" t="s">
        <v>15</v>
      </c>
      <c r="E79" s="41" t="s">
        <v>16</v>
      </c>
      <c r="F79" s="289" t="s">
        <v>17</v>
      </c>
      <c r="G79" s="40" t="s">
        <v>70</v>
      </c>
      <c r="H79" s="40" t="s">
        <v>71</v>
      </c>
      <c r="I79" s="40" t="s">
        <v>72</v>
      </c>
      <c r="J79" s="40" t="s">
        <v>2</v>
      </c>
      <c r="K79" s="40" t="s">
        <v>73</v>
      </c>
      <c r="L79" s="42" t="s">
        <v>74</v>
      </c>
      <c r="M79" s="42" t="s">
        <v>75</v>
      </c>
      <c r="N79" s="40" t="s">
        <v>76</v>
      </c>
      <c r="O79" s="40" t="s">
        <v>77</v>
      </c>
      <c r="P79" s="40" t="s">
        <v>78</v>
      </c>
      <c r="Q79" s="40" t="s">
        <v>79</v>
      </c>
      <c r="R79" s="40" t="s">
        <v>80</v>
      </c>
      <c r="S79" s="40" t="s">
        <v>81</v>
      </c>
      <c r="T79" s="40" t="s">
        <v>82</v>
      </c>
      <c r="U79" s="40" t="s">
        <v>83</v>
      </c>
      <c r="V79" s="40" t="s">
        <v>84</v>
      </c>
      <c r="W79" s="40" t="s">
        <v>3</v>
      </c>
      <c r="X79" s="40" t="s">
        <v>85</v>
      </c>
      <c r="Y79" s="40" t="s">
        <v>86</v>
      </c>
      <c r="Z79" s="40" t="s">
        <v>87</v>
      </c>
      <c r="AA79" s="40" t="s">
        <v>88</v>
      </c>
      <c r="AB79" s="40" t="s">
        <v>89</v>
      </c>
      <c r="AC79" s="40" t="s">
        <v>90</v>
      </c>
      <c r="AD79" s="40" t="s">
        <v>91</v>
      </c>
      <c r="AE79" s="40" t="s">
        <v>92</v>
      </c>
      <c r="AF79" s="43" t="s">
        <v>93</v>
      </c>
      <c r="AG79" s="2"/>
    </row>
    <row r="80" spans="1:35" ht="19.899999999999999" customHeight="1" x14ac:dyDescent="0.25">
      <c r="A80" s="615"/>
      <c r="B80" s="152">
        <v>1</v>
      </c>
      <c r="C80" s="44" t="s">
        <v>47</v>
      </c>
      <c r="D80" s="45">
        <v>11</v>
      </c>
      <c r="E80" s="46" t="s">
        <v>48</v>
      </c>
      <c r="F80" s="290" t="s">
        <v>49</v>
      </c>
      <c r="G80" s="47" t="s">
        <v>50</v>
      </c>
      <c r="H80" s="47">
        <v>36</v>
      </c>
      <c r="I80" s="47" t="s">
        <v>94</v>
      </c>
      <c r="J80" s="47" t="s">
        <v>95</v>
      </c>
      <c r="K80" s="47" t="s">
        <v>96</v>
      </c>
      <c r="L80" s="48" t="s">
        <v>97</v>
      </c>
      <c r="M80" s="48" t="s">
        <v>98</v>
      </c>
      <c r="N80" s="47" t="s">
        <v>99</v>
      </c>
      <c r="O80" s="47">
        <v>53</v>
      </c>
      <c r="P80" s="47">
        <v>54</v>
      </c>
      <c r="Q80" s="47" t="s">
        <v>913</v>
      </c>
      <c r="R80" s="47" t="s">
        <v>100</v>
      </c>
      <c r="S80" s="47" t="s">
        <v>101</v>
      </c>
      <c r="T80" s="47" t="s">
        <v>57</v>
      </c>
      <c r="U80" s="47" t="s">
        <v>102</v>
      </c>
      <c r="V80" s="47" t="s">
        <v>103</v>
      </c>
      <c r="W80" s="47" t="s">
        <v>104</v>
      </c>
      <c r="X80" s="47" t="s">
        <v>105</v>
      </c>
      <c r="Y80" s="47" t="s">
        <v>106</v>
      </c>
      <c r="Z80" s="47" t="s">
        <v>107</v>
      </c>
      <c r="AA80" s="47" t="s">
        <v>108</v>
      </c>
      <c r="AB80" s="45" t="s">
        <v>109</v>
      </c>
      <c r="AC80" s="47" t="s">
        <v>110</v>
      </c>
      <c r="AD80" s="45">
        <v>120</v>
      </c>
      <c r="AE80" s="45">
        <v>121</v>
      </c>
      <c r="AF80" s="49" t="s">
        <v>111</v>
      </c>
    </row>
    <row r="81" spans="1:35" outlineLevel="1" x14ac:dyDescent="0.25">
      <c r="A81" s="615"/>
      <c r="B81" s="152">
        <v>1</v>
      </c>
      <c r="C81" s="45">
        <v>9</v>
      </c>
      <c r="D81" s="45">
        <v>1</v>
      </c>
      <c r="E81" s="50">
        <v>13</v>
      </c>
      <c r="F81" s="291">
        <v>2</v>
      </c>
      <c r="G81" s="45">
        <v>9</v>
      </c>
      <c r="H81" s="45">
        <v>1</v>
      </c>
      <c r="I81" s="45">
        <v>2</v>
      </c>
      <c r="J81" s="45">
        <v>2</v>
      </c>
      <c r="K81" s="45">
        <v>3</v>
      </c>
      <c r="L81" s="51">
        <v>6</v>
      </c>
      <c r="M81" s="51">
        <v>1</v>
      </c>
      <c r="N81" s="45">
        <v>2</v>
      </c>
      <c r="O81" s="45">
        <v>1</v>
      </c>
      <c r="P81" s="45">
        <v>1</v>
      </c>
      <c r="Q81" s="45">
        <v>9</v>
      </c>
      <c r="R81" s="45">
        <v>2</v>
      </c>
      <c r="S81" s="45">
        <v>2</v>
      </c>
      <c r="T81" s="45">
        <v>6</v>
      </c>
      <c r="U81" s="45">
        <v>5</v>
      </c>
      <c r="V81" s="45">
        <v>2</v>
      </c>
      <c r="W81" s="45">
        <v>6</v>
      </c>
      <c r="X81" s="45">
        <v>2</v>
      </c>
      <c r="Y81" s="45">
        <v>7</v>
      </c>
      <c r="Z81" s="45">
        <v>7</v>
      </c>
      <c r="AA81" s="45">
        <v>3</v>
      </c>
      <c r="AB81" s="45">
        <v>7</v>
      </c>
      <c r="AC81" s="45">
        <v>7</v>
      </c>
      <c r="AD81" s="45">
        <v>1</v>
      </c>
      <c r="AE81" s="45">
        <v>1</v>
      </c>
      <c r="AF81" s="49">
        <v>7</v>
      </c>
    </row>
    <row r="82" spans="1:35" outlineLevel="1" x14ac:dyDescent="0.25">
      <c r="A82" s="615"/>
      <c r="B82" s="152" t="s">
        <v>1</v>
      </c>
      <c r="C82" s="45" t="s">
        <v>1</v>
      </c>
      <c r="D82" s="45" t="s">
        <v>69</v>
      </c>
      <c r="E82" s="50" t="s">
        <v>69</v>
      </c>
      <c r="F82" s="291" t="s">
        <v>1</v>
      </c>
      <c r="G82" s="45" t="s">
        <v>1</v>
      </c>
      <c r="H82" s="45" t="s">
        <v>69</v>
      </c>
      <c r="I82" s="45" t="s">
        <v>1</v>
      </c>
      <c r="J82" s="45" t="s">
        <v>1</v>
      </c>
      <c r="K82" s="45" t="s">
        <v>1</v>
      </c>
      <c r="L82" s="52" t="s">
        <v>1</v>
      </c>
      <c r="M82" s="52" t="s">
        <v>1</v>
      </c>
      <c r="N82" s="45" t="s">
        <v>69</v>
      </c>
      <c r="O82" s="45" t="s">
        <v>69</v>
      </c>
      <c r="P82" s="53" t="s">
        <v>69</v>
      </c>
      <c r="Q82" s="45" t="s">
        <v>1</v>
      </c>
      <c r="R82" s="45" t="s">
        <v>1</v>
      </c>
      <c r="S82" s="45" t="s">
        <v>1</v>
      </c>
      <c r="T82" s="45" t="s">
        <v>1</v>
      </c>
      <c r="U82" s="45" t="s">
        <v>69</v>
      </c>
      <c r="V82" s="45" t="s">
        <v>1</v>
      </c>
      <c r="W82" s="45" t="s">
        <v>1</v>
      </c>
      <c r="X82" s="45" t="s">
        <v>1</v>
      </c>
      <c r="Y82" s="45" t="s">
        <v>1</v>
      </c>
      <c r="Z82" s="45" t="s">
        <v>1</v>
      </c>
      <c r="AA82" s="45" t="s">
        <v>1</v>
      </c>
      <c r="AB82" s="45" t="s">
        <v>1</v>
      </c>
      <c r="AC82" s="45" t="s">
        <v>1</v>
      </c>
      <c r="AD82" s="45" t="s">
        <v>69</v>
      </c>
      <c r="AE82" s="45" t="s">
        <v>1</v>
      </c>
      <c r="AF82" s="49" t="s">
        <v>1</v>
      </c>
    </row>
    <row r="83" spans="1:35" ht="13.5" customHeight="1" outlineLevel="1" x14ac:dyDescent="0.25">
      <c r="A83" s="615"/>
      <c r="B83" s="152" t="s">
        <v>0</v>
      </c>
      <c r="C83" s="45" t="s">
        <v>0</v>
      </c>
      <c r="D83" s="45" t="s">
        <v>4</v>
      </c>
      <c r="E83" s="50" t="s">
        <v>0</v>
      </c>
      <c r="F83" s="291" t="s">
        <v>0</v>
      </c>
      <c r="G83" s="45" t="s">
        <v>0</v>
      </c>
      <c r="H83" s="45" t="s">
        <v>4</v>
      </c>
      <c r="I83" s="45" t="s">
        <v>4</v>
      </c>
      <c r="J83" s="45" t="s">
        <v>4</v>
      </c>
      <c r="K83" s="45" t="s">
        <v>4</v>
      </c>
      <c r="L83" s="52" t="s">
        <v>4</v>
      </c>
      <c r="M83" s="52" t="s">
        <v>0</v>
      </c>
      <c r="N83" s="45" t="s">
        <v>4</v>
      </c>
      <c r="O83" s="45" t="s">
        <v>4</v>
      </c>
      <c r="P83" s="45" t="s">
        <v>4</v>
      </c>
      <c r="Q83" s="45" t="s">
        <v>4</v>
      </c>
      <c r="R83" s="45" t="s">
        <v>4</v>
      </c>
      <c r="S83" s="45" t="s">
        <v>112</v>
      </c>
      <c r="T83" s="45" t="s">
        <v>0</v>
      </c>
      <c r="U83" s="45" t="s">
        <v>0</v>
      </c>
      <c r="V83" s="45" t="s">
        <v>0</v>
      </c>
      <c r="W83" s="45" t="s">
        <v>0</v>
      </c>
      <c r="X83" s="45" t="s">
        <v>0</v>
      </c>
      <c r="Y83" s="45" t="s">
        <v>0</v>
      </c>
      <c r="Z83" s="45" t="s">
        <v>0</v>
      </c>
      <c r="AA83" s="45" t="s">
        <v>0</v>
      </c>
      <c r="AB83" s="45" t="s">
        <v>0</v>
      </c>
      <c r="AC83" s="45" t="s">
        <v>0</v>
      </c>
      <c r="AD83" s="45" t="s">
        <v>4</v>
      </c>
      <c r="AE83" s="45" t="s">
        <v>4</v>
      </c>
      <c r="AF83" s="49" t="s">
        <v>4</v>
      </c>
    </row>
    <row r="84" spans="1:35" ht="30" customHeight="1" thickBot="1" x14ac:dyDescent="0.3">
      <c r="A84" s="616"/>
      <c r="B84" s="149" t="s">
        <v>10</v>
      </c>
      <c r="C84" s="54" t="s">
        <v>544</v>
      </c>
      <c r="D84" s="55" t="s">
        <v>8</v>
      </c>
      <c r="E84" s="54" t="s">
        <v>198</v>
      </c>
      <c r="F84" s="288">
        <v>77</v>
      </c>
      <c r="G84" s="54">
        <v>250000001</v>
      </c>
      <c r="H84" s="193" t="s">
        <v>8</v>
      </c>
      <c r="I84" s="193" t="s">
        <v>5</v>
      </c>
      <c r="J84" s="55" t="s">
        <v>5</v>
      </c>
      <c r="K84" s="55" t="s">
        <v>6</v>
      </c>
      <c r="L84" s="55" t="s">
        <v>208</v>
      </c>
      <c r="M84" s="193" t="s">
        <v>397</v>
      </c>
      <c r="N84" s="55" t="s">
        <v>210</v>
      </c>
      <c r="O84" s="55" t="s">
        <v>8</v>
      </c>
      <c r="P84" s="55" t="s">
        <v>8</v>
      </c>
      <c r="Q84" s="54" t="s">
        <v>544</v>
      </c>
      <c r="R84" s="55" t="s">
        <v>5</v>
      </c>
      <c r="S84" s="55" t="s">
        <v>5</v>
      </c>
      <c r="T84" s="33" t="s">
        <v>581</v>
      </c>
      <c r="U84" s="228" t="s">
        <v>241</v>
      </c>
      <c r="V84" s="33" t="s">
        <v>202</v>
      </c>
      <c r="W84" s="54" t="s">
        <v>590</v>
      </c>
      <c r="X84" s="33" t="s">
        <v>202</v>
      </c>
      <c r="Y84" s="54" t="s">
        <v>595</v>
      </c>
      <c r="Z84" s="96" t="s">
        <v>595</v>
      </c>
      <c r="AA84" s="54" t="s">
        <v>6</v>
      </c>
      <c r="AB84" s="54" t="s">
        <v>212</v>
      </c>
      <c r="AC84" s="54" t="s">
        <v>212</v>
      </c>
      <c r="AD84" s="193" t="s">
        <v>498</v>
      </c>
      <c r="AE84" s="193" t="s">
        <v>200</v>
      </c>
      <c r="AF84" s="54" t="s">
        <v>212</v>
      </c>
      <c r="AG84" s="188" t="s">
        <v>589</v>
      </c>
      <c r="AH84" s="76"/>
      <c r="AI84" s="76"/>
    </row>
    <row r="85" spans="1:35" s="75" customFormat="1" ht="15.75" thickBot="1" x14ac:dyDescent="0.3">
      <c r="B85" s="150" t="s">
        <v>586</v>
      </c>
      <c r="C85" s="75" t="s">
        <v>586</v>
      </c>
      <c r="D85" s="75" t="s">
        <v>586</v>
      </c>
      <c r="E85" s="75" t="s">
        <v>586</v>
      </c>
      <c r="F85" s="276" t="s">
        <v>586</v>
      </c>
      <c r="G85" s="75" t="s">
        <v>586</v>
      </c>
      <c r="H85" s="75" t="s">
        <v>586</v>
      </c>
      <c r="I85" s="75" t="s">
        <v>586</v>
      </c>
      <c r="J85" s="75" t="s">
        <v>586</v>
      </c>
      <c r="K85" s="75" t="s">
        <v>586</v>
      </c>
      <c r="L85" s="75" t="s">
        <v>586</v>
      </c>
      <c r="M85" s="75" t="s">
        <v>586</v>
      </c>
      <c r="N85" s="75" t="s">
        <v>586</v>
      </c>
      <c r="O85" s="75" t="s">
        <v>586</v>
      </c>
      <c r="P85" s="75" t="s">
        <v>586</v>
      </c>
      <c r="Q85" s="75" t="s">
        <v>586</v>
      </c>
      <c r="R85" s="75" t="s">
        <v>586</v>
      </c>
      <c r="S85" s="75" t="s">
        <v>586</v>
      </c>
      <c r="T85" s="75" t="s">
        <v>586</v>
      </c>
      <c r="U85" s="75" t="s">
        <v>586</v>
      </c>
      <c r="V85" s="75" t="s">
        <v>586</v>
      </c>
      <c r="W85" s="75" t="s">
        <v>586</v>
      </c>
      <c r="X85" s="75" t="s">
        <v>586</v>
      </c>
      <c r="Y85" s="75" t="s">
        <v>586</v>
      </c>
      <c r="Z85" s="75" t="s">
        <v>586</v>
      </c>
      <c r="AA85" s="75" t="s">
        <v>586</v>
      </c>
      <c r="AB85" s="75" t="s">
        <v>586</v>
      </c>
      <c r="AC85" s="75" t="s">
        <v>586</v>
      </c>
      <c r="AD85" s="75" t="s">
        <v>586</v>
      </c>
      <c r="AE85" s="75" t="s">
        <v>586</v>
      </c>
      <c r="AF85" s="75" t="s">
        <v>586</v>
      </c>
    </row>
    <row r="86" spans="1:35" ht="100.15" customHeight="1" x14ac:dyDescent="0.25">
      <c r="A86" s="620" t="s">
        <v>919</v>
      </c>
      <c r="B86" s="151" t="s">
        <v>13</v>
      </c>
      <c r="C86" s="40" t="s">
        <v>14</v>
      </c>
      <c r="D86" s="40" t="s">
        <v>15</v>
      </c>
      <c r="E86" s="41" t="s">
        <v>16</v>
      </c>
      <c r="F86" s="289" t="s">
        <v>17</v>
      </c>
      <c r="G86" s="40" t="s">
        <v>70</v>
      </c>
      <c r="H86" s="40" t="s">
        <v>71</v>
      </c>
      <c r="I86" s="40" t="s">
        <v>72</v>
      </c>
      <c r="J86" s="40" t="s">
        <v>2</v>
      </c>
      <c r="K86" s="40" t="s">
        <v>73</v>
      </c>
      <c r="L86" s="42" t="s">
        <v>74</v>
      </c>
      <c r="M86" s="42" t="s">
        <v>75</v>
      </c>
      <c r="N86" s="40" t="s">
        <v>76</v>
      </c>
      <c r="O86" s="40" t="s">
        <v>77</v>
      </c>
      <c r="P86" s="40" t="s">
        <v>78</v>
      </c>
      <c r="Q86" s="40" t="s">
        <v>79</v>
      </c>
      <c r="R86" s="40" t="s">
        <v>80</v>
      </c>
      <c r="S86" s="40" t="s">
        <v>81</v>
      </c>
      <c r="T86" s="40" t="s">
        <v>82</v>
      </c>
      <c r="U86" s="40" t="s">
        <v>83</v>
      </c>
      <c r="V86" s="40" t="s">
        <v>84</v>
      </c>
      <c r="W86" s="40" t="s">
        <v>3</v>
      </c>
      <c r="X86" s="40" t="s">
        <v>85</v>
      </c>
      <c r="Y86" s="40" t="s">
        <v>86</v>
      </c>
      <c r="Z86" s="40" t="s">
        <v>87</v>
      </c>
      <c r="AA86" s="40" t="s">
        <v>88</v>
      </c>
      <c r="AB86" s="40" t="s">
        <v>89</v>
      </c>
      <c r="AC86" s="40" t="s">
        <v>90</v>
      </c>
      <c r="AD86" s="40" t="s">
        <v>91</v>
      </c>
      <c r="AE86" s="40" t="s">
        <v>92</v>
      </c>
      <c r="AF86" s="43" t="s">
        <v>93</v>
      </c>
      <c r="AG86" s="2"/>
    </row>
    <row r="87" spans="1:35" ht="19.899999999999999" customHeight="1" x14ac:dyDescent="0.25">
      <c r="A87" s="615"/>
      <c r="B87" s="152">
        <v>1</v>
      </c>
      <c r="C87" s="44" t="s">
        <v>47</v>
      </c>
      <c r="D87" s="45">
        <v>11</v>
      </c>
      <c r="E87" s="46" t="s">
        <v>48</v>
      </c>
      <c r="F87" s="290" t="s">
        <v>49</v>
      </c>
      <c r="G87" s="47" t="s">
        <v>50</v>
      </c>
      <c r="H87" s="47">
        <v>36</v>
      </c>
      <c r="I87" s="47" t="s">
        <v>94</v>
      </c>
      <c r="J87" s="47" t="s">
        <v>95</v>
      </c>
      <c r="K87" s="47" t="s">
        <v>96</v>
      </c>
      <c r="L87" s="48" t="s">
        <v>97</v>
      </c>
      <c r="M87" s="48" t="s">
        <v>98</v>
      </c>
      <c r="N87" s="47" t="s">
        <v>99</v>
      </c>
      <c r="O87" s="47">
        <v>53</v>
      </c>
      <c r="P87" s="47">
        <v>54</v>
      </c>
      <c r="Q87" s="47" t="s">
        <v>913</v>
      </c>
      <c r="R87" s="47" t="s">
        <v>100</v>
      </c>
      <c r="S87" s="47" t="s">
        <v>101</v>
      </c>
      <c r="T87" s="47" t="s">
        <v>57</v>
      </c>
      <c r="U87" s="47" t="s">
        <v>102</v>
      </c>
      <c r="V87" s="47" t="s">
        <v>103</v>
      </c>
      <c r="W87" s="47" t="s">
        <v>104</v>
      </c>
      <c r="X87" s="47" t="s">
        <v>105</v>
      </c>
      <c r="Y87" s="47" t="s">
        <v>106</v>
      </c>
      <c r="Z87" s="47" t="s">
        <v>107</v>
      </c>
      <c r="AA87" s="47" t="s">
        <v>108</v>
      </c>
      <c r="AB87" s="45" t="s">
        <v>109</v>
      </c>
      <c r="AC87" s="47" t="s">
        <v>110</v>
      </c>
      <c r="AD87" s="45">
        <v>120</v>
      </c>
      <c r="AE87" s="45">
        <v>121</v>
      </c>
      <c r="AF87" s="49" t="s">
        <v>111</v>
      </c>
    </row>
    <row r="88" spans="1:35" outlineLevel="1" x14ac:dyDescent="0.25">
      <c r="A88" s="615"/>
      <c r="B88" s="152">
        <v>1</v>
      </c>
      <c r="C88" s="45">
        <v>9</v>
      </c>
      <c r="D88" s="45">
        <v>1</v>
      </c>
      <c r="E88" s="50">
        <v>13</v>
      </c>
      <c r="F88" s="291">
        <v>2</v>
      </c>
      <c r="G88" s="45">
        <v>9</v>
      </c>
      <c r="H88" s="45">
        <v>1</v>
      </c>
      <c r="I88" s="45">
        <v>2</v>
      </c>
      <c r="J88" s="45">
        <v>2</v>
      </c>
      <c r="K88" s="45">
        <v>3</v>
      </c>
      <c r="L88" s="51">
        <v>6</v>
      </c>
      <c r="M88" s="51">
        <v>1</v>
      </c>
      <c r="N88" s="45">
        <v>2</v>
      </c>
      <c r="O88" s="45">
        <v>1</v>
      </c>
      <c r="P88" s="45">
        <v>1</v>
      </c>
      <c r="Q88" s="45">
        <v>9</v>
      </c>
      <c r="R88" s="45">
        <v>2</v>
      </c>
      <c r="S88" s="45">
        <v>2</v>
      </c>
      <c r="T88" s="45">
        <v>6</v>
      </c>
      <c r="U88" s="45">
        <v>5</v>
      </c>
      <c r="V88" s="45">
        <v>2</v>
      </c>
      <c r="W88" s="45">
        <v>6</v>
      </c>
      <c r="X88" s="45">
        <v>2</v>
      </c>
      <c r="Y88" s="45">
        <v>7</v>
      </c>
      <c r="Z88" s="45">
        <v>7</v>
      </c>
      <c r="AA88" s="45">
        <v>3</v>
      </c>
      <c r="AB88" s="45">
        <v>7</v>
      </c>
      <c r="AC88" s="45">
        <v>7</v>
      </c>
      <c r="AD88" s="45">
        <v>1</v>
      </c>
      <c r="AE88" s="45">
        <v>1</v>
      </c>
      <c r="AF88" s="49">
        <v>7</v>
      </c>
    </row>
    <row r="89" spans="1:35" outlineLevel="1" x14ac:dyDescent="0.25">
      <c r="A89" s="615"/>
      <c r="B89" s="152" t="s">
        <v>1</v>
      </c>
      <c r="C89" s="45" t="s">
        <v>1</v>
      </c>
      <c r="D89" s="45" t="s">
        <v>69</v>
      </c>
      <c r="E89" s="50" t="s">
        <v>69</v>
      </c>
      <c r="F89" s="291" t="s">
        <v>1</v>
      </c>
      <c r="G89" s="45" t="s">
        <v>1</v>
      </c>
      <c r="H89" s="45" t="s">
        <v>69</v>
      </c>
      <c r="I89" s="45" t="s">
        <v>1</v>
      </c>
      <c r="J89" s="45" t="s">
        <v>1</v>
      </c>
      <c r="K89" s="45" t="s">
        <v>1</v>
      </c>
      <c r="L89" s="52" t="s">
        <v>1</v>
      </c>
      <c r="M89" s="52" t="s">
        <v>1</v>
      </c>
      <c r="N89" s="45" t="s">
        <v>69</v>
      </c>
      <c r="O89" s="45" t="s">
        <v>69</v>
      </c>
      <c r="P89" s="53" t="s">
        <v>69</v>
      </c>
      <c r="Q89" s="45" t="s">
        <v>1</v>
      </c>
      <c r="R89" s="45" t="s">
        <v>1</v>
      </c>
      <c r="S89" s="45" t="s">
        <v>1</v>
      </c>
      <c r="T89" s="45" t="s">
        <v>1</v>
      </c>
      <c r="U89" s="45" t="s">
        <v>69</v>
      </c>
      <c r="V89" s="45" t="s">
        <v>1</v>
      </c>
      <c r="W89" s="45" t="s">
        <v>1</v>
      </c>
      <c r="X89" s="45" t="s">
        <v>1</v>
      </c>
      <c r="Y89" s="45" t="s">
        <v>1</v>
      </c>
      <c r="Z89" s="45" t="s">
        <v>1</v>
      </c>
      <c r="AA89" s="45" t="s">
        <v>1</v>
      </c>
      <c r="AB89" s="45" t="s">
        <v>1</v>
      </c>
      <c r="AC89" s="45" t="s">
        <v>1</v>
      </c>
      <c r="AD89" s="45" t="s">
        <v>69</v>
      </c>
      <c r="AE89" s="45" t="s">
        <v>1</v>
      </c>
      <c r="AF89" s="49" t="s">
        <v>1</v>
      </c>
    </row>
    <row r="90" spans="1:35" ht="13.5" customHeight="1" outlineLevel="1" x14ac:dyDescent="0.25">
      <c r="A90" s="615"/>
      <c r="B90" s="152" t="s">
        <v>0</v>
      </c>
      <c r="C90" s="45" t="s">
        <v>0</v>
      </c>
      <c r="D90" s="45" t="s">
        <v>4</v>
      </c>
      <c r="E90" s="50" t="s">
        <v>0</v>
      </c>
      <c r="F90" s="291" t="s">
        <v>0</v>
      </c>
      <c r="G90" s="45" t="s">
        <v>0</v>
      </c>
      <c r="H90" s="45" t="s">
        <v>4</v>
      </c>
      <c r="I90" s="45" t="s">
        <v>4</v>
      </c>
      <c r="J90" s="45" t="s">
        <v>4</v>
      </c>
      <c r="K90" s="45" t="s">
        <v>4</v>
      </c>
      <c r="L90" s="52" t="s">
        <v>4</v>
      </c>
      <c r="M90" s="52" t="s">
        <v>0</v>
      </c>
      <c r="N90" s="45" t="s">
        <v>4</v>
      </c>
      <c r="O90" s="45" t="s">
        <v>4</v>
      </c>
      <c r="P90" s="45" t="s">
        <v>4</v>
      </c>
      <c r="Q90" s="45" t="s">
        <v>4</v>
      </c>
      <c r="R90" s="45" t="s">
        <v>4</v>
      </c>
      <c r="S90" s="45" t="s">
        <v>112</v>
      </c>
      <c r="T90" s="45" t="s">
        <v>0</v>
      </c>
      <c r="U90" s="45" t="s">
        <v>0</v>
      </c>
      <c r="V90" s="45" t="s">
        <v>0</v>
      </c>
      <c r="W90" s="45" t="s">
        <v>0</v>
      </c>
      <c r="X90" s="45" t="s">
        <v>0</v>
      </c>
      <c r="Y90" s="45" t="s">
        <v>0</v>
      </c>
      <c r="Z90" s="45" t="s">
        <v>0</v>
      </c>
      <c r="AA90" s="45" t="s">
        <v>0</v>
      </c>
      <c r="AB90" s="45" t="s">
        <v>0</v>
      </c>
      <c r="AC90" s="45" t="s">
        <v>0</v>
      </c>
      <c r="AD90" s="45" t="s">
        <v>4</v>
      </c>
      <c r="AE90" s="45" t="s">
        <v>4</v>
      </c>
      <c r="AF90" s="49" t="s">
        <v>4</v>
      </c>
    </row>
    <row r="91" spans="1:35" ht="30" customHeight="1" thickBot="1" x14ac:dyDescent="0.3">
      <c r="A91" s="616"/>
      <c r="B91" s="149" t="s">
        <v>10</v>
      </c>
      <c r="C91" s="54" t="s">
        <v>544</v>
      </c>
      <c r="D91" s="55" t="s">
        <v>8</v>
      </c>
      <c r="E91" s="54" t="s">
        <v>198</v>
      </c>
      <c r="F91" s="288">
        <v>77</v>
      </c>
      <c r="G91" s="54">
        <v>250000001</v>
      </c>
      <c r="H91" s="193" t="s">
        <v>8</v>
      </c>
      <c r="I91" s="193" t="s">
        <v>5</v>
      </c>
      <c r="J91" s="55" t="s">
        <v>5</v>
      </c>
      <c r="K91" s="55" t="s">
        <v>6</v>
      </c>
      <c r="L91" s="55" t="s">
        <v>208</v>
      </c>
      <c r="M91" s="193" t="s">
        <v>397</v>
      </c>
      <c r="N91" s="55" t="s">
        <v>210</v>
      </c>
      <c r="O91" s="55" t="s">
        <v>8</v>
      </c>
      <c r="P91" s="55" t="s">
        <v>8</v>
      </c>
      <c r="Q91" s="54" t="s">
        <v>544</v>
      </c>
      <c r="R91" s="55" t="s">
        <v>5</v>
      </c>
      <c r="S91" s="55" t="s">
        <v>5</v>
      </c>
      <c r="T91" s="33" t="s">
        <v>581</v>
      </c>
      <c r="U91" s="228" t="s">
        <v>280</v>
      </c>
      <c r="V91" s="33" t="s">
        <v>202</v>
      </c>
      <c r="W91" s="54" t="s">
        <v>590</v>
      </c>
      <c r="X91" s="33" t="s">
        <v>202</v>
      </c>
      <c r="Y91" s="54" t="s">
        <v>595</v>
      </c>
      <c r="Z91" s="96" t="s">
        <v>595</v>
      </c>
      <c r="AA91" s="54" t="s">
        <v>6</v>
      </c>
      <c r="AB91" s="54" t="s">
        <v>212</v>
      </c>
      <c r="AC91" s="54" t="s">
        <v>212</v>
      </c>
      <c r="AD91" s="193" t="s">
        <v>498</v>
      </c>
      <c r="AE91" s="193" t="s">
        <v>200</v>
      </c>
      <c r="AF91" s="54" t="s">
        <v>212</v>
      </c>
      <c r="AG91" s="188" t="s">
        <v>589</v>
      </c>
      <c r="AH91" s="76"/>
      <c r="AI91" s="76"/>
    </row>
    <row r="92" spans="1:35" s="75" customFormat="1" ht="15.75" thickBot="1" x14ac:dyDescent="0.3">
      <c r="A92" s="77"/>
      <c r="B92" s="144"/>
      <c r="C92" s="77"/>
      <c r="D92" s="77"/>
      <c r="E92" s="77"/>
      <c r="F92" s="271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</row>
    <row r="93" spans="1:35" ht="100.15" customHeight="1" x14ac:dyDescent="0.25">
      <c r="A93" s="614" t="s">
        <v>360</v>
      </c>
      <c r="B93" s="147" t="s">
        <v>13</v>
      </c>
      <c r="C93" s="24" t="s">
        <v>14</v>
      </c>
      <c r="D93" s="24" t="s">
        <v>15</v>
      </c>
      <c r="E93" s="25" t="s">
        <v>16</v>
      </c>
      <c r="F93" s="282" t="s">
        <v>17</v>
      </c>
      <c r="G93" s="24" t="s">
        <v>70</v>
      </c>
      <c r="H93" s="24" t="s">
        <v>15</v>
      </c>
      <c r="I93" s="24" t="s">
        <v>220</v>
      </c>
      <c r="J93" s="24" t="s">
        <v>221</v>
      </c>
      <c r="K93" s="26" t="s">
        <v>222</v>
      </c>
      <c r="L93" s="26" t="s">
        <v>223</v>
      </c>
      <c r="M93" s="24" t="s">
        <v>224</v>
      </c>
      <c r="N93" s="24" t="s">
        <v>225</v>
      </c>
      <c r="O93" s="24" t="s">
        <v>226</v>
      </c>
      <c r="P93" s="24" t="s">
        <v>221</v>
      </c>
      <c r="Q93" s="24" t="s">
        <v>227</v>
      </c>
      <c r="R93" s="24" t="s">
        <v>15</v>
      </c>
      <c r="S93" s="27" t="s">
        <v>228</v>
      </c>
    </row>
    <row r="94" spans="1:35" ht="19.899999999999999" customHeight="1" x14ac:dyDescent="0.25">
      <c r="A94" s="615"/>
      <c r="B94" s="148">
        <v>1</v>
      </c>
      <c r="C94" s="5" t="s">
        <v>47</v>
      </c>
      <c r="D94" s="4">
        <v>11</v>
      </c>
      <c r="E94" s="6" t="s">
        <v>48</v>
      </c>
      <c r="F94" s="283" t="s">
        <v>49</v>
      </c>
      <c r="G94" s="7" t="s">
        <v>50</v>
      </c>
      <c r="H94" s="7" t="s">
        <v>229</v>
      </c>
      <c r="I94" s="7" t="s">
        <v>216</v>
      </c>
      <c r="J94" s="7" t="s">
        <v>230</v>
      </c>
      <c r="K94" s="8" t="s">
        <v>217</v>
      </c>
      <c r="L94" s="8" t="s">
        <v>218</v>
      </c>
      <c r="M94" s="7" t="s">
        <v>179</v>
      </c>
      <c r="N94" s="7" t="s">
        <v>219</v>
      </c>
      <c r="O94" s="7">
        <v>90</v>
      </c>
      <c r="P94" s="7" t="s">
        <v>231</v>
      </c>
      <c r="Q94" s="7">
        <v>94</v>
      </c>
      <c r="R94" s="7" t="s">
        <v>232</v>
      </c>
      <c r="S94" s="28" t="s">
        <v>233</v>
      </c>
    </row>
    <row r="95" spans="1:35" outlineLevel="1" x14ac:dyDescent="0.25">
      <c r="A95" s="615"/>
      <c r="B95" s="148">
        <v>1</v>
      </c>
      <c r="C95" s="4">
        <v>9</v>
      </c>
      <c r="D95" s="4">
        <v>1</v>
      </c>
      <c r="E95" s="9">
        <v>13</v>
      </c>
      <c r="F95" s="284">
        <v>2</v>
      </c>
      <c r="G95" s="4">
        <v>9</v>
      </c>
      <c r="H95" s="4">
        <v>3</v>
      </c>
      <c r="I95" s="4">
        <v>3</v>
      </c>
      <c r="J95" s="4">
        <v>16</v>
      </c>
      <c r="K95" s="10">
        <v>8</v>
      </c>
      <c r="L95" s="10">
        <v>8</v>
      </c>
      <c r="M95" s="4">
        <v>8</v>
      </c>
      <c r="N95" s="4">
        <v>8</v>
      </c>
      <c r="O95" s="4">
        <v>1</v>
      </c>
      <c r="P95" s="4">
        <v>3</v>
      </c>
      <c r="Q95" s="4">
        <v>1</v>
      </c>
      <c r="R95" s="4">
        <v>2</v>
      </c>
      <c r="S95" s="29">
        <v>32</v>
      </c>
    </row>
    <row r="96" spans="1:35" ht="13.5" customHeight="1" outlineLevel="1" x14ac:dyDescent="0.25">
      <c r="A96" s="615"/>
      <c r="B96" s="148" t="s">
        <v>1</v>
      </c>
      <c r="C96" s="4" t="s">
        <v>1</v>
      </c>
      <c r="D96" s="4" t="s">
        <v>69</v>
      </c>
      <c r="E96" s="9" t="s">
        <v>69</v>
      </c>
      <c r="F96" s="284" t="s">
        <v>1</v>
      </c>
      <c r="G96" s="4" t="s">
        <v>1</v>
      </c>
      <c r="H96" s="4" t="s">
        <v>69</v>
      </c>
      <c r="I96" s="4" t="s">
        <v>1</v>
      </c>
      <c r="J96" s="4" t="s">
        <v>69</v>
      </c>
      <c r="K96" s="12" t="s">
        <v>1</v>
      </c>
      <c r="L96" s="12" t="s">
        <v>1</v>
      </c>
      <c r="M96" s="4" t="s">
        <v>1</v>
      </c>
      <c r="N96" s="4" t="s">
        <v>1</v>
      </c>
      <c r="O96" s="4" t="s">
        <v>69</v>
      </c>
      <c r="P96" s="4" t="s">
        <v>69</v>
      </c>
      <c r="Q96" s="4" t="s">
        <v>69</v>
      </c>
      <c r="R96" s="4" t="s">
        <v>69</v>
      </c>
      <c r="S96" s="29" t="s">
        <v>69</v>
      </c>
    </row>
    <row r="97" spans="1:35" outlineLevel="1" x14ac:dyDescent="0.25">
      <c r="A97" s="615"/>
      <c r="B97" s="148" t="s">
        <v>0</v>
      </c>
      <c r="C97" s="4" t="s">
        <v>0</v>
      </c>
      <c r="D97" s="4" t="s">
        <v>4</v>
      </c>
      <c r="E97" s="9" t="s">
        <v>0</v>
      </c>
      <c r="F97" s="284" t="s">
        <v>0</v>
      </c>
      <c r="G97" s="4" t="s">
        <v>0</v>
      </c>
      <c r="H97" s="4" t="s">
        <v>4</v>
      </c>
      <c r="I97" s="4" t="s">
        <v>0</v>
      </c>
      <c r="J97" s="4" t="s">
        <v>0</v>
      </c>
      <c r="K97" s="12" t="s">
        <v>0</v>
      </c>
      <c r="L97" s="12" t="s">
        <v>0</v>
      </c>
      <c r="M97" s="4" t="s">
        <v>0</v>
      </c>
      <c r="N97" s="4" t="s">
        <v>4</v>
      </c>
      <c r="O97" s="4" t="s">
        <v>4</v>
      </c>
      <c r="P97" s="4" t="s">
        <v>0</v>
      </c>
      <c r="Q97" s="4" t="s">
        <v>0</v>
      </c>
      <c r="R97" s="4" t="s">
        <v>4</v>
      </c>
      <c r="S97" s="29" t="s">
        <v>4</v>
      </c>
    </row>
    <row r="98" spans="1:35" s="163" customFormat="1" ht="30" customHeight="1" thickBot="1" x14ac:dyDescent="0.3">
      <c r="A98" s="616"/>
      <c r="B98" s="157">
        <v>5</v>
      </c>
      <c r="C98" s="54" t="s">
        <v>544</v>
      </c>
      <c r="D98" s="55" t="s">
        <v>8</v>
      </c>
      <c r="E98" s="55" t="s">
        <v>198</v>
      </c>
      <c r="F98" s="270">
        <v>77</v>
      </c>
      <c r="G98" s="55">
        <v>250000001</v>
      </c>
      <c r="H98" s="98" t="s">
        <v>9</v>
      </c>
      <c r="I98" s="496" t="s">
        <v>729</v>
      </c>
      <c r="J98" s="98" t="s">
        <v>234</v>
      </c>
      <c r="K98" s="56" t="s">
        <v>705</v>
      </c>
      <c r="L98" s="56" t="s">
        <v>706</v>
      </c>
      <c r="M98" s="56" t="s">
        <v>707</v>
      </c>
      <c r="N98" s="56" t="s">
        <v>599</v>
      </c>
      <c r="O98" s="56" t="s">
        <v>8</v>
      </c>
      <c r="P98" s="56" t="s">
        <v>9</v>
      </c>
      <c r="Q98" s="56" t="s">
        <v>8</v>
      </c>
      <c r="R98" s="56" t="s">
        <v>210</v>
      </c>
      <c r="S98" s="99" t="s">
        <v>235</v>
      </c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</row>
    <row r="99" spans="1:35" ht="15.75" thickBot="1" x14ac:dyDescent="0.3">
      <c r="A99" s="75"/>
      <c r="B99" s="150" t="s">
        <v>586</v>
      </c>
      <c r="C99" s="75" t="s">
        <v>586</v>
      </c>
      <c r="D99" s="75" t="s">
        <v>586</v>
      </c>
      <c r="E99" s="75" t="s">
        <v>586</v>
      </c>
      <c r="F99" s="276" t="s">
        <v>586</v>
      </c>
      <c r="G99" s="75" t="s">
        <v>586</v>
      </c>
      <c r="H99" s="75" t="s">
        <v>586</v>
      </c>
      <c r="I99" s="75" t="s">
        <v>586</v>
      </c>
      <c r="J99" s="75" t="s">
        <v>586</v>
      </c>
      <c r="K99" s="75" t="s">
        <v>586</v>
      </c>
      <c r="L99" s="75" t="s">
        <v>586</v>
      </c>
      <c r="M99" s="75" t="s">
        <v>586</v>
      </c>
      <c r="N99" s="75" t="s">
        <v>586</v>
      </c>
      <c r="O99" s="75" t="s">
        <v>586</v>
      </c>
      <c r="P99" s="75" t="s">
        <v>586</v>
      </c>
      <c r="Q99" s="75" t="s">
        <v>586</v>
      </c>
      <c r="R99" s="75" t="s">
        <v>586</v>
      </c>
      <c r="S99" s="75" t="s">
        <v>586</v>
      </c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</row>
    <row r="100" spans="1:35" ht="100.15" customHeight="1" x14ac:dyDescent="0.25">
      <c r="A100" s="608" t="s">
        <v>361</v>
      </c>
      <c r="B100" s="327" t="s">
        <v>13</v>
      </c>
      <c r="C100" s="328" t="s">
        <v>14</v>
      </c>
      <c r="D100" s="328" t="s">
        <v>339</v>
      </c>
      <c r="E100" s="329" t="s">
        <v>469</v>
      </c>
      <c r="F100" s="330" t="s">
        <v>470</v>
      </c>
      <c r="G100" s="328" t="s">
        <v>471</v>
      </c>
      <c r="H100" s="328" t="s">
        <v>340</v>
      </c>
      <c r="I100" s="328" t="s">
        <v>473</v>
      </c>
      <c r="J100" s="328" t="s">
        <v>472</v>
      </c>
      <c r="K100" s="331" t="s">
        <v>312</v>
      </c>
      <c r="L100" s="331" t="s">
        <v>341</v>
      </c>
      <c r="M100" s="328" t="s">
        <v>25</v>
      </c>
      <c r="N100" s="328" t="s">
        <v>15</v>
      </c>
      <c r="O100" s="328" t="s">
        <v>474</v>
      </c>
      <c r="P100" s="328" t="s">
        <v>342</v>
      </c>
      <c r="Q100" s="328" t="s">
        <v>15</v>
      </c>
      <c r="R100" s="328" t="s">
        <v>343</v>
      </c>
      <c r="S100" s="332" t="s">
        <v>228</v>
      </c>
    </row>
    <row r="101" spans="1:35" ht="19.899999999999999" customHeight="1" x14ac:dyDescent="0.25">
      <c r="A101" s="609"/>
      <c r="B101" s="158">
        <v>1</v>
      </c>
      <c r="C101" s="102" t="s">
        <v>47</v>
      </c>
      <c r="D101" s="103" t="s">
        <v>344</v>
      </c>
      <c r="E101" s="104" t="s">
        <v>345</v>
      </c>
      <c r="F101" s="298" t="s">
        <v>346</v>
      </c>
      <c r="G101" s="103" t="s">
        <v>347</v>
      </c>
      <c r="H101" s="103" t="s">
        <v>348</v>
      </c>
      <c r="I101" s="103" t="s">
        <v>349</v>
      </c>
      <c r="J101" s="103" t="s">
        <v>350</v>
      </c>
      <c r="K101" s="105" t="s">
        <v>351</v>
      </c>
      <c r="L101" s="105" t="s">
        <v>352</v>
      </c>
      <c r="M101" s="103" t="s">
        <v>353</v>
      </c>
      <c r="N101" s="103" t="s">
        <v>354</v>
      </c>
      <c r="O101" s="103" t="s">
        <v>355</v>
      </c>
      <c r="P101" s="103" t="s">
        <v>356</v>
      </c>
      <c r="Q101" s="103" t="s">
        <v>357</v>
      </c>
      <c r="R101" s="103" t="s">
        <v>358</v>
      </c>
      <c r="S101" s="333" t="s">
        <v>233</v>
      </c>
    </row>
    <row r="102" spans="1:35" outlineLevel="1" x14ac:dyDescent="0.25">
      <c r="A102" s="609"/>
      <c r="B102" s="158">
        <v>1</v>
      </c>
      <c r="C102" s="101">
        <v>9</v>
      </c>
      <c r="D102" s="101">
        <v>3</v>
      </c>
      <c r="E102" s="101">
        <v>4</v>
      </c>
      <c r="F102" s="299">
        <v>4</v>
      </c>
      <c r="G102" s="101">
        <v>3</v>
      </c>
      <c r="H102" s="101">
        <v>9</v>
      </c>
      <c r="I102" s="101">
        <v>9</v>
      </c>
      <c r="J102" s="101">
        <v>9</v>
      </c>
      <c r="K102" s="107">
        <v>3</v>
      </c>
      <c r="L102" s="107">
        <v>1</v>
      </c>
      <c r="M102" s="101">
        <v>1</v>
      </c>
      <c r="N102" s="101">
        <v>4</v>
      </c>
      <c r="O102" s="101">
        <v>12</v>
      </c>
      <c r="P102" s="101">
        <v>12</v>
      </c>
      <c r="Q102" s="103">
        <v>3</v>
      </c>
      <c r="R102" s="101">
        <v>9</v>
      </c>
      <c r="S102" s="334">
        <v>32</v>
      </c>
    </row>
    <row r="103" spans="1:35" outlineLevel="1" x14ac:dyDescent="0.25">
      <c r="A103" s="609"/>
      <c r="B103" s="158" t="s">
        <v>1</v>
      </c>
      <c r="C103" s="101" t="s">
        <v>1</v>
      </c>
      <c r="D103" s="197" t="s">
        <v>1</v>
      </c>
      <c r="E103" s="106" t="s">
        <v>1</v>
      </c>
      <c r="F103" s="299" t="s">
        <v>1</v>
      </c>
      <c r="G103" s="101" t="s">
        <v>1</v>
      </c>
      <c r="H103" s="101" t="s">
        <v>1</v>
      </c>
      <c r="I103" s="101" t="s">
        <v>1</v>
      </c>
      <c r="J103" s="101" t="s">
        <v>1</v>
      </c>
      <c r="K103" s="108" t="s">
        <v>1</v>
      </c>
      <c r="L103" s="108" t="s">
        <v>69</v>
      </c>
      <c r="M103" s="101" t="s">
        <v>69</v>
      </c>
      <c r="N103" s="101" t="s">
        <v>69</v>
      </c>
      <c r="O103" s="101" t="s">
        <v>69</v>
      </c>
      <c r="P103" s="101" t="s">
        <v>1</v>
      </c>
      <c r="Q103" s="101" t="s">
        <v>69</v>
      </c>
      <c r="R103" s="101" t="s">
        <v>1</v>
      </c>
      <c r="S103" s="334" t="s">
        <v>1</v>
      </c>
    </row>
    <row r="104" spans="1:35" outlineLevel="1" x14ac:dyDescent="0.25">
      <c r="A104" s="609"/>
      <c r="B104" s="158" t="s">
        <v>0</v>
      </c>
      <c r="C104" s="101" t="s">
        <v>0</v>
      </c>
      <c r="D104" s="101" t="s">
        <v>0</v>
      </c>
      <c r="E104" s="106" t="s">
        <v>0</v>
      </c>
      <c r="F104" s="299" t="s">
        <v>0</v>
      </c>
      <c r="G104" s="101" t="s">
        <v>0</v>
      </c>
      <c r="H104" s="101" t="s">
        <v>0</v>
      </c>
      <c r="I104" s="101" t="s">
        <v>0</v>
      </c>
      <c r="J104" s="101" t="s">
        <v>0</v>
      </c>
      <c r="K104" s="108" t="s">
        <v>0</v>
      </c>
      <c r="L104" s="108" t="s">
        <v>4</v>
      </c>
      <c r="M104" s="101" t="s">
        <v>4</v>
      </c>
      <c r="N104" s="101" t="s">
        <v>4</v>
      </c>
      <c r="O104" s="101" t="s">
        <v>4</v>
      </c>
      <c r="P104" s="101" t="s">
        <v>4</v>
      </c>
      <c r="Q104" s="101" t="s">
        <v>4</v>
      </c>
      <c r="R104" s="101" t="s">
        <v>4</v>
      </c>
      <c r="S104" s="334" t="s">
        <v>0</v>
      </c>
    </row>
    <row r="105" spans="1:35" s="163" customFormat="1" ht="30" customHeight="1" thickBot="1" x14ac:dyDescent="0.3">
      <c r="A105" s="610"/>
      <c r="B105" s="183">
        <v>6</v>
      </c>
      <c r="C105" s="335" t="s">
        <v>544</v>
      </c>
      <c r="D105" s="185" t="s">
        <v>195</v>
      </c>
      <c r="E105" s="336" t="s">
        <v>672</v>
      </c>
      <c r="F105" s="337" t="s">
        <v>521</v>
      </c>
      <c r="G105" s="185" t="s">
        <v>195</v>
      </c>
      <c r="H105" s="184" t="s">
        <v>708</v>
      </c>
      <c r="I105" s="184" t="s">
        <v>709</v>
      </c>
      <c r="J105" s="184" t="s">
        <v>209</v>
      </c>
      <c r="K105" s="184" t="s">
        <v>195</v>
      </c>
      <c r="L105" s="186" t="s">
        <v>8</v>
      </c>
      <c r="M105" s="186" t="s">
        <v>8</v>
      </c>
      <c r="N105" s="186" t="s">
        <v>387</v>
      </c>
      <c r="O105" s="186" t="s">
        <v>941</v>
      </c>
      <c r="P105" s="186" t="s">
        <v>388</v>
      </c>
      <c r="Q105" s="186" t="s">
        <v>9</v>
      </c>
      <c r="R105" s="186" t="s">
        <v>389</v>
      </c>
      <c r="S105" s="187" t="s">
        <v>235</v>
      </c>
    </row>
    <row r="106" spans="1:35" ht="9.75" customHeight="1" thickBot="1" x14ac:dyDescent="0.3">
      <c r="B106" s="150" t="s">
        <v>586</v>
      </c>
      <c r="C106" s="150" t="s">
        <v>586</v>
      </c>
      <c r="D106" s="150" t="s">
        <v>586</v>
      </c>
      <c r="E106" s="150" t="s">
        <v>586</v>
      </c>
      <c r="F106" s="276" t="s">
        <v>586</v>
      </c>
      <c r="G106" s="150" t="s">
        <v>586</v>
      </c>
      <c r="H106" s="150" t="s">
        <v>586</v>
      </c>
      <c r="I106" s="150" t="s">
        <v>586</v>
      </c>
      <c r="J106" s="150" t="s">
        <v>586</v>
      </c>
      <c r="K106" s="150" t="s">
        <v>586</v>
      </c>
      <c r="L106" s="150" t="s">
        <v>586</v>
      </c>
      <c r="M106" s="150" t="s">
        <v>586</v>
      </c>
      <c r="N106" s="150" t="s">
        <v>586</v>
      </c>
      <c r="O106" s="150" t="s">
        <v>586</v>
      </c>
      <c r="P106" s="150" t="s">
        <v>586</v>
      </c>
      <c r="Q106" s="150" t="s">
        <v>586</v>
      </c>
      <c r="R106" s="150" t="s">
        <v>586</v>
      </c>
      <c r="S106" s="150" t="s">
        <v>586</v>
      </c>
    </row>
    <row r="107" spans="1:35" ht="100.15" customHeight="1" x14ac:dyDescent="0.25">
      <c r="A107" s="611" t="s">
        <v>371</v>
      </c>
      <c r="B107" s="159" t="s">
        <v>13</v>
      </c>
      <c r="C107" s="117" t="s">
        <v>363</v>
      </c>
      <c r="D107" s="117" t="s">
        <v>364</v>
      </c>
      <c r="E107" s="118" t="s">
        <v>15</v>
      </c>
      <c r="F107" s="300" t="s">
        <v>283</v>
      </c>
      <c r="G107" s="117" t="s">
        <v>365</v>
      </c>
      <c r="H107" s="117" t="s">
        <v>15</v>
      </c>
      <c r="I107" s="117" t="s">
        <v>286</v>
      </c>
      <c r="J107" s="117" t="s">
        <v>287</v>
      </c>
      <c r="K107" s="119" t="s">
        <v>366</v>
      </c>
      <c r="L107" s="119" t="s">
        <v>15</v>
      </c>
      <c r="M107" s="117" t="s">
        <v>367</v>
      </c>
      <c r="N107" s="120" t="s">
        <v>15</v>
      </c>
    </row>
    <row r="108" spans="1:35" ht="19.899999999999999" customHeight="1" x14ac:dyDescent="0.25">
      <c r="A108" s="612"/>
      <c r="B108" s="198" t="s">
        <v>293</v>
      </c>
      <c r="C108" s="110" t="s">
        <v>294</v>
      </c>
      <c r="D108" s="111" t="s">
        <v>295</v>
      </c>
      <c r="E108" s="112" t="s">
        <v>296</v>
      </c>
      <c r="F108" s="301" t="s">
        <v>297</v>
      </c>
      <c r="G108" s="111" t="s">
        <v>298</v>
      </c>
      <c r="H108" s="111" t="s">
        <v>299</v>
      </c>
      <c r="I108" s="111" t="s">
        <v>300</v>
      </c>
      <c r="J108" s="111" t="s">
        <v>301</v>
      </c>
      <c r="K108" s="113" t="s">
        <v>368</v>
      </c>
      <c r="L108" s="113" t="s">
        <v>369</v>
      </c>
      <c r="M108" s="111" t="s">
        <v>307</v>
      </c>
      <c r="N108" s="121" t="s">
        <v>370</v>
      </c>
    </row>
    <row r="109" spans="1:35" outlineLevel="1" x14ac:dyDescent="0.25">
      <c r="A109" s="612"/>
      <c r="B109" s="160">
        <v>3</v>
      </c>
      <c r="C109" s="109">
        <v>2</v>
      </c>
      <c r="D109" s="109">
        <v>14</v>
      </c>
      <c r="E109" s="109">
        <v>6</v>
      </c>
      <c r="F109" s="302">
        <v>2</v>
      </c>
      <c r="G109" s="109">
        <v>14</v>
      </c>
      <c r="H109" s="109">
        <v>6</v>
      </c>
      <c r="I109" s="109">
        <v>2</v>
      </c>
      <c r="J109" s="109">
        <v>6</v>
      </c>
      <c r="K109" s="115">
        <v>8</v>
      </c>
      <c r="L109" s="115">
        <v>19</v>
      </c>
      <c r="M109" s="109">
        <v>3</v>
      </c>
      <c r="N109" s="122">
        <v>43</v>
      </c>
    </row>
    <row r="110" spans="1:35" outlineLevel="1" x14ac:dyDescent="0.25">
      <c r="A110" s="612"/>
      <c r="B110" s="160" t="s">
        <v>1</v>
      </c>
      <c r="C110" s="109" t="s">
        <v>69</v>
      </c>
      <c r="D110" s="109" t="s">
        <v>1</v>
      </c>
      <c r="E110" s="114" t="s">
        <v>69</v>
      </c>
      <c r="F110" s="302" t="s">
        <v>69</v>
      </c>
      <c r="G110" s="109" t="s">
        <v>1</v>
      </c>
      <c r="H110" s="109" t="s">
        <v>69</v>
      </c>
      <c r="I110" s="109" t="s">
        <v>69</v>
      </c>
      <c r="J110" s="109" t="s">
        <v>69</v>
      </c>
      <c r="K110" s="116" t="s">
        <v>1</v>
      </c>
      <c r="L110" s="116" t="s">
        <v>69</v>
      </c>
      <c r="M110" s="109" t="s">
        <v>1</v>
      </c>
      <c r="N110" s="122" t="s">
        <v>69</v>
      </c>
    </row>
    <row r="111" spans="1:35" outlineLevel="1" x14ac:dyDescent="0.25">
      <c r="A111" s="612"/>
      <c r="B111" s="160" t="s">
        <v>0</v>
      </c>
      <c r="C111" s="109" t="s">
        <v>0</v>
      </c>
      <c r="D111" s="109" t="s">
        <v>0</v>
      </c>
      <c r="E111" s="114" t="s">
        <v>4</v>
      </c>
      <c r="F111" s="302" t="s">
        <v>0</v>
      </c>
      <c r="G111" s="109" t="s">
        <v>0</v>
      </c>
      <c r="H111" s="109" t="s">
        <v>4</v>
      </c>
      <c r="I111" s="109" t="s">
        <v>0</v>
      </c>
      <c r="J111" s="109" t="s">
        <v>0</v>
      </c>
      <c r="K111" s="116" t="s">
        <v>0</v>
      </c>
      <c r="L111" s="116" t="s">
        <v>4</v>
      </c>
      <c r="M111" s="109" t="s">
        <v>0</v>
      </c>
      <c r="N111" s="122" t="s">
        <v>4</v>
      </c>
    </row>
    <row r="112" spans="1:35" ht="30" customHeight="1" thickBot="1" x14ac:dyDescent="0.3">
      <c r="A112" s="613"/>
      <c r="B112" s="183">
        <v>999</v>
      </c>
      <c r="C112" s="186" t="s">
        <v>373</v>
      </c>
      <c r="D112" s="174" t="s">
        <v>584</v>
      </c>
      <c r="E112" s="186" t="s">
        <v>374</v>
      </c>
      <c r="F112" s="303" t="s">
        <v>375</v>
      </c>
      <c r="G112" s="174" t="s">
        <v>585</v>
      </c>
      <c r="H112" s="186" t="s">
        <v>374</v>
      </c>
      <c r="I112" s="186" t="s">
        <v>376</v>
      </c>
      <c r="J112" s="184" t="s">
        <v>377</v>
      </c>
      <c r="K112" s="497" t="s">
        <v>754</v>
      </c>
      <c r="L112" s="186" t="s">
        <v>390</v>
      </c>
      <c r="M112" s="185" t="s">
        <v>195</v>
      </c>
      <c r="N112" s="187" t="s">
        <v>391</v>
      </c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</row>
    <row r="113" spans="2:14" x14ac:dyDescent="0.25">
      <c r="B113" s="150" t="s">
        <v>586</v>
      </c>
      <c r="C113" s="150" t="s">
        <v>586</v>
      </c>
      <c r="D113" s="150" t="s">
        <v>586</v>
      </c>
      <c r="E113" s="150" t="s">
        <v>586</v>
      </c>
      <c r="F113" s="276" t="s">
        <v>586</v>
      </c>
      <c r="G113" s="150" t="s">
        <v>586</v>
      </c>
      <c r="H113" s="150" t="s">
        <v>586</v>
      </c>
      <c r="I113" s="150" t="s">
        <v>586</v>
      </c>
      <c r="J113" s="150" t="s">
        <v>586</v>
      </c>
      <c r="K113" s="150" t="s">
        <v>586</v>
      </c>
      <c r="L113" s="150" t="s">
        <v>586</v>
      </c>
      <c r="M113" s="150" t="s">
        <v>586</v>
      </c>
      <c r="N113" s="150" t="s">
        <v>586</v>
      </c>
    </row>
  </sheetData>
  <sheetProtection algorithmName="SHA-512" hashValue="lPQ9joUZvOW9EbCAuC3T6pfd1q00OWb/7cqsTciWSglb7Q74Q8d+DTRWnsIQEmPbzR0QvoMMX/n2lV7uF8Fljg==" saltValue="jnD4Ziob3j11ie3/2VPYWg==" spinCount="100000" sheet="1" sort="0"/>
  <mergeCells count="23">
    <mergeCell ref="A100:A105"/>
    <mergeCell ref="A107:A112"/>
    <mergeCell ref="B1:AI1"/>
    <mergeCell ref="A3:C3"/>
    <mergeCell ref="D3:F3"/>
    <mergeCell ref="G3:H3"/>
    <mergeCell ref="I3:X3"/>
    <mergeCell ref="A79:A84"/>
    <mergeCell ref="A58:A63"/>
    <mergeCell ref="A65:A70"/>
    <mergeCell ref="A72:A77"/>
    <mergeCell ref="A23:A28"/>
    <mergeCell ref="A30:A35"/>
    <mergeCell ref="A37:A42"/>
    <mergeCell ref="A44:A49"/>
    <mergeCell ref="A51:A56"/>
    <mergeCell ref="Z3:AE3"/>
    <mergeCell ref="AG3:AI3"/>
    <mergeCell ref="A7:AI7"/>
    <mergeCell ref="A86:A91"/>
    <mergeCell ref="A93:A98"/>
    <mergeCell ref="A9:A14"/>
    <mergeCell ref="A16:A21"/>
  </mergeCells>
  <conditionalFormatting sqref="B28">
    <cfRule type="expression" dxfId="27" priority="2">
      <formula>"B17&lt;&gt;0"</formula>
    </cfRule>
  </conditionalFormatting>
  <conditionalFormatting sqref="F28">
    <cfRule type="expression" dxfId="26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tabColor theme="8" tint="-0.499984740745262"/>
    <pageSetUpPr fitToPage="1"/>
  </sheetPr>
  <dimension ref="A1:AI113"/>
  <sheetViews>
    <sheetView view="pageBreakPreview" topLeftCell="A69" zoomScale="40" zoomScaleNormal="25" zoomScaleSheetLayoutView="40" workbookViewId="0">
      <selection activeCell="O105" sqref="O105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30'!A26</f>
        <v>CONVENTION CAS 12</v>
      </c>
      <c r="B5" s="369">
        <f>'LISTE DES CAS ANNEXE 30'!B26</f>
        <v>1</v>
      </c>
      <c r="C5" s="370">
        <f>'LISTE DES CAS ANNEXE 30'!C26</f>
        <v>1</v>
      </c>
      <c r="D5" s="367" t="str">
        <f>'LISTE DES CAS ANNEXE 30'!D26</f>
        <v>MALADIE</v>
      </c>
      <c r="E5" s="368">
        <f>'LISTE DES CAS ANNEXE 30'!E26</f>
        <v>0.55000000000000004</v>
      </c>
      <c r="F5" s="361" t="str">
        <f>'LISTE DES CAS ANNEXE 30'!H26</f>
        <v>NON</v>
      </c>
      <c r="G5" s="384" t="str">
        <f>'LISTE DES CAS ANNEXE 30'!I26</f>
        <v>NON</v>
      </c>
      <c r="H5" s="366" t="str">
        <f>'LISTE DES CAS ANNEXE 30'!J26</f>
        <v>05 - TP AMO SEUL</v>
      </c>
      <c r="I5" s="354" t="str">
        <f>'LISTE DES CAS ANNEXE 30'!K26</f>
        <v>42-SAINT-ETIENNE</v>
      </c>
      <c r="J5" s="355" t="str">
        <f>'LISTE DES CAS ANNEXE 30'!L26</f>
        <v>42-MONTBRISON</v>
      </c>
      <c r="K5" s="356" t="str">
        <f>'LISTE DES CAS ANNEXE 30'!M26</f>
        <v>01/12/2025 à 10H00</v>
      </c>
      <c r="L5" s="356" t="str">
        <f>'LISTE DES CAS ANNEXE 30'!N26</f>
        <v>01/12/2025 à 10h40</v>
      </c>
      <c r="M5" s="357" t="str">
        <f>'LISTE DES CAS ANNEXE 30'!O26</f>
        <v>AA-001-BB</v>
      </c>
      <c r="N5" s="357" t="str">
        <f>'LISTE DES CAS ANNEXE 30'!P26</f>
        <v>42218 
(SAINT-ETIENNE)</v>
      </c>
      <c r="O5" s="357" t="str">
        <f>'LISTE DES CAS ANNEXE 30'!Q26</f>
        <v>042</v>
      </c>
      <c r="P5" s="357" t="str">
        <f>'LISTE DES CAS ANNEXE 30'!R26</f>
        <v>422 - CPAM DE LA LOIRE</v>
      </c>
      <c r="Q5" s="358">
        <f>'LISTE DES CAS ANNEXE 30'!S26</f>
        <v>43</v>
      </c>
      <c r="R5" s="359" t="str">
        <f>'LISTE DES CAS ANNEXE 30'!T26</f>
        <v>JOUR</v>
      </c>
      <c r="S5" s="433">
        <f>'LISTE DES CAS ANNEXE 30'!U26</f>
        <v>3</v>
      </c>
      <c r="T5" s="428" t="str">
        <f>'LISTE DES CAS ANNEXE 30'!V26</f>
        <v>OUI 
(TYPE 1)</v>
      </c>
      <c r="U5" s="428" t="str">
        <f>'LISTE DES CAS ANNEXE 30'!W26</f>
        <v>OUI 
(à 0,40€)</v>
      </c>
      <c r="V5" s="428" t="str">
        <f>'LISTE DES CAS ANNEXE 30'!X26</f>
        <v>OUI</v>
      </c>
      <c r="W5" s="356" t="str">
        <f>'LISTE DES CAS ANNEXE 30'!Y26</f>
        <v>NON</v>
      </c>
      <c r="X5" s="434" t="str">
        <f>'LISTE DES CAS ANNEXE 30'!Z26</f>
        <v>OUI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242</v>
      </c>
      <c r="V42" s="193" t="s">
        <v>202</v>
      </c>
      <c r="W42" s="33" t="s">
        <v>590</v>
      </c>
      <c r="X42" s="33" t="s">
        <v>202</v>
      </c>
      <c r="Y42" s="194" t="s">
        <v>710</v>
      </c>
      <c r="Z42" s="194" t="s">
        <v>710</v>
      </c>
      <c r="AA42" s="194" t="s">
        <v>592</v>
      </c>
      <c r="AB42" s="194" t="s">
        <v>711</v>
      </c>
      <c r="AC42" s="194" t="s">
        <v>710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637</v>
      </c>
      <c r="T56" s="54" t="s">
        <v>262</v>
      </c>
      <c r="U56" s="54">
        <v>3</v>
      </c>
      <c r="V56" s="55" t="s">
        <v>5</v>
      </c>
      <c r="W56" s="55" t="s">
        <v>208</v>
      </c>
      <c r="X56" s="229" t="s">
        <v>203</v>
      </c>
      <c r="Y56" s="54" t="s">
        <v>638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712</v>
      </c>
      <c r="Z63" s="96" t="s">
        <v>712</v>
      </c>
      <c r="AA63" s="97" t="s">
        <v>592</v>
      </c>
      <c r="AB63" s="96" t="s">
        <v>713</v>
      </c>
      <c r="AC63" s="96" t="s">
        <v>712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714</v>
      </c>
      <c r="Z70" s="96" t="s">
        <v>714</v>
      </c>
      <c r="AA70" s="54" t="s">
        <v>592</v>
      </c>
      <c r="AB70" s="54" t="s">
        <v>715</v>
      </c>
      <c r="AC70" s="54" t="s">
        <v>714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20" t="s">
        <v>925</v>
      </c>
      <c r="B72" s="151" t="s">
        <v>13</v>
      </c>
      <c r="C72" s="40" t="s">
        <v>14</v>
      </c>
      <c r="D72" s="40" t="s">
        <v>15</v>
      </c>
      <c r="E72" s="41" t="s">
        <v>16</v>
      </c>
      <c r="F72" s="289" t="s">
        <v>17</v>
      </c>
      <c r="G72" s="40" t="s">
        <v>70</v>
      </c>
      <c r="H72" s="40" t="s">
        <v>71</v>
      </c>
      <c r="I72" s="40" t="s">
        <v>72</v>
      </c>
      <c r="J72" s="40" t="s">
        <v>2</v>
      </c>
      <c r="K72" s="40" t="s">
        <v>73</v>
      </c>
      <c r="L72" s="42" t="s">
        <v>74</v>
      </c>
      <c r="M72" s="42" t="s">
        <v>75</v>
      </c>
      <c r="N72" s="40" t="s">
        <v>76</v>
      </c>
      <c r="O72" s="40" t="s">
        <v>77</v>
      </c>
      <c r="P72" s="40" t="s">
        <v>78</v>
      </c>
      <c r="Q72" s="40" t="s">
        <v>79</v>
      </c>
      <c r="R72" s="40" t="s">
        <v>80</v>
      </c>
      <c r="S72" s="40" t="s">
        <v>81</v>
      </c>
      <c r="T72" s="40" t="s">
        <v>82</v>
      </c>
      <c r="U72" s="40" t="s">
        <v>83</v>
      </c>
      <c r="V72" s="40" t="s">
        <v>84</v>
      </c>
      <c r="W72" s="40" t="s">
        <v>3</v>
      </c>
      <c r="X72" s="40" t="s">
        <v>85</v>
      </c>
      <c r="Y72" s="40" t="s">
        <v>86</v>
      </c>
      <c r="Z72" s="40" t="s">
        <v>87</v>
      </c>
      <c r="AA72" s="40" t="s">
        <v>88</v>
      </c>
      <c r="AB72" s="40" t="s">
        <v>89</v>
      </c>
      <c r="AC72" s="40" t="s">
        <v>90</v>
      </c>
      <c r="AD72" s="40" t="s">
        <v>91</v>
      </c>
      <c r="AE72" s="40" t="s">
        <v>92</v>
      </c>
      <c r="AF72" s="43" t="s">
        <v>93</v>
      </c>
    </row>
    <row r="73" spans="1:35" ht="19.899999999999999" customHeight="1" x14ac:dyDescent="0.25">
      <c r="A73" s="615"/>
      <c r="B73" s="152">
        <v>1</v>
      </c>
      <c r="C73" s="44" t="s">
        <v>47</v>
      </c>
      <c r="D73" s="45">
        <v>11</v>
      </c>
      <c r="E73" s="46" t="s">
        <v>48</v>
      </c>
      <c r="F73" s="290" t="s">
        <v>49</v>
      </c>
      <c r="G73" s="47" t="s">
        <v>50</v>
      </c>
      <c r="H73" s="47">
        <v>36</v>
      </c>
      <c r="I73" s="47" t="s">
        <v>94</v>
      </c>
      <c r="J73" s="47" t="s">
        <v>95</v>
      </c>
      <c r="K73" s="47" t="s">
        <v>96</v>
      </c>
      <c r="L73" s="48" t="s">
        <v>97</v>
      </c>
      <c r="M73" s="48" t="s">
        <v>98</v>
      </c>
      <c r="N73" s="47" t="s">
        <v>99</v>
      </c>
      <c r="O73" s="47">
        <v>53</v>
      </c>
      <c r="P73" s="47">
        <v>54</v>
      </c>
      <c r="Q73" s="47" t="s">
        <v>913</v>
      </c>
      <c r="R73" s="47" t="s">
        <v>100</v>
      </c>
      <c r="S73" s="47" t="s">
        <v>101</v>
      </c>
      <c r="T73" s="47" t="s">
        <v>57</v>
      </c>
      <c r="U73" s="47" t="s">
        <v>102</v>
      </c>
      <c r="V73" s="47" t="s">
        <v>103</v>
      </c>
      <c r="W73" s="47" t="s">
        <v>104</v>
      </c>
      <c r="X73" s="47" t="s">
        <v>105</v>
      </c>
      <c r="Y73" s="47" t="s">
        <v>106</v>
      </c>
      <c r="Z73" s="47" t="s">
        <v>107</v>
      </c>
      <c r="AA73" s="47" t="s">
        <v>108</v>
      </c>
      <c r="AB73" s="45" t="s">
        <v>109</v>
      </c>
      <c r="AC73" s="47" t="s">
        <v>110</v>
      </c>
      <c r="AD73" s="45">
        <v>120</v>
      </c>
      <c r="AE73" s="45">
        <v>121</v>
      </c>
      <c r="AF73" s="49" t="s">
        <v>111</v>
      </c>
    </row>
    <row r="74" spans="1:35" outlineLevel="1" x14ac:dyDescent="0.25">
      <c r="A74" s="615"/>
      <c r="B74" s="152">
        <v>1</v>
      </c>
      <c r="C74" s="45">
        <v>9</v>
      </c>
      <c r="D74" s="45">
        <v>1</v>
      </c>
      <c r="E74" s="50">
        <v>13</v>
      </c>
      <c r="F74" s="291">
        <v>2</v>
      </c>
      <c r="G74" s="45">
        <v>9</v>
      </c>
      <c r="H74" s="45">
        <v>1</v>
      </c>
      <c r="I74" s="45">
        <v>2</v>
      </c>
      <c r="J74" s="45">
        <v>2</v>
      </c>
      <c r="K74" s="45">
        <v>3</v>
      </c>
      <c r="L74" s="51">
        <v>6</v>
      </c>
      <c r="M74" s="51">
        <v>1</v>
      </c>
      <c r="N74" s="45">
        <v>2</v>
      </c>
      <c r="O74" s="45">
        <v>1</v>
      </c>
      <c r="P74" s="45">
        <v>1</v>
      </c>
      <c r="Q74" s="45">
        <v>9</v>
      </c>
      <c r="R74" s="45">
        <v>2</v>
      </c>
      <c r="S74" s="45">
        <v>2</v>
      </c>
      <c r="T74" s="45">
        <v>6</v>
      </c>
      <c r="U74" s="45">
        <v>5</v>
      </c>
      <c r="V74" s="45">
        <v>2</v>
      </c>
      <c r="W74" s="45">
        <v>6</v>
      </c>
      <c r="X74" s="45">
        <v>2</v>
      </c>
      <c r="Y74" s="45">
        <v>7</v>
      </c>
      <c r="Z74" s="45">
        <v>7</v>
      </c>
      <c r="AA74" s="45">
        <v>3</v>
      </c>
      <c r="AB74" s="45">
        <v>7</v>
      </c>
      <c r="AC74" s="45">
        <v>7</v>
      </c>
      <c r="AD74" s="45">
        <v>1</v>
      </c>
      <c r="AE74" s="45">
        <v>1</v>
      </c>
      <c r="AF74" s="49">
        <v>7</v>
      </c>
      <c r="AG74" s="2"/>
    </row>
    <row r="75" spans="1:35" outlineLevel="1" x14ac:dyDescent="0.25">
      <c r="A75" s="615"/>
      <c r="B75" s="152" t="s">
        <v>1</v>
      </c>
      <c r="C75" s="45" t="s">
        <v>1</v>
      </c>
      <c r="D75" s="45" t="s">
        <v>69</v>
      </c>
      <c r="E75" s="50" t="s">
        <v>69</v>
      </c>
      <c r="F75" s="291" t="s">
        <v>1</v>
      </c>
      <c r="G75" s="45" t="s">
        <v>1</v>
      </c>
      <c r="H75" s="45" t="s">
        <v>69</v>
      </c>
      <c r="I75" s="45" t="s">
        <v>1</v>
      </c>
      <c r="J75" s="45" t="s">
        <v>1</v>
      </c>
      <c r="K75" s="45" t="s">
        <v>1</v>
      </c>
      <c r="L75" s="52" t="s">
        <v>1</v>
      </c>
      <c r="M75" s="52" t="s">
        <v>1</v>
      </c>
      <c r="N75" s="45" t="s">
        <v>69</v>
      </c>
      <c r="O75" s="45" t="s">
        <v>69</v>
      </c>
      <c r="P75" s="53" t="s">
        <v>69</v>
      </c>
      <c r="Q75" s="45" t="s">
        <v>1</v>
      </c>
      <c r="R75" s="45" t="s">
        <v>1</v>
      </c>
      <c r="S75" s="45" t="s">
        <v>1</v>
      </c>
      <c r="T75" s="45" t="s">
        <v>1</v>
      </c>
      <c r="U75" s="45" t="s">
        <v>69</v>
      </c>
      <c r="V75" s="45" t="s">
        <v>1</v>
      </c>
      <c r="W75" s="45" t="s">
        <v>1</v>
      </c>
      <c r="X75" s="45" t="s">
        <v>1</v>
      </c>
      <c r="Y75" s="45" t="s">
        <v>1</v>
      </c>
      <c r="Z75" s="45" t="s">
        <v>1</v>
      </c>
      <c r="AA75" s="45" t="s">
        <v>1</v>
      </c>
      <c r="AB75" s="45" t="s">
        <v>1</v>
      </c>
      <c r="AC75" s="45" t="s">
        <v>1</v>
      </c>
      <c r="AD75" s="45" t="s">
        <v>69</v>
      </c>
      <c r="AE75" s="45" t="s">
        <v>1</v>
      </c>
      <c r="AF75" s="49" t="s">
        <v>1</v>
      </c>
    </row>
    <row r="76" spans="1:35" outlineLevel="1" x14ac:dyDescent="0.25">
      <c r="A76" s="615"/>
      <c r="B76" s="152" t="s">
        <v>0</v>
      </c>
      <c r="C76" s="45" t="s">
        <v>0</v>
      </c>
      <c r="D76" s="45" t="s">
        <v>4</v>
      </c>
      <c r="E76" s="50" t="s">
        <v>0</v>
      </c>
      <c r="F76" s="291" t="s">
        <v>0</v>
      </c>
      <c r="G76" s="45" t="s">
        <v>0</v>
      </c>
      <c r="H76" s="45" t="s">
        <v>4</v>
      </c>
      <c r="I76" s="45" t="s">
        <v>4</v>
      </c>
      <c r="J76" s="45" t="s">
        <v>4</v>
      </c>
      <c r="K76" s="45" t="s">
        <v>4</v>
      </c>
      <c r="L76" s="52" t="s">
        <v>4</v>
      </c>
      <c r="M76" s="52" t="s">
        <v>0</v>
      </c>
      <c r="N76" s="45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5" t="s">
        <v>112</v>
      </c>
      <c r="T76" s="45" t="s">
        <v>0</v>
      </c>
      <c r="U76" s="45" t="s">
        <v>0</v>
      </c>
      <c r="V76" s="45" t="s">
        <v>0</v>
      </c>
      <c r="W76" s="45" t="s">
        <v>0</v>
      </c>
      <c r="X76" s="45" t="s">
        <v>0</v>
      </c>
      <c r="Y76" s="45" t="s">
        <v>0</v>
      </c>
      <c r="Z76" s="45" t="s">
        <v>0</v>
      </c>
      <c r="AA76" s="45" t="s">
        <v>0</v>
      </c>
      <c r="AB76" s="45" t="s">
        <v>0</v>
      </c>
      <c r="AC76" s="45" t="s">
        <v>0</v>
      </c>
      <c r="AD76" s="45" t="s">
        <v>4</v>
      </c>
      <c r="AE76" s="45" t="s">
        <v>4</v>
      </c>
      <c r="AF76" s="49" t="s">
        <v>4</v>
      </c>
    </row>
    <row r="77" spans="1:35" ht="30" customHeight="1" thickBot="1" x14ac:dyDescent="0.3">
      <c r="A77" s="616"/>
      <c r="B77" s="149" t="s">
        <v>10</v>
      </c>
      <c r="C77" s="54" t="s">
        <v>544</v>
      </c>
      <c r="D77" s="55" t="s">
        <v>8</v>
      </c>
      <c r="E77" s="54" t="s">
        <v>198</v>
      </c>
      <c r="F77" s="288">
        <v>77</v>
      </c>
      <c r="G77" s="54">
        <v>250000001</v>
      </c>
      <c r="H77" s="193" t="s">
        <v>8</v>
      </c>
      <c r="I77" s="193" t="s">
        <v>5</v>
      </c>
      <c r="J77" s="55" t="s">
        <v>5</v>
      </c>
      <c r="K77" s="55" t="s">
        <v>6</v>
      </c>
      <c r="L77" s="55" t="s">
        <v>208</v>
      </c>
      <c r="M77" s="193" t="s">
        <v>397</v>
      </c>
      <c r="N77" s="55" t="s">
        <v>210</v>
      </c>
      <c r="O77" s="55" t="s">
        <v>8</v>
      </c>
      <c r="P77" s="55" t="s">
        <v>8</v>
      </c>
      <c r="Q77" s="54" t="s">
        <v>544</v>
      </c>
      <c r="R77" s="55" t="s">
        <v>5</v>
      </c>
      <c r="S77" s="55" t="s">
        <v>5</v>
      </c>
      <c r="T77" s="33" t="s">
        <v>581</v>
      </c>
      <c r="U77" s="228" t="s">
        <v>247</v>
      </c>
      <c r="V77" s="55" t="s">
        <v>202</v>
      </c>
      <c r="W77" s="54" t="s">
        <v>590</v>
      </c>
      <c r="X77" s="33" t="s">
        <v>202</v>
      </c>
      <c r="Y77" s="54" t="s">
        <v>716</v>
      </c>
      <c r="Z77" s="96" t="s">
        <v>716</v>
      </c>
      <c r="AA77" s="54" t="s">
        <v>592</v>
      </c>
      <c r="AB77" s="54" t="s">
        <v>717</v>
      </c>
      <c r="AC77" s="54" t="s">
        <v>716</v>
      </c>
      <c r="AD77" s="55" t="s">
        <v>8</v>
      </c>
      <c r="AE77" s="193" t="s">
        <v>200</v>
      </c>
      <c r="AF77" s="82" t="s">
        <v>212</v>
      </c>
      <c r="AG77" s="188" t="s">
        <v>589</v>
      </c>
      <c r="AH77" s="76"/>
      <c r="AI77" s="76"/>
    </row>
    <row r="78" spans="1:35" s="75" customFormat="1" ht="15.75" thickBot="1" x14ac:dyDescent="0.3"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 t="s">
        <v>586</v>
      </c>
      <c r="U78" s="75" t="s">
        <v>586</v>
      </c>
      <c r="V78" s="75" t="s">
        <v>586</v>
      </c>
      <c r="W78" s="75" t="s">
        <v>586</v>
      </c>
      <c r="X78" s="75" t="s">
        <v>586</v>
      </c>
      <c r="Y78" s="75" t="s">
        <v>586</v>
      </c>
      <c r="Z78" s="75" t="s">
        <v>586</v>
      </c>
      <c r="AA78" s="75" t="s">
        <v>586</v>
      </c>
      <c r="AB78" s="75" t="s">
        <v>586</v>
      </c>
      <c r="AC78" s="75" t="s">
        <v>586</v>
      </c>
      <c r="AD78" s="75" t="s">
        <v>586</v>
      </c>
      <c r="AE78" s="75" t="s">
        <v>586</v>
      </c>
      <c r="AF78" s="75" t="s">
        <v>586</v>
      </c>
    </row>
    <row r="79" spans="1:35" ht="100.15" customHeight="1" x14ac:dyDescent="0.25">
      <c r="A79" s="620" t="s">
        <v>916</v>
      </c>
      <c r="B79" s="151" t="s">
        <v>13</v>
      </c>
      <c r="C79" s="40" t="s">
        <v>14</v>
      </c>
      <c r="D79" s="40" t="s">
        <v>15</v>
      </c>
      <c r="E79" s="41" t="s">
        <v>16</v>
      </c>
      <c r="F79" s="289" t="s">
        <v>17</v>
      </c>
      <c r="G79" s="40" t="s">
        <v>70</v>
      </c>
      <c r="H79" s="40" t="s">
        <v>71</v>
      </c>
      <c r="I79" s="40" t="s">
        <v>72</v>
      </c>
      <c r="J79" s="40" t="s">
        <v>2</v>
      </c>
      <c r="K79" s="40" t="s">
        <v>73</v>
      </c>
      <c r="L79" s="42" t="s">
        <v>74</v>
      </c>
      <c r="M79" s="42" t="s">
        <v>75</v>
      </c>
      <c r="N79" s="40" t="s">
        <v>76</v>
      </c>
      <c r="O79" s="40" t="s">
        <v>77</v>
      </c>
      <c r="P79" s="40" t="s">
        <v>78</v>
      </c>
      <c r="Q79" s="40" t="s">
        <v>79</v>
      </c>
      <c r="R79" s="40" t="s">
        <v>80</v>
      </c>
      <c r="S79" s="40" t="s">
        <v>81</v>
      </c>
      <c r="T79" s="40" t="s">
        <v>82</v>
      </c>
      <c r="U79" s="40" t="s">
        <v>83</v>
      </c>
      <c r="V79" s="40" t="s">
        <v>84</v>
      </c>
      <c r="W79" s="40" t="s">
        <v>3</v>
      </c>
      <c r="X79" s="40" t="s">
        <v>85</v>
      </c>
      <c r="Y79" s="40" t="s">
        <v>86</v>
      </c>
      <c r="Z79" s="40" t="s">
        <v>87</v>
      </c>
      <c r="AA79" s="40" t="s">
        <v>88</v>
      </c>
      <c r="AB79" s="40" t="s">
        <v>89</v>
      </c>
      <c r="AC79" s="40" t="s">
        <v>90</v>
      </c>
      <c r="AD79" s="40" t="s">
        <v>91</v>
      </c>
      <c r="AE79" s="40" t="s">
        <v>92</v>
      </c>
      <c r="AF79" s="43" t="s">
        <v>93</v>
      </c>
    </row>
    <row r="80" spans="1:35" ht="19.899999999999999" customHeight="1" x14ac:dyDescent="0.25">
      <c r="A80" s="615"/>
      <c r="B80" s="152">
        <v>1</v>
      </c>
      <c r="C80" s="44" t="s">
        <v>47</v>
      </c>
      <c r="D80" s="45">
        <v>11</v>
      </c>
      <c r="E80" s="46" t="s">
        <v>48</v>
      </c>
      <c r="F80" s="290" t="s">
        <v>49</v>
      </c>
      <c r="G80" s="47" t="s">
        <v>50</v>
      </c>
      <c r="H80" s="47">
        <v>36</v>
      </c>
      <c r="I80" s="47" t="s">
        <v>94</v>
      </c>
      <c r="J80" s="47" t="s">
        <v>95</v>
      </c>
      <c r="K80" s="47" t="s">
        <v>96</v>
      </c>
      <c r="L80" s="48" t="s">
        <v>97</v>
      </c>
      <c r="M80" s="48" t="s">
        <v>98</v>
      </c>
      <c r="N80" s="47" t="s">
        <v>99</v>
      </c>
      <c r="O80" s="47">
        <v>53</v>
      </c>
      <c r="P80" s="47">
        <v>54</v>
      </c>
      <c r="Q80" s="47" t="s">
        <v>913</v>
      </c>
      <c r="R80" s="47" t="s">
        <v>100</v>
      </c>
      <c r="S80" s="47" t="s">
        <v>101</v>
      </c>
      <c r="T80" s="47" t="s">
        <v>57</v>
      </c>
      <c r="U80" s="47" t="s">
        <v>102</v>
      </c>
      <c r="V80" s="47" t="s">
        <v>103</v>
      </c>
      <c r="W80" s="47" t="s">
        <v>104</v>
      </c>
      <c r="X80" s="47" t="s">
        <v>105</v>
      </c>
      <c r="Y80" s="47" t="s">
        <v>106</v>
      </c>
      <c r="Z80" s="47" t="s">
        <v>107</v>
      </c>
      <c r="AA80" s="47" t="s">
        <v>108</v>
      </c>
      <c r="AB80" s="45" t="s">
        <v>109</v>
      </c>
      <c r="AC80" s="47" t="s">
        <v>110</v>
      </c>
      <c r="AD80" s="45">
        <v>120</v>
      </c>
      <c r="AE80" s="45">
        <v>121</v>
      </c>
      <c r="AF80" s="49" t="s">
        <v>111</v>
      </c>
    </row>
    <row r="81" spans="1:35" outlineLevel="1" x14ac:dyDescent="0.25">
      <c r="A81" s="615"/>
      <c r="B81" s="152">
        <v>1</v>
      </c>
      <c r="C81" s="45">
        <v>9</v>
      </c>
      <c r="D81" s="45">
        <v>1</v>
      </c>
      <c r="E81" s="50">
        <v>13</v>
      </c>
      <c r="F81" s="291">
        <v>2</v>
      </c>
      <c r="G81" s="45">
        <v>9</v>
      </c>
      <c r="H81" s="45">
        <v>1</v>
      </c>
      <c r="I81" s="45">
        <v>2</v>
      </c>
      <c r="J81" s="45">
        <v>2</v>
      </c>
      <c r="K81" s="45">
        <v>3</v>
      </c>
      <c r="L81" s="51">
        <v>6</v>
      </c>
      <c r="M81" s="51">
        <v>1</v>
      </c>
      <c r="N81" s="45">
        <v>2</v>
      </c>
      <c r="O81" s="45">
        <v>1</v>
      </c>
      <c r="P81" s="45">
        <v>1</v>
      </c>
      <c r="Q81" s="45">
        <v>9</v>
      </c>
      <c r="R81" s="45">
        <v>2</v>
      </c>
      <c r="S81" s="45">
        <v>2</v>
      </c>
      <c r="T81" s="45">
        <v>6</v>
      </c>
      <c r="U81" s="45">
        <v>5</v>
      </c>
      <c r="V81" s="45">
        <v>2</v>
      </c>
      <c r="W81" s="45">
        <v>6</v>
      </c>
      <c r="X81" s="45">
        <v>2</v>
      </c>
      <c r="Y81" s="45">
        <v>7</v>
      </c>
      <c r="Z81" s="45">
        <v>7</v>
      </c>
      <c r="AA81" s="45">
        <v>3</v>
      </c>
      <c r="AB81" s="45">
        <v>7</v>
      </c>
      <c r="AC81" s="45">
        <v>7</v>
      </c>
      <c r="AD81" s="45">
        <v>1</v>
      </c>
      <c r="AE81" s="45">
        <v>1</v>
      </c>
      <c r="AF81" s="49">
        <v>7</v>
      </c>
      <c r="AG81" s="2"/>
    </row>
    <row r="82" spans="1:35" outlineLevel="1" x14ac:dyDescent="0.25">
      <c r="A82" s="615"/>
      <c r="B82" s="152" t="s">
        <v>1</v>
      </c>
      <c r="C82" s="45" t="s">
        <v>1</v>
      </c>
      <c r="D82" s="45" t="s">
        <v>69</v>
      </c>
      <c r="E82" s="50" t="s">
        <v>69</v>
      </c>
      <c r="F82" s="291" t="s">
        <v>1</v>
      </c>
      <c r="G82" s="45" t="s">
        <v>1</v>
      </c>
      <c r="H82" s="45" t="s">
        <v>69</v>
      </c>
      <c r="I82" s="45" t="s">
        <v>1</v>
      </c>
      <c r="J82" s="45" t="s">
        <v>1</v>
      </c>
      <c r="K82" s="45" t="s">
        <v>1</v>
      </c>
      <c r="L82" s="52" t="s">
        <v>1</v>
      </c>
      <c r="M82" s="52" t="s">
        <v>1</v>
      </c>
      <c r="N82" s="45" t="s">
        <v>69</v>
      </c>
      <c r="O82" s="45" t="s">
        <v>69</v>
      </c>
      <c r="P82" s="53" t="s">
        <v>69</v>
      </c>
      <c r="Q82" s="45" t="s">
        <v>1</v>
      </c>
      <c r="R82" s="45" t="s">
        <v>1</v>
      </c>
      <c r="S82" s="45" t="s">
        <v>1</v>
      </c>
      <c r="T82" s="45" t="s">
        <v>1</v>
      </c>
      <c r="U82" s="45" t="s">
        <v>69</v>
      </c>
      <c r="V82" s="45" t="s">
        <v>1</v>
      </c>
      <c r="W82" s="45" t="s">
        <v>1</v>
      </c>
      <c r="X82" s="45" t="s">
        <v>1</v>
      </c>
      <c r="Y82" s="45" t="s">
        <v>1</v>
      </c>
      <c r="Z82" s="45" t="s">
        <v>1</v>
      </c>
      <c r="AA82" s="45" t="s">
        <v>1</v>
      </c>
      <c r="AB82" s="45" t="s">
        <v>1</v>
      </c>
      <c r="AC82" s="45" t="s">
        <v>1</v>
      </c>
      <c r="AD82" s="45" t="s">
        <v>69</v>
      </c>
      <c r="AE82" s="45" t="s">
        <v>1</v>
      </c>
      <c r="AF82" s="49" t="s">
        <v>1</v>
      </c>
    </row>
    <row r="83" spans="1:35" outlineLevel="1" x14ac:dyDescent="0.25">
      <c r="A83" s="615"/>
      <c r="B83" s="152" t="s">
        <v>0</v>
      </c>
      <c r="C83" s="45" t="s">
        <v>0</v>
      </c>
      <c r="D83" s="45" t="s">
        <v>4</v>
      </c>
      <c r="E83" s="50" t="s">
        <v>0</v>
      </c>
      <c r="F83" s="291" t="s">
        <v>0</v>
      </c>
      <c r="G83" s="45" t="s">
        <v>0</v>
      </c>
      <c r="H83" s="45" t="s">
        <v>4</v>
      </c>
      <c r="I83" s="45" t="s">
        <v>4</v>
      </c>
      <c r="J83" s="45" t="s">
        <v>4</v>
      </c>
      <c r="K83" s="45" t="s">
        <v>4</v>
      </c>
      <c r="L83" s="52" t="s">
        <v>4</v>
      </c>
      <c r="M83" s="52" t="s">
        <v>0</v>
      </c>
      <c r="N83" s="45" t="s">
        <v>4</v>
      </c>
      <c r="O83" s="45" t="s">
        <v>4</v>
      </c>
      <c r="P83" s="45" t="s">
        <v>4</v>
      </c>
      <c r="Q83" s="45" t="s">
        <v>4</v>
      </c>
      <c r="R83" s="45" t="s">
        <v>4</v>
      </c>
      <c r="S83" s="45" t="s">
        <v>112</v>
      </c>
      <c r="T83" s="45" t="s">
        <v>0</v>
      </c>
      <c r="U83" s="45" t="s">
        <v>0</v>
      </c>
      <c r="V83" s="45" t="s">
        <v>0</v>
      </c>
      <c r="W83" s="45" t="s">
        <v>0</v>
      </c>
      <c r="X83" s="45" t="s">
        <v>0</v>
      </c>
      <c r="Y83" s="45" t="s">
        <v>0</v>
      </c>
      <c r="Z83" s="45" t="s">
        <v>0</v>
      </c>
      <c r="AA83" s="45" t="s">
        <v>0</v>
      </c>
      <c r="AB83" s="45" t="s">
        <v>0</v>
      </c>
      <c r="AC83" s="45" t="s">
        <v>0</v>
      </c>
      <c r="AD83" s="45" t="s">
        <v>4</v>
      </c>
      <c r="AE83" s="45" t="s">
        <v>4</v>
      </c>
      <c r="AF83" s="49" t="s">
        <v>4</v>
      </c>
    </row>
    <row r="84" spans="1:35" ht="30" customHeight="1" thickBot="1" x14ac:dyDescent="0.3">
      <c r="A84" s="616"/>
      <c r="B84" s="149" t="s">
        <v>10</v>
      </c>
      <c r="C84" s="54" t="s">
        <v>544</v>
      </c>
      <c r="D84" s="55" t="s">
        <v>8</v>
      </c>
      <c r="E84" s="54" t="s">
        <v>198</v>
      </c>
      <c r="F84" s="288">
        <v>77</v>
      </c>
      <c r="G84" s="54">
        <v>250000001</v>
      </c>
      <c r="H84" s="193" t="s">
        <v>8</v>
      </c>
      <c r="I84" s="193" t="s">
        <v>5</v>
      </c>
      <c r="J84" s="55" t="s">
        <v>5</v>
      </c>
      <c r="K84" s="55" t="s">
        <v>6</v>
      </c>
      <c r="L84" s="55" t="s">
        <v>208</v>
      </c>
      <c r="M84" s="193" t="s">
        <v>397</v>
      </c>
      <c r="N84" s="55" t="s">
        <v>210</v>
      </c>
      <c r="O84" s="55" t="s">
        <v>8</v>
      </c>
      <c r="P84" s="55" t="s">
        <v>8</v>
      </c>
      <c r="Q84" s="54" t="s">
        <v>544</v>
      </c>
      <c r="R84" s="55" t="s">
        <v>5</v>
      </c>
      <c r="S84" s="55" t="s">
        <v>5</v>
      </c>
      <c r="T84" s="33" t="s">
        <v>581</v>
      </c>
      <c r="U84" s="228" t="s">
        <v>279</v>
      </c>
      <c r="V84" s="33" t="s">
        <v>202</v>
      </c>
      <c r="W84" s="54" t="s">
        <v>590</v>
      </c>
      <c r="X84" s="33" t="s">
        <v>202</v>
      </c>
      <c r="Y84" s="54" t="s">
        <v>594</v>
      </c>
      <c r="Z84" s="96" t="s">
        <v>594</v>
      </c>
      <c r="AA84" s="54" t="s">
        <v>592</v>
      </c>
      <c r="AB84" s="54" t="s">
        <v>667</v>
      </c>
      <c r="AC84" s="54" t="s">
        <v>594</v>
      </c>
      <c r="AD84" s="55" t="s">
        <v>8</v>
      </c>
      <c r="AE84" s="193" t="s">
        <v>200</v>
      </c>
      <c r="AF84" s="82" t="s">
        <v>212</v>
      </c>
      <c r="AG84" s="188" t="s">
        <v>589</v>
      </c>
      <c r="AH84" s="76"/>
      <c r="AI84" s="76"/>
    </row>
    <row r="85" spans="1:35" s="75" customFormat="1" ht="15.75" thickBot="1" x14ac:dyDescent="0.3">
      <c r="B85" s="150" t="s">
        <v>586</v>
      </c>
      <c r="C85" s="75" t="s">
        <v>586</v>
      </c>
      <c r="D85" s="75" t="s">
        <v>586</v>
      </c>
      <c r="E85" s="75" t="s">
        <v>586</v>
      </c>
      <c r="F85" s="276" t="s">
        <v>586</v>
      </c>
      <c r="G85" s="75" t="s">
        <v>586</v>
      </c>
      <c r="H85" s="75" t="s">
        <v>586</v>
      </c>
      <c r="I85" s="75" t="s">
        <v>586</v>
      </c>
      <c r="J85" s="75" t="s">
        <v>586</v>
      </c>
      <c r="K85" s="75" t="s">
        <v>586</v>
      </c>
      <c r="L85" s="75" t="s">
        <v>586</v>
      </c>
      <c r="M85" s="75" t="s">
        <v>586</v>
      </c>
      <c r="N85" s="75" t="s">
        <v>586</v>
      </c>
      <c r="O85" s="75" t="s">
        <v>586</v>
      </c>
      <c r="P85" s="75" t="s">
        <v>586</v>
      </c>
      <c r="Q85" s="75" t="s">
        <v>586</v>
      </c>
      <c r="R85" s="75" t="s">
        <v>586</v>
      </c>
      <c r="S85" s="75" t="s">
        <v>586</v>
      </c>
      <c r="T85" s="75" t="s">
        <v>586</v>
      </c>
      <c r="U85" s="75" t="s">
        <v>586</v>
      </c>
      <c r="V85" s="75" t="s">
        <v>586</v>
      </c>
      <c r="W85" s="75" t="s">
        <v>586</v>
      </c>
      <c r="X85" s="75" t="s">
        <v>586</v>
      </c>
      <c r="Y85" s="75" t="s">
        <v>586</v>
      </c>
      <c r="Z85" s="75" t="s">
        <v>586</v>
      </c>
      <c r="AA85" s="75" t="s">
        <v>586</v>
      </c>
      <c r="AB85" s="75" t="s">
        <v>586</v>
      </c>
      <c r="AC85" s="75" t="s">
        <v>586</v>
      </c>
      <c r="AD85" s="75" t="s">
        <v>586</v>
      </c>
      <c r="AE85" s="75" t="s">
        <v>586</v>
      </c>
      <c r="AF85" s="75" t="s">
        <v>586</v>
      </c>
    </row>
    <row r="86" spans="1:35" ht="100.15" customHeight="1" x14ac:dyDescent="0.25">
      <c r="A86" s="620" t="s">
        <v>921</v>
      </c>
      <c r="B86" s="151" t="s">
        <v>13</v>
      </c>
      <c r="C86" s="40" t="s">
        <v>14</v>
      </c>
      <c r="D86" s="40" t="s">
        <v>15</v>
      </c>
      <c r="E86" s="41" t="s">
        <v>16</v>
      </c>
      <c r="F86" s="289" t="s">
        <v>17</v>
      </c>
      <c r="G86" s="40" t="s">
        <v>70</v>
      </c>
      <c r="H86" s="40" t="s">
        <v>71</v>
      </c>
      <c r="I86" s="40" t="s">
        <v>72</v>
      </c>
      <c r="J86" s="40" t="s">
        <v>2</v>
      </c>
      <c r="K86" s="40" t="s">
        <v>73</v>
      </c>
      <c r="L86" s="42" t="s">
        <v>74</v>
      </c>
      <c r="M86" s="42" t="s">
        <v>75</v>
      </c>
      <c r="N86" s="40" t="s">
        <v>76</v>
      </c>
      <c r="O86" s="40" t="s">
        <v>77</v>
      </c>
      <c r="P86" s="40" t="s">
        <v>78</v>
      </c>
      <c r="Q86" s="40" t="s">
        <v>79</v>
      </c>
      <c r="R86" s="40" t="s">
        <v>80</v>
      </c>
      <c r="S86" s="40" t="s">
        <v>81</v>
      </c>
      <c r="T86" s="40" t="s">
        <v>82</v>
      </c>
      <c r="U86" s="40" t="s">
        <v>83</v>
      </c>
      <c r="V86" s="40" t="s">
        <v>84</v>
      </c>
      <c r="W86" s="40" t="s">
        <v>3</v>
      </c>
      <c r="X86" s="40" t="s">
        <v>85</v>
      </c>
      <c r="Y86" s="40" t="s">
        <v>86</v>
      </c>
      <c r="Z86" s="40" t="s">
        <v>87</v>
      </c>
      <c r="AA86" s="40" t="s">
        <v>88</v>
      </c>
      <c r="AB86" s="40" t="s">
        <v>89</v>
      </c>
      <c r="AC86" s="40" t="s">
        <v>90</v>
      </c>
      <c r="AD86" s="40" t="s">
        <v>91</v>
      </c>
      <c r="AE86" s="40" t="s">
        <v>92</v>
      </c>
      <c r="AF86" s="43" t="s">
        <v>93</v>
      </c>
      <c r="AG86" s="2"/>
    </row>
    <row r="87" spans="1:35" ht="19.899999999999999" customHeight="1" x14ac:dyDescent="0.25">
      <c r="A87" s="615"/>
      <c r="B87" s="152">
        <v>1</v>
      </c>
      <c r="C87" s="44" t="s">
        <v>47</v>
      </c>
      <c r="D87" s="45">
        <v>11</v>
      </c>
      <c r="E87" s="46" t="s">
        <v>48</v>
      </c>
      <c r="F87" s="290" t="s">
        <v>49</v>
      </c>
      <c r="G87" s="47" t="s">
        <v>50</v>
      </c>
      <c r="H87" s="47">
        <v>36</v>
      </c>
      <c r="I87" s="47" t="s">
        <v>94</v>
      </c>
      <c r="J87" s="47" t="s">
        <v>95</v>
      </c>
      <c r="K87" s="47" t="s">
        <v>96</v>
      </c>
      <c r="L87" s="48" t="s">
        <v>97</v>
      </c>
      <c r="M87" s="48" t="s">
        <v>98</v>
      </c>
      <c r="N87" s="47" t="s">
        <v>99</v>
      </c>
      <c r="O87" s="47">
        <v>53</v>
      </c>
      <c r="P87" s="47">
        <v>54</v>
      </c>
      <c r="Q87" s="47" t="s">
        <v>913</v>
      </c>
      <c r="R87" s="47" t="s">
        <v>100</v>
      </c>
      <c r="S87" s="47" t="s">
        <v>101</v>
      </c>
      <c r="T87" s="47" t="s">
        <v>57</v>
      </c>
      <c r="U87" s="47" t="s">
        <v>102</v>
      </c>
      <c r="V87" s="47" t="s">
        <v>103</v>
      </c>
      <c r="W87" s="47" t="s">
        <v>104</v>
      </c>
      <c r="X87" s="47" t="s">
        <v>105</v>
      </c>
      <c r="Y87" s="47" t="s">
        <v>106</v>
      </c>
      <c r="Z87" s="47" t="s">
        <v>107</v>
      </c>
      <c r="AA87" s="47" t="s">
        <v>108</v>
      </c>
      <c r="AB87" s="45" t="s">
        <v>109</v>
      </c>
      <c r="AC87" s="47" t="s">
        <v>110</v>
      </c>
      <c r="AD87" s="45">
        <v>120</v>
      </c>
      <c r="AE87" s="45">
        <v>121</v>
      </c>
      <c r="AF87" s="49" t="s">
        <v>111</v>
      </c>
    </row>
    <row r="88" spans="1:35" outlineLevel="1" x14ac:dyDescent="0.25">
      <c r="A88" s="615"/>
      <c r="B88" s="152">
        <v>1</v>
      </c>
      <c r="C88" s="45">
        <v>9</v>
      </c>
      <c r="D88" s="45">
        <v>1</v>
      </c>
      <c r="E88" s="50">
        <v>13</v>
      </c>
      <c r="F88" s="291">
        <v>2</v>
      </c>
      <c r="G88" s="45">
        <v>9</v>
      </c>
      <c r="H88" s="45">
        <v>1</v>
      </c>
      <c r="I88" s="45">
        <v>2</v>
      </c>
      <c r="J88" s="45">
        <v>2</v>
      </c>
      <c r="K88" s="45">
        <v>3</v>
      </c>
      <c r="L88" s="51">
        <v>6</v>
      </c>
      <c r="M88" s="51">
        <v>1</v>
      </c>
      <c r="N88" s="45">
        <v>2</v>
      </c>
      <c r="O88" s="45">
        <v>1</v>
      </c>
      <c r="P88" s="45">
        <v>1</v>
      </c>
      <c r="Q88" s="45">
        <v>9</v>
      </c>
      <c r="R88" s="45">
        <v>2</v>
      </c>
      <c r="S88" s="45">
        <v>2</v>
      </c>
      <c r="T88" s="45">
        <v>6</v>
      </c>
      <c r="U88" s="45">
        <v>5</v>
      </c>
      <c r="V88" s="45">
        <v>2</v>
      </c>
      <c r="W88" s="45">
        <v>6</v>
      </c>
      <c r="X88" s="45">
        <v>2</v>
      </c>
      <c r="Y88" s="45">
        <v>7</v>
      </c>
      <c r="Z88" s="45">
        <v>7</v>
      </c>
      <c r="AA88" s="45">
        <v>3</v>
      </c>
      <c r="AB88" s="45">
        <v>7</v>
      </c>
      <c r="AC88" s="45">
        <v>7</v>
      </c>
      <c r="AD88" s="45">
        <v>1</v>
      </c>
      <c r="AE88" s="45">
        <v>1</v>
      </c>
      <c r="AF88" s="49">
        <v>7</v>
      </c>
    </row>
    <row r="89" spans="1:35" outlineLevel="1" x14ac:dyDescent="0.25">
      <c r="A89" s="615"/>
      <c r="B89" s="152" t="s">
        <v>1</v>
      </c>
      <c r="C89" s="45" t="s">
        <v>1</v>
      </c>
      <c r="D89" s="45" t="s">
        <v>69</v>
      </c>
      <c r="E89" s="50" t="s">
        <v>69</v>
      </c>
      <c r="F89" s="291" t="s">
        <v>1</v>
      </c>
      <c r="G89" s="45" t="s">
        <v>1</v>
      </c>
      <c r="H89" s="45" t="s">
        <v>69</v>
      </c>
      <c r="I89" s="45" t="s">
        <v>1</v>
      </c>
      <c r="J89" s="45" t="s">
        <v>1</v>
      </c>
      <c r="K89" s="45" t="s">
        <v>1</v>
      </c>
      <c r="L89" s="52" t="s">
        <v>1</v>
      </c>
      <c r="M89" s="52" t="s">
        <v>1</v>
      </c>
      <c r="N89" s="45" t="s">
        <v>69</v>
      </c>
      <c r="O89" s="45" t="s">
        <v>69</v>
      </c>
      <c r="P89" s="53" t="s">
        <v>69</v>
      </c>
      <c r="Q89" s="45" t="s">
        <v>1</v>
      </c>
      <c r="R89" s="45" t="s">
        <v>1</v>
      </c>
      <c r="S89" s="45" t="s">
        <v>1</v>
      </c>
      <c r="T89" s="45" t="s">
        <v>1</v>
      </c>
      <c r="U89" s="45" t="s">
        <v>69</v>
      </c>
      <c r="V89" s="45" t="s">
        <v>1</v>
      </c>
      <c r="W89" s="45" t="s">
        <v>1</v>
      </c>
      <c r="X89" s="45" t="s">
        <v>1</v>
      </c>
      <c r="Y89" s="45" t="s">
        <v>1</v>
      </c>
      <c r="Z89" s="45" t="s">
        <v>1</v>
      </c>
      <c r="AA89" s="45" t="s">
        <v>1</v>
      </c>
      <c r="AB89" s="45" t="s">
        <v>1</v>
      </c>
      <c r="AC89" s="45" t="s">
        <v>1</v>
      </c>
      <c r="AD89" s="45" t="s">
        <v>69</v>
      </c>
      <c r="AE89" s="45" t="s">
        <v>1</v>
      </c>
      <c r="AF89" s="49" t="s">
        <v>1</v>
      </c>
    </row>
    <row r="90" spans="1:35" outlineLevel="1" x14ac:dyDescent="0.25">
      <c r="A90" s="615"/>
      <c r="B90" s="152" t="s">
        <v>0</v>
      </c>
      <c r="C90" s="45" t="s">
        <v>0</v>
      </c>
      <c r="D90" s="45" t="s">
        <v>4</v>
      </c>
      <c r="E90" s="50" t="s">
        <v>0</v>
      </c>
      <c r="F90" s="291" t="s">
        <v>0</v>
      </c>
      <c r="G90" s="45" t="s">
        <v>0</v>
      </c>
      <c r="H90" s="45" t="s">
        <v>4</v>
      </c>
      <c r="I90" s="45" t="s">
        <v>4</v>
      </c>
      <c r="J90" s="45" t="s">
        <v>4</v>
      </c>
      <c r="K90" s="45" t="s">
        <v>4</v>
      </c>
      <c r="L90" s="52" t="s">
        <v>4</v>
      </c>
      <c r="M90" s="52" t="s">
        <v>0</v>
      </c>
      <c r="N90" s="45" t="s">
        <v>4</v>
      </c>
      <c r="O90" s="45" t="s">
        <v>4</v>
      </c>
      <c r="P90" s="45" t="s">
        <v>4</v>
      </c>
      <c r="Q90" s="45" t="s">
        <v>4</v>
      </c>
      <c r="R90" s="45" t="s">
        <v>4</v>
      </c>
      <c r="S90" s="45" t="s">
        <v>112</v>
      </c>
      <c r="T90" s="45" t="s">
        <v>0</v>
      </c>
      <c r="U90" s="45" t="s">
        <v>0</v>
      </c>
      <c r="V90" s="45" t="s">
        <v>0</v>
      </c>
      <c r="W90" s="45" t="s">
        <v>0</v>
      </c>
      <c r="X90" s="45" t="s">
        <v>0</v>
      </c>
      <c r="Y90" s="45" t="s">
        <v>0</v>
      </c>
      <c r="Z90" s="45" t="s">
        <v>0</v>
      </c>
      <c r="AA90" s="45" t="s">
        <v>0</v>
      </c>
      <c r="AB90" s="45" t="s">
        <v>0</v>
      </c>
      <c r="AC90" s="45" t="s">
        <v>0</v>
      </c>
      <c r="AD90" s="45" t="s">
        <v>4</v>
      </c>
      <c r="AE90" s="45" t="s">
        <v>4</v>
      </c>
      <c r="AF90" s="49" t="s">
        <v>4</v>
      </c>
    </row>
    <row r="91" spans="1:35" ht="30" customHeight="1" thickBot="1" x14ac:dyDescent="0.3">
      <c r="A91" s="616"/>
      <c r="B91" s="149" t="s">
        <v>10</v>
      </c>
      <c r="C91" s="54" t="s">
        <v>544</v>
      </c>
      <c r="D91" s="55" t="s">
        <v>8</v>
      </c>
      <c r="E91" s="54" t="s">
        <v>198</v>
      </c>
      <c r="F91" s="288">
        <v>77</v>
      </c>
      <c r="G91" s="54">
        <v>250000001</v>
      </c>
      <c r="H91" s="193" t="s">
        <v>8</v>
      </c>
      <c r="I91" s="193" t="s">
        <v>5</v>
      </c>
      <c r="J91" s="55" t="s">
        <v>5</v>
      </c>
      <c r="K91" s="55" t="s">
        <v>6</v>
      </c>
      <c r="L91" s="55" t="s">
        <v>208</v>
      </c>
      <c r="M91" s="193" t="s">
        <v>397</v>
      </c>
      <c r="N91" s="55" t="s">
        <v>210</v>
      </c>
      <c r="O91" s="55" t="s">
        <v>8</v>
      </c>
      <c r="P91" s="55" t="s">
        <v>8</v>
      </c>
      <c r="Q91" s="54" t="s">
        <v>544</v>
      </c>
      <c r="R91" s="55" t="s">
        <v>5</v>
      </c>
      <c r="S91" s="55" t="s">
        <v>5</v>
      </c>
      <c r="T91" s="33" t="s">
        <v>581</v>
      </c>
      <c r="U91" s="228" t="s">
        <v>246</v>
      </c>
      <c r="V91" s="33" t="s">
        <v>202</v>
      </c>
      <c r="W91" s="54" t="s">
        <v>590</v>
      </c>
      <c r="X91" s="33" t="s">
        <v>202</v>
      </c>
      <c r="Y91" s="54" t="s">
        <v>595</v>
      </c>
      <c r="Z91" s="96" t="s">
        <v>595</v>
      </c>
      <c r="AA91" s="54" t="s">
        <v>6</v>
      </c>
      <c r="AB91" s="54" t="s">
        <v>212</v>
      </c>
      <c r="AC91" s="54" t="s">
        <v>212</v>
      </c>
      <c r="AD91" s="193" t="s">
        <v>498</v>
      </c>
      <c r="AE91" s="193" t="s">
        <v>200</v>
      </c>
      <c r="AF91" s="54" t="s">
        <v>212</v>
      </c>
      <c r="AG91" s="188" t="s">
        <v>589</v>
      </c>
      <c r="AH91" s="76"/>
      <c r="AI91" s="76"/>
    </row>
    <row r="92" spans="1:35" s="75" customFormat="1" ht="15.75" thickBot="1" x14ac:dyDescent="0.3">
      <c r="B92" s="150" t="s">
        <v>586</v>
      </c>
      <c r="C92" s="75" t="s">
        <v>586</v>
      </c>
      <c r="D92" s="75" t="s">
        <v>586</v>
      </c>
      <c r="E92" s="75" t="s">
        <v>586</v>
      </c>
      <c r="F92" s="276" t="s">
        <v>586</v>
      </c>
      <c r="G92" s="75" t="s">
        <v>586</v>
      </c>
      <c r="H92" s="75" t="s">
        <v>586</v>
      </c>
      <c r="I92" s="75" t="s">
        <v>586</v>
      </c>
      <c r="J92" s="75" t="s">
        <v>586</v>
      </c>
      <c r="K92" s="75" t="s">
        <v>586</v>
      </c>
      <c r="L92" s="75" t="s">
        <v>586</v>
      </c>
      <c r="M92" s="75" t="s">
        <v>586</v>
      </c>
      <c r="N92" s="75" t="s">
        <v>586</v>
      </c>
      <c r="O92" s="75" t="s">
        <v>586</v>
      </c>
      <c r="P92" s="75" t="s">
        <v>586</v>
      </c>
      <c r="Q92" s="75" t="s">
        <v>586</v>
      </c>
      <c r="R92" s="75" t="s">
        <v>586</v>
      </c>
      <c r="S92" s="75" t="s">
        <v>586</v>
      </c>
      <c r="T92" s="75" t="s">
        <v>586</v>
      </c>
      <c r="U92" s="75" t="s">
        <v>586</v>
      </c>
      <c r="V92" s="75" t="s">
        <v>586</v>
      </c>
      <c r="W92" s="75" t="s">
        <v>586</v>
      </c>
      <c r="X92" s="75" t="s">
        <v>586</v>
      </c>
      <c r="Y92" s="75" t="s">
        <v>586</v>
      </c>
      <c r="Z92" s="75" t="s">
        <v>586</v>
      </c>
      <c r="AA92" s="75" t="s">
        <v>586</v>
      </c>
      <c r="AB92" s="75" t="s">
        <v>586</v>
      </c>
      <c r="AC92" s="75" t="s">
        <v>586</v>
      </c>
      <c r="AD92" s="75" t="s">
        <v>586</v>
      </c>
      <c r="AE92" s="75" t="s">
        <v>586</v>
      </c>
      <c r="AF92" s="75" t="s">
        <v>586</v>
      </c>
    </row>
    <row r="93" spans="1:35" ht="100.15" customHeight="1" x14ac:dyDescent="0.25">
      <c r="A93" s="614" t="s">
        <v>360</v>
      </c>
      <c r="B93" s="147" t="s">
        <v>13</v>
      </c>
      <c r="C93" s="24" t="s">
        <v>14</v>
      </c>
      <c r="D93" s="24" t="s">
        <v>15</v>
      </c>
      <c r="E93" s="25" t="s">
        <v>16</v>
      </c>
      <c r="F93" s="282" t="s">
        <v>17</v>
      </c>
      <c r="G93" s="24" t="s">
        <v>70</v>
      </c>
      <c r="H93" s="24" t="s">
        <v>15</v>
      </c>
      <c r="I93" s="24" t="s">
        <v>220</v>
      </c>
      <c r="J93" s="24" t="s">
        <v>221</v>
      </c>
      <c r="K93" s="26" t="s">
        <v>222</v>
      </c>
      <c r="L93" s="26" t="s">
        <v>223</v>
      </c>
      <c r="M93" s="24" t="s">
        <v>224</v>
      </c>
      <c r="N93" s="24" t="s">
        <v>225</v>
      </c>
      <c r="O93" s="24" t="s">
        <v>226</v>
      </c>
      <c r="P93" s="24" t="s">
        <v>221</v>
      </c>
      <c r="Q93" s="24" t="s">
        <v>227</v>
      </c>
      <c r="R93" s="24" t="s">
        <v>15</v>
      </c>
      <c r="S93" s="27" t="s">
        <v>228</v>
      </c>
    </row>
    <row r="94" spans="1:35" ht="19.899999999999999" customHeight="1" x14ac:dyDescent="0.25">
      <c r="A94" s="615"/>
      <c r="B94" s="148">
        <v>1</v>
      </c>
      <c r="C94" s="5" t="s">
        <v>47</v>
      </c>
      <c r="D94" s="4">
        <v>11</v>
      </c>
      <c r="E94" s="6" t="s">
        <v>48</v>
      </c>
      <c r="F94" s="283" t="s">
        <v>49</v>
      </c>
      <c r="G94" s="7" t="s">
        <v>50</v>
      </c>
      <c r="H94" s="7" t="s">
        <v>229</v>
      </c>
      <c r="I94" s="7" t="s">
        <v>216</v>
      </c>
      <c r="J94" s="7" t="s">
        <v>230</v>
      </c>
      <c r="K94" s="8" t="s">
        <v>217</v>
      </c>
      <c r="L94" s="8" t="s">
        <v>218</v>
      </c>
      <c r="M94" s="7" t="s">
        <v>179</v>
      </c>
      <c r="N94" s="7" t="s">
        <v>219</v>
      </c>
      <c r="O94" s="7">
        <v>90</v>
      </c>
      <c r="P94" s="7" t="s">
        <v>231</v>
      </c>
      <c r="Q94" s="7">
        <v>94</v>
      </c>
      <c r="R94" s="7" t="s">
        <v>232</v>
      </c>
      <c r="S94" s="28" t="s">
        <v>233</v>
      </c>
    </row>
    <row r="95" spans="1:35" outlineLevel="1" x14ac:dyDescent="0.25">
      <c r="A95" s="615"/>
      <c r="B95" s="148">
        <v>1</v>
      </c>
      <c r="C95" s="4">
        <v>9</v>
      </c>
      <c r="D95" s="4">
        <v>1</v>
      </c>
      <c r="E95" s="9">
        <v>13</v>
      </c>
      <c r="F95" s="284">
        <v>2</v>
      </c>
      <c r="G95" s="4">
        <v>9</v>
      </c>
      <c r="H95" s="4">
        <v>3</v>
      </c>
      <c r="I95" s="4">
        <v>3</v>
      </c>
      <c r="J95" s="4">
        <v>16</v>
      </c>
      <c r="K95" s="10">
        <v>8</v>
      </c>
      <c r="L95" s="10">
        <v>8</v>
      </c>
      <c r="M95" s="4">
        <v>8</v>
      </c>
      <c r="N95" s="4">
        <v>8</v>
      </c>
      <c r="O95" s="4">
        <v>1</v>
      </c>
      <c r="P95" s="4">
        <v>3</v>
      </c>
      <c r="Q95" s="4">
        <v>1</v>
      </c>
      <c r="R95" s="4">
        <v>2</v>
      </c>
      <c r="S95" s="29">
        <v>32</v>
      </c>
    </row>
    <row r="96" spans="1:35" ht="13.5" customHeight="1" outlineLevel="1" x14ac:dyDescent="0.25">
      <c r="A96" s="615"/>
      <c r="B96" s="148" t="s">
        <v>1</v>
      </c>
      <c r="C96" s="4" t="s">
        <v>1</v>
      </c>
      <c r="D96" s="4" t="s">
        <v>69</v>
      </c>
      <c r="E96" s="9" t="s">
        <v>69</v>
      </c>
      <c r="F96" s="284" t="s">
        <v>1</v>
      </c>
      <c r="G96" s="4" t="s">
        <v>1</v>
      </c>
      <c r="H96" s="4" t="s">
        <v>69</v>
      </c>
      <c r="I96" s="4" t="s">
        <v>1</v>
      </c>
      <c r="J96" s="4" t="s">
        <v>69</v>
      </c>
      <c r="K96" s="12" t="s">
        <v>1</v>
      </c>
      <c r="L96" s="12" t="s">
        <v>1</v>
      </c>
      <c r="M96" s="4" t="s">
        <v>1</v>
      </c>
      <c r="N96" s="4" t="s">
        <v>1</v>
      </c>
      <c r="O96" s="4" t="s">
        <v>69</v>
      </c>
      <c r="P96" s="4" t="s">
        <v>69</v>
      </c>
      <c r="Q96" s="4" t="s">
        <v>69</v>
      </c>
      <c r="R96" s="4" t="s">
        <v>69</v>
      </c>
      <c r="S96" s="29" t="s">
        <v>69</v>
      </c>
    </row>
    <row r="97" spans="1:35" outlineLevel="1" x14ac:dyDescent="0.25">
      <c r="A97" s="615"/>
      <c r="B97" s="148" t="s">
        <v>0</v>
      </c>
      <c r="C97" s="4" t="s">
        <v>0</v>
      </c>
      <c r="D97" s="4" t="s">
        <v>4</v>
      </c>
      <c r="E97" s="9" t="s">
        <v>0</v>
      </c>
      <c r="F97" s="284" t="s">
        <v>0</v>
      </c>
      <c r="G97" s="4" t="s">
        <v>0</v>
      </c>
      <c r="H97" s="4" t="s">
        <v>4</v>
      </c>
      <c r="I97" s="4" t="s">
        <v>0</v>
      </c>
      <c r="J97" s="4" t="s">
        <v>0</v>
      </c>
      <c r="K97" s="12" t="s">
        <v>0</v>
      </c>
      <c r="L97" s="12" t="s">
        <v>0</v>
      </c>
      <c r="M97" s="4" t="s">
        <v>0</v>
      </c>
      <c r="N97" s="4" t="s">
        <v>4</v>
      </c>
      <c r="O97" s="4" t="s">
        <v>4</v>
      </c>
      <c r="P97" s="4" t="s">
        <v>0</v>
      </c>
      <c r="Q97" s="4" t="s">
        <v>0</v>
      </c>
      <c r="R97" s="4" t="s">
        <v>4</v>
      </c>
      <c r="S97" s="29" t="s">
        <v>4</v>
      </c>
    </row>
    <row r="98" spans="1:35" s="163" customFormat="1" ht="30" customHeight="1" thickBot="1" x14ac:dyDescent="0.3">
      <c r="A98" s="616"/>
      <c r="B98" s="157">
        <v>5</v>
      </c>
      <c r="C98" s="54" t="s">
        <v>544</v>
      </c>
      <c r="D98" s="55" t="s">
        <v>8</v>
      </c>
      <c r="E98" s="55" t="s">
        <v>198</v>
      </c>
      <c r="F98" s="270">
        <v>77</v>
      </c>
      <c r="G98" s="55">
        <v>250000001</v>
      </c>
      <c r="H98" s="98" t="s">
        <v>9</v>
      </c>
      <c r="I98" s="496" t="s">
        <v>729</v>
      </c>
      <c r="J98" s="98" t="s">
        <v>234</v>
      </c>
      <c r="K98" s="56" t="s">
        <v>718</v>
      </c>
      <c r="L98" s="56" t="s">
        <v>719</v>
      </c>
      <c r="M98" s="56" t="s">
        <v>720</v>
      </c>
      <c r="N98" s="56" t="s">
        <v>599</v>
      </c>
      <c r="O98" s="56" t="s">
        <v>8</v>
      </c>
      <c r="P98" s="56" t="s">
        <v>9</v>
      </c>
      <c r="Q98" s="56" t="s">
        <v>8</v>
      </c>
      <c r="R98" s="56" t="s">
        <v>210</v>
      </c>
      <c r="S98" s="99" t="s">
        <v>235</v>
      </c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</row>
    <row r="99" spans="1:35" ht="15.75" thickBot="1" x14ac:dyDescent="0.3">
      <c r="A99" s="75"/>
      <c r="B99" s="150" t="s">
        <v>586</v>
      </c>
      <c r="C99" s="75" t="s">
        <v>586</v>
      </c>
      <c r="D99" s="75" t="s">
        <v>586</v>
      </c>
      <c r="E99" s="75" t="s">
        <v>586</v>
      </c>
      <c r="F99" s="276" t="s">
        <v>586</v>
      </c>
      <c r="G99" s="75" t="s">
        <v>586</v>
      </c>
      <c r="H99" s="75" t="s">
        <v>586</v>
      </c>
      <c r="I99" s="75" t="s">
        <v>586</v>
      </c>
      <c r="J99" s="75" t="s">
        <v>586</v>
      </c>
      <c r="K99" s="75" t="s">
        <v>586</v>
      </c>
      <c r="L99" s="75" t="s">
        <v>586</v>
      </c>
      <c r="M99" s="75" t="s">
        <v>586</v>
      </c>
      <c r="N99" s="75" t="s">
        <v>586</v>
      </c>
      <c r="O99" s="75" t="s">
        <v>586</v>
      </c>
      <c r="P99" s="75" t="s">
        <v>586</v>
      </c>
      <c r="Q99" s="75" t="s">
        <v>586</v>
      </c>
      <c r="R99" s="75" t="s">
        <v>586</v>
      </c>
      <c r="S99" s="75" t="s">
        <v>586</v>
      </c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</row>
    <row r="100" spans="1:35" ht="100.15" customHeight="1" x14ac:dyDescent="0.25">
      <c r="A100" s="608" t="s">
        <v>361</v>
      </c>
      <c r="B100" s="327" t="s">
        <v>13</v>
      </c>
      <c r="C100" s="328" t="s">
        <v>14</v>
      </c>
      <c r="D100" s="328" t="s">
        <v>339</v>
      </c>
      <c r="E100" s="329" t="s">
        <v>469</v>
      </c>
      <c r="F100" s="330" t="s">
        <v>470</v>
      </c>
      <c r="G100" s="328" t="s">
        <v>471</v>
      </c>
      <c r="H100" s="328" t="s">
        <v>340</v>
      </c>
      <c r="I100" s="328" t="s">
        <v>473</v>
      </c>
      <c r="J100" s="328" t="s">
        <v>472</v>
      </c>
      <c r="K100" s="331" t="s">
        <v>312</v>
      </c>
      <c r="L100" s="331" t="s">
        <v>341</v>
      </c>
      <c r="M100" s="328" t="s">
        <v>25</v>
      </c>
      <c r="N100" s="328" t="s">
        <v>15</v>
      </c>
      <c r="O100" s="328" t="s">
        <v>474</v>
      </c>
      <c r="P100" s="328" t="s">
        <v>342</v>
      </c>
      <c r="Q100" s="328" t="s">
        <v>15</v>
      </c>
      <c r="R100" s="328" t="s">
        <v>343</v>
      </c>
      <c r="S100" s="332" t="s">
        <v>228</v>
      </c>
    </row>
    <row r="101" spans="1:35" ht="19.899999999999999" customHeight="1" x14ac:dyDescent="0.25">
      <c r="A101" s="609"/>
      <c r="B101" s="158">
        <v>1</v>
      </c>
      <c r="C101" s="102" t="s">
        <v>47</v>
      </c>
      <c r="D101" s="103" t="s">
        <v>344</v>
      </c>
      <c r="E101" s="104" t="s">
        <v>345</v>
      </c>
      <c r="F101" s="298" t="s">
        <v>346</v>
      </c>
      <c r="G101" s="103" t="s">
        <v>347</v>
      </c>
      <c r="H101" s="103" t="s">
        <v>348</v>
      </c>
      <c r="I101" s="103" t="s">
        <v>349</v>
      </c>
      <c r="J101" s="103" t="s">
        <v>350</v>
      </c>
      <c r="K101" s="105" t="s">
        <v>351</v>
      </c>
      <c r="L101" s="105" t="s">
        <v>352</v>
      </c>
      <c r="M101" s="103" t="s">
        <v>353</v>
      </c>
      <c r="N101" s="103" t="s">
        <v>354</v>
      </c>
      <c r="O101" s="103" t="s">
        <v>355</v>
      </c>
      <c r="P101" s="103" t="s">
        <v>356</v>
      </c>
      <c r="Q101" s="103" t="s">
        <v>357</v>
      </c>
      <c r="R101" s="103" t="s">
        <v>358</v>
      </c>
      <c r="S101" s="333" t="s">
        <v>233</v>
      </c>
    </row>
    <row r="102" spans="1:35" outlineLevel="1" x14ac:dyDescent="0.25">
      <c r="A102" s="609"/>
      <c r="B102" s="158">
        <v>1</v>
      </c>
      <c r="C102" s="101">
        <v>9</v>
      </c>
      <c r="D102" s="101">
        <v>3</v>
      </c>
      <c r="E102" s="101">
        <v>4</v>
      </c>
      <c r="F102" s="299">
        <v>4</v>
      </c>
      <c r="G102" s="101">
        <v>3</v>
      </c>
      <c r="H102" s="101">
        <v>9</v>
      </c>
      <c r="I102" s="101">
        <v>9</v>
      </c>
      <c r="J102" s="101">
        <v>9</v>
      </c>
      <c r="K102" s="107">
        <v>3</v>
      </c>
      <c r="L102" s="107">
        <v>1</v>
      </c>
      <c r="M102" s="101">
        <v>1</v>
      </c>
      <c r="N102" s="101">
        <v>4</v>
      </c>
      <c r="O102" s="101">
        <v>12</v>
      </c>
      <c r="P102" s="101">
        <v>12</v>
      </c>
      <c r="Q102" s="103">
        <v>3</v>
      </c>
      <c r="R102" s="101">
        <v>9</v>
      </c>
      <c r="S102" s="334">
        <v>32</v>
      </c>
    </row>
    <row r="103" spans="1:35" outlineLevel="1" x14ac:dyDescent="0.25">
      <c r="A103" s="609"/>
      <c r="B103" s="158" t="s">
        <v>1</v>
      </c>
      <c r="C103" s="101" t="s">
        <v>1</v>
      </c>
      <c r="D103" s="197" t="s">
        <v>1</v>
      </c>
      <c r="E103" s="106" t="s">
        <v>1</v>
      </c>
      <c r="F103" s="299" t="s">
        <v>1</v>
      </c>
      <c r="G103" s="101" t="s">
        <v>1</v>
      </c>
      <c r="H103" s="101" t="s">
        <v>1</v>
      </c>
      <c r="I103" s="101" t="s">
        <v>1</v>
      </c>
      <c r="J103" s="101" t="s">
        <v>1</v>
      </c>
      <c r="K103" s="108" t="s">
        <v>1</v>
      </c>
      <c r="L103" s="108" t="s">
        <v>69</v>
      </c>
      <c r="M103" s="101" t="s">
        <v>69</v>
      </c>
      <c r="N103" s="101" t="s">
        <v>69</v>
      </c>
      <c r="O103" s="101" t="s">
        <v>69</v>
      </c>
      <c r="P103" s="101" t="s">
        <v>1</v>
      </c>
      <c r="Q103" s="101" t="s">
        <v>69</v>
      </c>
      <c r="R103" s="101" t="s">
        <v>1</v>
      </c>
      <c r="S103" s="334" t="s">
        <v>1</v>
      </c>
    </row>
    <row r="104" spans="1:35" outlineLevel="1" x14ac:dyDescent="0.25">
      <c r="A104" s="609"/>
      <c r="B104" s="158" t="s">
        <v>0</v>
      </c>
      <c r="C104" s="101" t="s">
        <v>0</v>
      </c>
      <c r="D104" s="101" t="s">
        <v>0</v>
      </c>
      <c r="E104" s="106" t="s">
        <v>0</v>
      </c>
      <c r="F104" s="299" t="s">
        <v>0</v>
      </c>
      <c r="G104" s="101" t="s">
        <v>0</v>
      </c>
      <c r="H104" s="101" t="s">
        <v>0</v>
      </c>
      <c r="I104" s="101" t="s">
        <v>0</v>
      </c>
      <c r="J104" s="101" t="s">
        <v>0</v>
      </c>
      <c r="K104" s="108" t="s">
        <v>0</v>
      </c>
      <c r="L104" s="108" t="s">
        <v>4</v>
      </c>
      <c r="M104" s="101" t="s">
        <v>4</v>
      </c>
      <c r="N104" s="101" t="s">
        <v>4</v>
      </c>
      <c r="O104" s="101" t="s">
        <v>4</v>
      </c>
      <c r="P104" s="101" t="s">
        <v>4</v>
      </c>
      <c r="Q104" s="101" t="s">
        <v>4</v>
      </c>
      <c r="R104" s="101" t="s">
        <v>4</v>
      </c>
      <c r="S104" s="334" t="s">
        <v>0</v>
      </c>
    </row>
    <row r="105" spans="1:35" s="163" customFormat="1" ht="30" customHeight="1" thickBot="1" x14ac:dyDescent="0.3">
      <c r="A105" s="610"/>
      <c r="B105" s="183">
        <v>6</v>
      </c>
      <c r="C105" s="335" t="s">
        <v>544</v>
      </c>
      <c r="D105" s="185" t="s">
        <v>195</v>
      </c>
      <c r="E105" s="336" t="s">
        <v>672</v>
      </c>
      <c r="F105" s="337" t="s">
        <v>521</v>
      </c>
      <c r="G105" s="185" t="s">
        <v>195</v>
      </c>
      <c r="H105" s="184" t="s">
        <v>721</v>
      </c>
      <c r="I105" s="184" t="s">
        <v>722</v>
      </c>
      <c r="J105" s="184" t="s">
        <v>209</v>
      </c>
      <c r="K105" s="184" t="s">
        <v>195</v>
      </c>
      <c r="L105" s="186" t="s">
        <v>8</v>
      </c>
      <c r="M105" s="186" t="s">
        <v>8</v>
      </c>
      <c r="N105" s="186" t="s">
        <v>387</v>
      </c>
      <c r="O105" s="186" t="s">
        <v>941</v>
      </c>
      <c r="P105" s="186" t="s">
        <v>388</v>
      </c>
      <c r="Q105" s="186" t="s">
        <v>9</v>
      </c>
      <c r="R105" s="186" t="s">
        <v>389</v>
      </c>
      <c r="S105" s="187" t="s">
        <v>235</v>
      </c>
    </row>
    <row r="106" spans="1:35" ht="9.75" customHeight="1" thickBot="1" x14ac:dyDescent="0.3">
      <c r="B106" s="150" t="s">
        <v>586</v>
      </c>
      <c r="C106" s="150" t="s">
        <v>586</v>
      </c>
      <c r="D106" s="150" t="s">
        <v>586</v>
      </c>
      <c r="E106" s="150" t="s">
        <v>586</v>
      </c>
      <c r="F106" s="276" t="s">
        <v>586</v>
      </c>
      <c r="G106" s="150" t="s">
        <v>586</v>
      </c>
      <c r="H106" s="150" t="s">
        <v>586</v>
      </c>
      <c r="I106" s="150" t="s">
        <v>586</v>
      </c>
      <c r="J106" s="150" t="s">
        <v>586</v>
      </c>
      <c r="K106" s="150" t="s">
        <v>586</v>
      </c>
      <c r="L106" s="150" t="s">
        <v>586</v>
      </c>
      <c r="M106" s="150" t="s">
        <v>586</v>
      </c>
      <c r="N106" s="150" t="s">
        <v>586</v>
      </c>
      <c r="O106" s="150" t="s">
        <v>586</v>
      </c>
      <c r="P106" s="150" t="s">
        <v>586</v>
      </c>
      <c r="Q106" s="150" t="s">
        <v>586</v>
      </c>
      <c r="R106" s="150" t="s">
        <v>586</v>
      </c>
      <c r="S106" s="150" t="s">
        <v>586</v>
      </c>
    </row>
    <row r="107" spans="1:35" ht="100.15" customHeight="1" x14ac:dyDescent="0.25">
      <c r="A107" s="611" t="s">
        <v>371</v>
      </c>
      <c r="B107" s="159" t="s">
        <v>13</v>
      </c>
      <c r="C107" s="117" t="s">
        <v>363</v>
      </c>
      <c r="D107" s="117" t="s">
        <v>364</v>
      </c>
      <c r="E107" s="118" t="s">
        <v>15</v>
      </c>
      <c r="F107" s="300" t="s">
        <v>283</v>
      </c>
      <c r="G107" s="117" t="s">
        <v>365</v>
      </c>
      <c r="H107" s="117" t="s">
        <v>15</v>
      </c>
      <c r="I107" s="117" t="s">
        <v>286</v>
      </c>
      <c r="J107" s="117" t="s">
        <v>287</v>
      </c>
      <c r="K107" s="119" t="s">
        <v>366</v>
      </c>
      <c r="L107" s="119" t="s">
        <v>15</v>
      </c>
      <c r="M107" s="117" t="s">
        <v>367</v>
      </c>
      <c r="N107" s="120" t="s">
        <v>15</v>
      </c>
    </row>
    <row r="108" spans="1:35" ht="19.899999999999999" customHeight="1" x14ac:dyDescent="0.25">
      <c r="A108" s="612"/>
      <c r="B108" s="198" t="s">
        <v>293</v>
      </c>
      <c r="C108" s="110" t="s">
        <v>294</v>
      </c>
      <c r="D108" s="111" t="s">
        <v>295</v>
      </c>
      <c r="E108" s="112" t="s">
        <v>296</v>
      </c>
      <c r="F108" s="301" t="s">
        <v>297</v>
      </c>
      <c r="G108" s="111" t="s">
        <v>298</v>
      </c>
      <c r="H108" s="111" t="s">
        <v>299</v>
      </c>
      <c r="I108" s="111" t="s">
        <v>300</v>
      </c>
      <c r="J108" s="111" t="s">
        <v>301</v>
      </c>
      <c r="K108" s="113" t="s">
        <v>368</v>
      </c>
      <c r="L108" s="113" t="s">
        <v>369</v>
      </c>
      <c r="M108" s="111" t="s">
        <v>307</v>
      </c>
      <c r="N108" s="121" t="s">
        <v>370</v>
      </c>
    </row>
    <row r="109" spans="1:35" outlineLevel="1" x14ac:dyDescent="0.25">
      <c r="A109" s="612"/>
      <c r="B109" s="160">
        <v>3</v>
      </c>
      <c r="C109" s="109">
        <v>2</v>
      </c>
      <c r="D109" s="109">
        <v>14</v>
      </c>
      <c r="E109" s="109">
        <v>6</v>
      </c>
      <c r="F109" s="302">
        <v>2</v>
      </c>
      <c r="G109" s="109">
        <v>14</v>
      </c>
      <c r="H109" s="109">
        <v>6</v>
      </c>
      <c r="I109" s="109">
        <v>2</v>
      </c>
      <c r="J109" s="109">
        <v>6</v>
      </c>
      <c r="K109" s="115">
        <v>8</v>
      </c>
      <c r="L109" s="115">
        <v>19</v>
      </c>
      <c r="M109" s="109">
        <v>3</v>
      </c>
      <c r="N109" s="122">
        <v>43</v>
      </c>
    </row>
    <row r="110" spans="1:35" outlineLevel="1" x14ac:dyDescent="0.25">
      <c r="A110" s="612"/>
      <c r="B110" s="160" t="s">
        <v>1</v>
      </c>
      <c r="C110" s="109" t="s">
        <v>69</v>
      </c>
      <c r="D110" s="109" t="s">
        <v>1</v>
      </c>
      <c r="E110" s="114" t="s">
        <v>69</v>
      </c>
      <c r="F110" s="302" t="s">
        <v>69</v>
      </c>
      <c r="G110" s="109" t="s">
        <v>1</v>
      </c>
      <c r="H110" s="109" t="s">
        <v>69</v>
      </c>
      <c r="I110" s="109" t="s">
        <v>69</v>
      </c>
      <c r="J110" s="109" t="s">
        <v>69</v>
      </c>
      <c r="K110" s="116" t="s">
        <v>1</v>
      </c>
      <c r="L110" s="116" t="s">
        <v>69</v>
      </c>
      <c r="M110" s="109" t="s">
        <v>1</v>
      </c>
      <c r="N110" s="122" t="s">
        <v>69</v>
      </c>
    </row>
    <row r="111" spans="1:35" outlineLevel="1" x14ac:dyDescent="0.25">
      <c r="A111" s="612"/>
      <c r="B111" s="160" t="s">
        <v>0</v>
      </c>
      <c r="C111" s="109" t="s">
        <v>0</v>
      </c>
      <c r="D111" s="109" t="s">
        <v>0</v>
      </c>
      <c r="E111" s="114" t="s">
        <v>4</v>
      </c>
      <c r="F111" s="302" t="s">
        <v>0</v>
      </c>
      <c r="G111" s="109" t="s">
        <v>0</v>
      </c>
      <c r="H111" s="109" t="s">
        <v>4</v>
      </c>
      <c r="I111" s="109" t="s">
        <v>0</v>
      </c>
      <c r="J111" s="109" t="s">
        <v>0</v>
      </c>
      <c r="K111" s="116" t="s">
        <v>0</v>
      </c>
      <c r="L111" s="116" t="s">
        <v>4</v>
      </c>
      <c r="M111" s="109" t="s">
        <v>0</v>
      </c>
      <c r="N111" s="122" t="s">
        <v>4</v>
      </c>
    </row>
    <row r="112" spans="1:35" ht="30" customHeight="1" thickBot="1" x14ac:dyDescent="0.3">
      <c r="A112" s="613"/>
      <c r="B112" s="183">
        <v>999</v>
      </c>
      <c r="C112" s="186" t="s">
        <v>373</v>
      </c>
      <c r="D112" s="174" t="s">
        <v>584</v>
      </c>
      <c r="E112" s="186" t="s">
        <v>374</v>
      </c>
      <c r="F112" s="303" t="s">
        <v>375</v>
      </c>
      <c r="G112" s="174" t="s">
        <v>585</v>
      </c>
      <c r="H112" s="186" t="s">
        <v>374</v>
      </c>
      <c r="I112" s="186" t="s">
        <v>376</v>
      </c>
      <c r="J112" s="184" t="s">
        <v>377</v>
      </c>
      <c r="K112" s="497" t="s">
        <v>754</v>
      </c>
      <c r="L112" s="186" t="s">
        <v>390</v>
      </c>
      <c r="M112" s="185" t="s">
        <v>195</v>
      </c>
      <c r="N112" s="187" t="s">
        <v>391</v>
      </c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</row>
    <row r="113" spans="2:14" x14ac:dyDescent="0.25">
      <c r="B113" s="150" t="s">
        <v>586</v>
      </c>
      <c r="C113" s="150" t="s">
        <v>586</v>
      </c>
      <c r="D113" s="150" t="s">
        <v>586</v>
      </c>
      <c r="E113" s="150" t="s">
        <v>586</v>
      </c>
      <c r="F113" s="276" t="s">
        <v>586</v>
      </c>
      <c r="G113" s="150" t="s">
        <v>586</v>
      </c>
      <c r="H113" s="150" t="s">
        <v>586</v>
      </c>
      <c r="I113" s="150" t="s">
        <v>586</v>
      </c>
      <c r="J113" s="150" t="s">
        <v>586</v>
      </c>
      <c r="K113" s="150" t="s">
        <v>586</v>
      </c>
      <c r="L113" s="150" t="s">
        <v>586</v>
      </c>
      <c r="M113" s="150" t="s">
        <v>586</v>
      </c>
      <c r="N113" s="150" t="s">
        <v>586</v>
      </c>
    </row>
  </sheetData>
  <sheetProtection algorithmName="SHA-512" hashValue="QDxgYsC7FDCeQ1zN01yQgnLMD0B5/y85g4lSjUL0fmc4MNfDe5ZNRbHAl2t6UUo0loFXUvA6n+1shIg07BmJZA==" saltValue="+a0G3f4v/z+vYPjYDD01KA==" spinCount="100000" sheet="1" sort="0"/>
  <mergeCells count="23">
    <mergeCell ref="A107:A112"/>
    <mergeCell ref="B1:AI1"/>
    <mergeCell ref="A3:C3"/>
    <mergeCell ref="D3:F3"/>
    <mergeCell ref="G3:H3"/>
    <mergeCell ref="I3:X3"/>
    <mergeCell ref="A86:A91"/>
    <mergeCell ref="A58:A63"/>
    <mergeCell ref="A65:A70"/>
    <mergeCell ref="A72:A77"/>
    <mergeCell ref="A79:A84"/>
    <mergeCell ref="A23:A28"/>
    <mergeCell ref="A30:A35"/>
    <mergeCell ref="A37:A42"/>
    <mergeCell ref="A44:A49"/>
    <mergeCell ref="A51:A56"/>
    <mergeCell ref="Z3:AE3"/>
    <mergeCell ref="AG3:AI3"/>
    <mergeCell ref="A7:AI7"/>
    <mergeCell ref="A93:A98"/>
    <mergeCell ref="A100:A105"/>
    <mergeCell ref="A9:A14"/>
    <mergeCell ref="A16:A21"/>
  </mergeCells>
  <conditionalFormatting sqref="B28">
    <cfRule type="expression" dxfId="25" priority="2">
      <formula>"B17&lt;&gt;0"</formula>
    </cfRule>
  </conditionalFormatting>
  <conditionalFormatting sqref="F28">
    <cfRule type="expression" dxfId="24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tabColor theme="8" tint="-0.499984740745262"/>
    <pageSetUpPr fitToPage="1"/>
  </sheetPr>
  <dimension ref="A1:AM127"/>
  <sheetViews>
    <sheetView view="pageBreakPreview" topLeftCell="A87" zoomScale="55" zoomScaleNormal="40" zoomScaleSheetLayoutView="55" workbookViewId="0">
      <selection activeCell="O119" sqref="O119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9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9" ht="15.75" thickBot="1" x14ac:dyDescent="0.3">
      <c r="C2" s="78"/>
    </row>
    <row r="3" spans="1:39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9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  <c r="AJ4" s="163"/>
      <c r="AK4" s="163"/>
      <c r="AL4" s="163"/>
      <c r="AM4" s="163"/>
    </row>
    <row r="5" spans="1:39" ht="58.5" customHeight="1" thickBot="1" x14ac:dyDescent="0.3">
      <c r="A5" s="379" t="str">
        <f>'LISTE DES CAS ANNEXE 30'!A28</f>
        <v>CONVENTION CAS 13</v>
      </c>
      <c r="B5" s="369">
        <f>'LISTE DES CAS ANNEXE 30'!B28</f>
        <v>1</v>
      </c>
      <c r="C5" s="370">
        <f>'LISTE DES CAS ANNEXE 30'!C28</f>
        <v>1</v>
      </c>
      <c r="D5" s="367" t="str">
        <f>'LISTE DES CAS ANNEXE 30'!D28</f>
        <v>MALADIE</v>
      </c>
      <c r="E5" s="368">
        <f>'LISTE DES CAS ANNEXE 30'!E28</f>
        <v>0.55000000000000004</v>
      </c>
      <c r="F5" s="361" t="str">
        <f>'LISTE DES CAS ANNEXE 30'!H28</f>
        <v>NON</v>
      </c>
      <c r="G5" s="384" t="str">
        <f>'LISTE DES CAS ANNEXE 30'!I28</f>
        <v>NON</v>
      </c>
      <c r="H5" s="366" t="str">
        <f>'LISTE DES CAS ANNEXE 30'!J28</f>
        <v>05 - TP AMO SEUL</v>
      </c>
      <c r="I5" s="354" t="str">
        <f>'LISTE DES CAS ANNEXE 30'!K28</f>
        <v>42-SAINT-ETIENNE</v>
      </c>
      <c r="J5" s="355" t="str">
        <f>'LISTE DES CAS ANNEXE 30'!L28</f>
        <v>42-MONTBRISON</v>
      </c>
      <c r="K5" s="356" t="str">
        <f>'LISTE DES CAS ANNEXE 30'!M28</f>
        <v>01/12/2025 à 20h00</v>
      </c>
      <c r="L5" s="356" t="str">
        <f>'LISTE DES CAS ANNEXE 30'!N28</f>
        <v>01/12/2025 à 20h40</v>
      </c>
      <c r="M5" s="357" t="str">
        <f>'LISTE DES CAS ANNEXE 30'!O28</f>
        <v>AA-001-BB</v>
      </c>
      <c r="N5" s="357" t="str">
        <f>'LISTE DES CAS ANNEXE 30'!P28</f>
        <v>42218 
(SAINT-ETIENNE)</v>
      </c>
      <c r="O5" s="357" t="str">
        <f>'LISTE DES CAS ANNEXE 30'!Q28</f>
        <v>042</v>
      </c>
      <c r="P5" s="357" t="str">
        <f>'LISTE DES CAS ANNEXE 30'!R28</f>
        <v>422 - CPAM DE LA LOIRE</v>
      </c>
      <c r="Q5" s="358">
        <f>'LISTE DES CAS ANNEXE 30'!S28</f>
        <v>43</v>
      </c>
      <c r="R5" s="429" t="str">
        <f>'LISTE DES CAS ANNEXE 30'!T28</f>
        <v>NUIT</v>
      </c>
      <c r="S5" s="433">
        <f>'LISTE DES CAS ANNEXE 30'!U28</f>
        <v>3</v>
      </c>
      <c r="T5" s="428" t="str">
        <f>'LISTE DES CAS ANNEXE 30'!V28</f>
        <v>OUI 
(TYPE 1)</v>
      </c>
      <c r="U5" s="428" t="str">
        <f>'LISTE DES CAS ANNEXE 30'!W28</f>
        <v>OUI 
(à 0,40€)</v>
      </c>
      <c r="V5" s="428" t="str">
        <f>'LISTE DES CAS ANNEXE 30'!X28</f>
        <v>OUI</v>
      </c>
      <c r="W5" s="428" t="str">
        <f>'LISTE DES CAS ANNEXE 30'!Y28</f>
        <v>OUI</v>
      </c>
      <c r="X5" s="361" t="str">
        <f>'LISTE DES CAS ANNEXE 30'!Z28</f>
        <v>NON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9" ht="15.75" thickBot="1" x14ac:dyDescent="0.3">
      <c r="C6" s="78"/>
      <c r="AJ6" s="163"/>
      <c r="AK6" s="163"/>
      <c r="AL6" s="163"/>
      <c r="AM6" s="163"/>
    </row>
    <row r="7" spans="1:39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9" ht="15.75" thickBot="1" x14ac:dyDescent="0.3">
      <c r="C8" s="78"/>
      <c r="AJ8" s="163"/>
      <c r="AK8" s="163"/>
      <c r="AL8" s="163"/>
      <c r="AM8" s="163"/>
    </row>
    <row r="9" spans="1:39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9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  <c r="AJ10" s="163"/>
      <c r="AK10" s="163"/>
      <c r="AL10" s="163"/>
      <c r="AM10" s="163"/>
    </row>
    <row r="11" spans="1:39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9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  <c r="AJ12" s="163"/>
      <c r="AK12" s="163"/>
      <c r="AL12" s="163"/>
      <c r="AM12" s="163"/>
    </row>
    <row r="13" spans="1:39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9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9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9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242</v>
      </c>
      <c r="V42" s="193" t="s">
        <v>202</v>
      </c>
      <c r="W42" s="33" t="s">
        <v>590</v>
      </c>
      <c r="X42" s="33" t="s">
        <v>202</v>
      </c>
      <c r="Y42" s="194" t="s">
        <v>723</v>
      </c>
      <c r="Z42" s="194" t="s">
        <v>723</v>
      </c>
      <c r="AA42" s="194" t="s">
        <v>592</v>
      </c>
      <c r="AB42" s="194" t="s">
        <v>724</v>
      </c>
      <c r="AC42" s="194" t="s">
        <v>723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661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662</v>
      </c>
      <c r="T56" s="54" t="s">
        <v>262</v>
      </c>
      <c r="U56" s="54">
        <v>3</v>
      </c>
      <c r="V56" s="55" t="s">
        <v>5</v>
      </c>
      <c r="W56" s="55" t="s">
        <v>208</v>
      </c>
      <c r="X56" s="229" t="s">
        <v>203</v>
      </c>
      <c r="Y56" s="54" t="s">
        <v>638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725</v>
      </c>
      <c r="Z63" s="96" t="s">
        <v>725</v>
      </c>
      <c r="AA63" s="97" t="s">
        <v>592</v>
      </c>
      <c r="AB63" s="96" t="s">
        <v>726</v>
      </c>
      <c r="AC63" s="96" t="s">
        <v>725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727</v>
      </c>
      <c r="Z70" s="96" t="s">
        <v>727</v>
      </c>
      <c r="AA70" s="54" t="s">
        <v>592</v>
      </c>
      <c r="AB70" s="54" t="s">
        <v>728</v>
      </c>
      <c r="AC70" s="54" t="s">
        <v>727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20" t="s">
        <v>925</v>
      </c>
      <c r="B72" s="151" t="s">
        <v>13</v>
      </c>
      <c r="C72" s="40" t="s">
        <v>14</v>
      </c>
      <c r="D72" s="40" t="s">
        <v>15</v>
      </c>
      <c r="E72" s="41" t="s">
        <v>16</v>
      </c>
      <c r="F72" s="289" t="s">
        <v>17</v>
      </c>
      <c r="G72" s="40" t="s">
        <v>70</v>
      </c>
      <c r="H72" s="40" t="s">
        <v>71</v>
      </c>
      <c r="I72" s="40" t="s">
        <v>72</v>
      </c>
      <c r="J72" s="40" t="s">
        <v>2</v>
      </c>
      <c r="K72" s="40" t="s">
        <v>73</v>
      </c>
      <c r="L72" s="42" t="s">
        <v>74</v>
      </c>
      <c r="M72" s="42" t="s">
        <v>75</v>
      </c>
      <c r="N72" s="40" t="s">
        <v>76</v>
      </c>
      <c r="O72" s="40" t="s">
        <v>77</v>
      </c>
      <c r="P72" s="40" t="s">
        <v>78</v>
      </c>
      <c r="Q72" s="40" t="s">
        <v>79</v>
      </c>
      <c r="R72" s="40" t="s">
        <v>80</v>
      </c>
      <c r="S72" s="40" t="s">
        <v>81</v>
      </c>
      <c r="T72" s="40" t="s">
        <v>82</v>
      </c>
      <c r="U72" s="40" t="s">
        <v>83</v>
      </c>
      <c r="V72" s="40" t="s">
        <v>84</v>
      </c>
      <c r="W72" s="40" t="s">
        <v>3</v>
      </c>
      <c r="X72" s="40" t="s">
        <v>85</v>
      </c>
      <c r="Y72" s="40" t="s">
        <v>86</v>
      </c>
      <c r="Z72" s="40" t="s">
        <v>87</v>
      </c>
      <c r="AA72" s="40" t="s">
        <v>88</v>
      </c>
      <c r="AB72" s="40" t="s">
        <v>89</v>
      </c>
      <c r="AC72" s="40" t="s">
        <v>90</v>
      </c>
      <c r="AD72" s="40" t="s">
        <v>91</v>
      </c>
      <c r="AE72" s="40" t="s">
        <v>92</v>
      </c>
      <c r="AF72" s="43" t="s">
        <v>93</v>
      </c>
    </row>
    <row r="73" spans="1:35" ht="19.899999999999999" customHeight="1" x14ac:dyDescent="0.25">
      <c r="A73" s="615"/>
      <c r="B73" s="152">
        <v>1</v>
      </c>
      <c r="C73" s="44" t="s">
        <v>47</v>
      </c>
      <c r="D73" s="45">
        <v>11</v>
      </c>
      <c r="E73" s="46" t="s">
        <v>48</v>
      </c>
      <c r="F73" s="290" t="s">
        <v>49</v>
      </c>
      <c r="G73" s="47" t="s">
        <v>50</v>
      </c>
      <c r="H73" s="47">
        <v>36</v>
      </c>
      <c r="I73" s="47" t="s">
        <v>94</v>
      </c>
      <c r="J73" s="47" t="s">
        <v>95</v>
      </c>
      <c r="K73" s="47" t="s">
        <v>96</v>
      </c>
      <c r="L73" s="48" t="s">
        <v>97</v>
      </c>
      <c r="M73" s="48" t="s">
        <v>98</v>
      </c>
      <c r="N73" s="47" t="s">
        <v>99</v>
      </c>
      <c r="O73" s="47">
        <v>53</v>
      </c>
      <c r="P73" s="47">
        <v>54</v>
      </c>
      <c r="Q73" s="47" t="s">
        <v>913</v>
      </c>
      <c r="R73" s="47" t="s">
        <v>100</v>
      </c>
      <c r="S73" s="47" t="s">
        <v>101</v>
      </c>
      <c r="T73" s="47" t="s">
        <v>57</v>
      </c>
      <c r="U73" s="47" t="s">
        <v>102</v>
      </c>
      <c r="V73" s="47" t="s">
        <v>103</v>
      </c>
      <c r="W73" s="47" t="s">
        <v>104</v>
      </c>
      <c r="X73" s="47" t="s">
        <v>105</v>
      </c>
      <c r="Y73" s="47" t="s">
        <v>106</v>
      </c>
      <c r="Z73" s="47" t="s">
        <v>107</v>
      </c>
      <c r="AA73" s="47" t="s">
        <v>108</v>
      </c>
      <c r="AB73" s="45" t="s">
        <v>109</v>
      </c>
      <c r="AC73" s="47" t="s">
        <v>110</v>
      </c>
      <c r="AD73" s="45">
        <v>120</v>
      </c>
      <c r="AE73" s="45">
        <v>121</v>
      </c>
      <c r="AF73" s="49" t="s">
        <v>111</v>
      </c>
    </row>
    <row r="74" spans="1:35" outlineLevel="1" x14ac:dyDescent="0.25">
      <c r="A74" s="615"/>
      <c r="B74" s="152">
        <v>1</v>
      </c>
      <c r="C74" s="45">
        <v>9</v>
      </c>
      <c r="D74" s="45">
        <v>1</v>
      </c>
      <c r="E74" s="50">
        <v>13</v>
      </c>
      <c r="F74" s="291">
        <v>2</v>
      </c>
      <c r="G74" s="45">
        <v>9</v>
      </c>
      <c r="H74" s="45">
        <v>1</v>
      </c>
      <c r="I74" s="45">
        <v>2</v>
      </c>
      <c r="J74" s="45">
        <v>2</v>
      </c>
      <c r="K74" s="45">
        <v>3</v>
      </c>
      <c r="L74" s="51">
        <v>6</v>
      </c>
      <c r="M74" s="51">
        <v>1</v>
      </c>
      <c r="N74" s="45">
        <v>2</v>
      </c>
      <c r="O74" s="45">
        <v>1</v>
      </c>
      <c r="P74" s="45">
        <v>1</v>
      </c>
      <c r="Q74" s="45">
        <v>9</v>
      </c>
      <c r="R74" s="45">
        <v>2</v>
      </c>
      <c r="S74" s="45">
        <v>2</v>
      </c>
      <c r="T74" s="45">
        <v>6</v>
      </c>
      <c r="U74" s="45">
        <v>5</v>
      </c>
      <c r="V74" s="45">
        <v>2</v>
      </c>
      <c r="W74" s="45">
        <v>6</v>
      </c>
      <c r="X74" s="45">
        <v>2</v>
      </c>
      <c r="Y74" s="45">
        <v>7</v>
      </c>
      <c r="Z74" s="45">
        <v>7</v>
      </c>
      <c r="AA74" s="45">
        <v>3</v>
      </c>
      <c r="AB74" s="45">
        <v>7</v>
      </c>
      <c r="AC74" s="45">
        <v>7</v>
      </c>
      <c r="AD74" s="45">
        <v>1</v>
      </c>
      <c r="AE74" s="45">
        <v>1</v>
      </c>
      <c r="AF74" s="49">
        <v>7</v>
      </c>
      <c r="AG74" s="2"/>
    </row>
    <row r="75" spans="1:35" outlineLevel="1" x14ac:dyDescent="0.25">
      <c r="A75" s="615"/>
      <c r="B75" s="152" t="s">
        <v>1</v>
      </c>
      <c r="C75" s="45" t="s">
        <v>1</v>
      </c>
      <c r="D75" s="45" t="s">
        <v>69</v>
      </c>
      <c r="E75" s="50" t="s">
        <v>69</v>
      </c>
      <c r="F75" s="291" t="s">
        <v>1</v>
      </c>
      <c r="G75" s="45" t="s">
        <v>1</v>
      </c>
      <c r="H75" s="45" t="s">
        <v>69</v>
      </c>
      <c r="I75" s="45" t="s">
        <v>1</v>
      </c>
      <c r="J75" s="45" t="s">
        <v>1</v>
      </c>
      <c r="K75" s="45" t="s">
        <v>1</v>
      </c>
      <c r="L75" s="52" t="s">
        <v>1</v>
      </c>
      <c r="M75" s="52" t="s">
        <v>1</v>
      </c>
      <c r="N75" s="45" t="s">
        <v>69</v>
      </c>
      <c r="O75" s="45" t="s">
        <v>69</v>
      </c>
      <c r="P75" s="53" t="s">
        <v>69</v>
      </c>
      <c r="Q75" s="45" t="s">
        <v>1</v>
      </c>
      <c r="R75" s="45" t="s">
        <v>1</v>
      </c>
      <c r="S75" s="45" t="s">
        <v>1</v>
      </c>
      <c r="T75" s="45" t="s">
        <v>1</v>
      </c>
      <c r="U75" s="45" t="s">
        <v>69</v>
      </c>
      <c r="V75" s="45" t="s">
        <v>1</v>
      </c>
      <c r="W75" s="45" t="s">
        <v>1</v>
      </c>
      <c r="X75" s="45" t="s">
        <v>1</v>
      </c>
      <c r="Y75" s="45" t="s">
        <v>1</v>
      </c>
      <c r="Z75" s="45" t="s">
        <v>1</v>
      </c>
      <c r="AA75" s="45" t="s">
        <v>1</v>
      </c>
      <c r="AB75" s="45" t="s">
        <v>1</v>
      </c>
      <c r="AC75" s="45" t="s">
        <v>1</v>
      </c>
      <c r="AD75" s="45" t="s">
        <v>69</v>
      </c>
      <c r="AE75" s="45" t="s">
        <v>1</v>
      </c>
      <c r="AF75" s="49" t="s">
        <v>1</v>
      </c>
    </row>
    <row r="76" spans="1:35" outlineLevel="1" x14ac:dyDescent="0.25">
      <c r="A76" s="615"/>
      <c r="B76" s="152" t="s">
        <v>0</v>
      </c>
      <c r="C76" s="45" t="s">
        <v>0</v>
      </c>
      <c r="D76" s="45" t="s">
        <v>4</v>
      </c>
      <c r="E76" s="50" t="s">
        <v>0</v>
      </c>
      <c r="F76" s="291" t="s">
        <v>0</v>
      </c>
      <c r="G76" s="45" t="s">
        <v>0</v>
      </c>
      <c r="H76" s="45" t="s">
        <v>4</v>
      </c>
      <c r="I76" s="45" t="s">
        <v>4</v>
      </c>
      <c r="J76" s="45" t="s">
        <v>4</v>
      </c>
      <c r="K76" s="45" t="s">
        <v>4</v>
      </c>
      <c r="L76" s="52" t="s">
        <v>4</v>
      </c>
      <c r="M76" s="52" t="s">
        <v>0</v>
      </c>
      <c r="N76" s="45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5" t="s">
        <v>112</v>
      </c>
      <c r="T76" s="45" t="s">
        <v>0</v>
      </c>
      <c r="U76" s="45" t="s">
        <v>0</v>
      </c>
      <c r="V76" s="45" t="s">
        <v>0</v>
      </c>
      <c r="W76" s="45" t="s">
        <v>0</v>
      </c>
      <c r="X76" s="45" t="s">
        <v>0</v>
      </c>
      <c r="Y76" s="45" t="s">
        <v>0</v>
      </c>
      <c r="Z76" s="45" t="s">
        <v>0</v>
      </c>
      <c r="AA76" s="45" t="s">
        <v>0</v>
      </c>
      <c r="AB76" s="45" t="s">
        <v>0</v>
      </c>
      <c r="AC76" s="45" t="s">
        <v>0</v>
      </c>
      <c r="AD76" s="45" t="s">
        <v>4</v>
      </c>
      <c r="AE76" s="45" t="s">
        <v>4</v>
      </c>
      <c r="AF76" s="49" t="s">
        <v>4</v>
      </c>
    </row>
    <row r="77" spans="1:35" ht="30" customHeight="1" thickBot="1" x14ac:dyDescent="0.3">
      <c r="A77" s="616"/>
      <c r="B77" s="149" t="s">
        <v>10</v>
      </c>
      <c r="C77" s="54" t="s">
        <v>544</v>
      </c>
      <c r="D77" s="55" t="s">
        <v>8</v>
      </c>
      <c r="E77" s="54" t="s">
        <v>198</v>
      </c>
      <c r="F77" s="288">
        <v>77</v>
      </c>
      <c r="G77" s="54">
        <v>250000001</v>
      </c>
      <c r="H77" s="193" t="s">
        <v>8</v>
      </c>
      <c r="I77" s="193" t="s">
        <v>5</v>
      </c>
      <c r="J77" s="55" t="s">
        <v>5</v>
      </c>
      <c r="K77" s="55" t="s">
        <v>6</v>
      </c>
      <c r="L77" s="55" t="s">
        <v>208</v>
      </c>
      <c r="M77" s="193" t="s">
        <v>397</v>
      </c>
      <c r="N77" s="55" t="s">
        <v>210</v>
      </c>
      <c r="O77" s="55" t="s">
        <v>8</v>
      </c>
      <c r="P77" s="55" t="s">
        <v>8</v>
      </c>
      <c r="Q77" s="54" t="s">
        <v>544</v>
      </c>
      <c r="R77" s="55" t="s">
        <v>5</v>
      </c>
      <c r="S77" s="55" t="s">
        <v>5</v>
      </c>
      <c r="T77" s="33" t="s">
        <v>581</v>
      </c>
      <c r="U77" s="228" t="s">
        <v>247</v>
      </c>
      <c r="V77" s="55" t="s">
        <v>202</v>
      </c>
      <c r="W77" s="54" t="s">
        <v>590</v>
      </c>
      <c r="X77" s="33" t="s">
        <v>202</v>
      </c>
      <c r="Y77" s="54" t="s">
        <v>716</v>
      </c>
      <c r="Z77" s="96" t="s">
        <v>716</v>
      </c>
      <c r="AA77" s="54" t="s">
        <v>592</v>
      </c>
      <c r="AB77" s="54" t="s">
        <v>717</v>
      </c>
      <c r="AC77" s="54" t="s">
        <v>716</v>
      </c>
      <c r="AD77" s="55" t="s">
        <v>8</v>
      </c>
      <c r="AE77" s="193" t="s">
        <v>200</v>
      </c>
      <c r="AF77" s="82" t="s">
        <v>212</v>
      </c>
      <c r="AG77" s="188" t="s">
        <v>589</v>
      </c>
      <c r="AH77" s="76"/>
      <c r="AI77" s="76"/>
    </row>
    <row r="78" spans="1:35" s="75" customFormat="1" ht="15.75" thickBot="1" x14ac:dyDescent="0.3"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 t="s">
        <v>586</v>
      </c>
      <c r="U78" s="75" t="s">
        <v>586</v>
      </c>
      <c r="V78" s="75" t="s">
        <v>586</v>
      </c>
      <c r="W78" s="75" t="s">
        <v>586</v>
      </c>
      <c r="X78" s="75" t="s">
        <v>586</v>
      </c>
      <c r="Y78" s="75" t="s">
        <v>586</v>
      </c>
      <c r="Z78" s="75" t="s">
        <v>586</v>
      </c>
      <c r="AA78" s="75" t="s">
        <v>586</v>
      </c>
      <c r="AB78" s="75" t="s">
        <v>586</v>
      </c>
      <c r="AC78" s="75" t="s">
        <v>586</v>
      </c>
      <c r="AD78" s="75" t="s">
        <v>586</v>
      </c>
      <c r="AE78" s="75" t="s">
        <v>586</v>
      </c>
      <c r="AF78" s="75" t="s">
        <v>586</v>
      </c>
    </row>
    <row r="79" spans="1:35" ht="100.15" customHeight="1" x14ac:dyDescent="0.25">
      <c r="A79" s="620" t="s">
        <v>916</v>
      </c>
      <c r="B79" s="151" t="s">
        <v>13</v>
      </c>
      <c r="C79" s="40" t="s">
        <v>14</v>
      </c>
      <c r="D79" s="40" t="s">
        <v>15</v>
      </c>
      <c r="E79" s="41" t="s">
        <v>16</v>
      </c>
      <c r="F79" s="289" t="s">
        <v>17</v>
      </c>
      <c r="G79" s="40" t="s">
        <v>70</v>
      </c>
      <c r="H79" s="40" t="s">
        <v>71</v>
      </c>
      <c r="I79" s="40" t="s">
        <v>72</v>
      </c>
      <c r="J79" s="40" t="s">
        <v>2</v>
      </c>
      <c r="K79" s="40" t="s">
        <v>73</v>
      </c>
      <c r="L79" s="42" t="s">
        <v>74</v>
      </c>
      <c r="M79" s="42" t="s">
        <v>75</v>
      </c>
      <c r="N79" s="40" t="s">
        <v>76</v>
      </c>
      <c r="O79" s="40" t="s">
        <v>77</v>
      </c>
      <c r="P79" s="40" t="s">
        <v>78</v>
      </c>
      <c r="Q79" s="40" t="s">
        <v>79</v>
      </c>
      <c r="R79" s="40" t="s">
        <v>80</v>
      </c>
      <c r="S79" s="40" t="s">
        <v>81</v>
      </c>
      <c r="T79" s="40" t="s">
        <v>82</v>
      </c>
      <c r="U79" s="40" t="s">
        <v>83</v>
      </c>
      <c r="V79" s="40" t="s">
        <v>84</v>
      </c>
      <c r="W79" s="40" t="s">
        <v>3</v>
      </c>
      <c r="X79" s="40" t="s">
        <v>85</v>
      </c>
      <c r="Y79" s="40" t="s">
        <v>86</v>
      </c>
      <c r="Z79" s="40" t="s">
        <v>87</v>
      </c>
      <c r="AA79" s="40" t="s">
        <v>88</v>
      </c>
      <c r="AB79" s="40" t="s">
        <v>89</v>
      </c>
      <c r="AC79" s="40" t="s">
        <v>90</v>
      </c>
      <c r="AD79" s="40" t="s">
        <v>91</v>
      </c>
      <c r="AE79" s="40" t="s">
        <v>92</v>
      </c>
      <c r="AF79" s="43" t="s">
        <v>93</v>
      </c>
    </row>
    <row r="80" spans="1:35" ht="19.899999999999999" customHeight="1" x14ac:dyDescent="0.25">
      <c r="A80" s="615"/>
      <c r="B80" s="152">
        <v>1</v>
      </c>
      <c r="C80" s="44" t="s">
        <v>47</v>
      </c>
      <c r="D80" s="45">
        <v>11</v>
      </c>
      <c r="E80" s="46" t="s">
        <v>48</v>
      </c>
      <c r="F80" s="290" t="s">
        <v>49</v>
      </c>
      <c r="G80" s="47" t="s">
        <v>50</v>
      </c>
      <c r="H80" s="47">
        <v>36</v>
      </c>
      <c r="I80" s="47" t="s">
        <v>94</v>
      </c>
      <c r="J80" s="47" t="s">
        <v>95</v>
      </c>
      <c r="K80" s="47" t="s">
        <v>96</v>
      </c>
      <c r="L80" s="48" t="s">
        <v>97</v>
      </c>
      <c r="M80" s="48" t="s">
        <v>98</v>
      </c>
      <c r="N80" s="47" t="s">
        <v>99</v>
      </c>
      <c r="O80" s="47">
        <v>53</v>
      </c>
      <c r="P80" s="47">
        <v>54</v>
      </c>
      <c r="Q80" s="47" t="s">
        <v>913</v>
      </c>
      <c r="R80" s="47" t="s">
        <v>100</v>
      </c>
      <c r="S80" s="47" t="s">
        <v>101</v>
      </c>
      <c r="T80" s="47" t="s">
        <v>57</v>
      </c>
      <c r="U80" s="47" t="s">
        <v>102</v>
      </c>
      <c r="V80" s="47" t="s">
        <v>103</v>
      </c>
      <c r="W80" s="47" t="s">
        <v>104</v>
      </c>
      <c r="X80" s="47" t="s">
        <v>105</v>
      </c>
      <c r="Y80" s="47" t="s">
        <v>106</v>
      </c>
      <c r="Z80" s="47" t="s">
        <v>107</v>
      </c>
      <c r="AA80" s="47" t="s">
        <v>108</v>
      </c>
      <c r="AB80" s="45" t="s">
        <v>109</v>
      </c>
      <c r="AC80" s="47" t="s">
        <v>110</v>
      </c>
      <c r="AD80" s="45">
        <v>120</v>
      </c>
      <c r="AE80" s="45">
        <v>121</v>
      </c>
      <c r="AF80" s="49" t="s">
        <v>111</v>
      </c>
    </row>
    <row r="81" spans="1:35" outlineLevel="1" x14ac:dyDescent="0.25">
      <c r="A81" s="615"/>
      <c r="B81" s="152">
        <v>1</v>
      </c>
      <c r="C81" s="45">
        <v>9</v>
      </c>
      <c r="D81" s="45">
        <v>1</v>
      </c>
      <c r="E81" s="50">
        <v>13</v>
      </c>
      <c r="F81" s="291">
        <v>2</v>
      </c>
      <c r="G81" s="45">
        <v>9</v>
      </c>
      <c r="H81" s="45">
        <v>1</v>
      </c>
      <c r="I81" s="45">
        <v>2</v>
      </c>
      <c r="J81" s="45">
        <v>2</v>
      </c>
      <c r="K81" s="45">
        <v>3</v>
      </c>
      <c r="L81" s="51">
        <v>6</v>
      </c>
      <c r="M81" s="51">
        <v>1</v>
      </c>
      <c r="N81" s="45">
        <v>2</v>
      </c>
      <c r="O81" s="45">
        <v>1</v>
      </c>
      <c r="P81" s="45">
        <v>1</v>
      </c>
      <c r="Q81" s="45">
        <v>9</v>
      </c>
      <c r="R81" s="45">
        <v>2</v>
      </c>
      <c r="S81" s="45">
        <v>2</v>
      </c>
      <c r="T81" s="45">
        <v>6</v>
      </c>
      <c r="U81" s="45">
        <v>5</v>
      </c>
      <c r="V81" s="45">
        <v>2</v>
      </c>
      <c r="W81" s="45">
        <v>6</v>
      </c>
      <c r="X81" s="45">
        <v>2</v>
      </c>
      <c r="Y81" s="45">
        <v>7</v>
      </c>
      <c r="Z81" s="45">
        <v>7</v>
      </c>
      <c r="AA81" s="45">
        <v>3</v>
      </c>
      <c r="AB81" s="45">
        <v>7</v>
      </c>
      <c r="AC81" s="45">
        <v>7</v>
      </c>
      <c r="AD81" s="45">
        <v>1</v>
      </c>
      <c r="AE81" s="45">
        <v>1</v>
      </c>
      <c r="AF81" s="49">
        <v>7</v>
      </c>
      <c r="AG81" s="2"/>
    </row>
    <row r="82" spans="1:35" outlineLevel="1" x14ac:dyDescent="0.25">
      <c r="A82" s="615"/>
      <c r="B82" s="152" t="s">
        <v>1</v>
      </c>
      <c r="C82" s="45" t="s">
        <v>1</v>
      </c>
      <c r="D82" s="45" t="s">
        <v>69</v>
      </c>
      <c r="E82" s="50" t="s">
        <v>69</v>
      </c>
      <c r="F82" s="291" t="s">
        <v>1</v>
      </c>
      <c r="G82" s="45" t="s">
        <v>1</v>
      </c>
      <c r="H82" s="45" t="s">
        <v>69</v>
      </c>
      <c r="I82" s="45" t="s">
        <v>1</v>
      </c>
      <c r="J82" s="45" t="s">
        <v>1</v>
      </c>
      <c r="K82" s="45" t="s">
        <v>1</v>
      </c>
      <c r="L82" s="52" t="s">
        <v>1</v>
      </c>
      <c r="M82" s="52" t="s">
        <v>1</v>
      </c>
      <c r="N82" s="45" t="s">
        <v>69</v>
      </c>
      <c r="O82" s="45" t="s">
        <v>69</v>
      </c>
      <c r="P82" s="53" t="s">
        <v>69</v>
      </c>
      <c r="Q82" s="45" t="s">
        <v>1</v>
      </c>
      <c r="R82" s="45" t="s">
        <v>1</v>
      </c>
      <c r="S82" s="45" t="s">
        <v>1</v>
      </c>
      <c r="T82" s="45" t="s">
        <v>1</v>
      </c>
      <c r="U82" s="45" t="s">
        <v>69</v>
      </c>
      <c r="V82" s="45" t="s">
        <v>1</v>
      </c>
      <c r="W82" s="45" t="s">
        <v>1</v>
      </c>
      <c r="X82" s="45" t="s">
        <v>1</v>
      </c>
      <c r="Y82" s="45" t="s">
        <v>1</v>
      </c>
      <c r="Z82" s="45" t="s">
        <v>1</v>
      </c>
      <c r="AA82" s="45" t="s">
        <v>1</v>
      </c>
      <c r="AB82" s="45" t="s">
        <v>1</v>
      </c>
      <c r="AC82" s="45" t="s">
        <v>1</v>
      </c>
      <c r="AD82" s="45" t="s">
        <v>69</v>
      </c>
      <c r="AE82" s="45" t="s">
        <v>1</v>
      </c>
      <c r="AF82" s="49" t="s">
        <v>1</v>
      </c>
    </row>
    <row r="83" spans="1:35" outlineLevel="1" x14ac:dyDescent="0.25">
      <c r="A83" s="615"/>
      <c r="B83" s="152" t="s">
        <v>0</v>
      </c>
      <c r="C83" s="45" t="s">
        <v>0</v>
      </c>
      <c r="D83" s="45" t="s">
        <v>4</v>
      </c>
      <c r="E83" s="50" t="s">
        <v>0</v>
      </c>
      <c r="F83" s="291" t="s">
        <v>0</v>
      </c>
      <c r="G83" s="45" t="s">
        <v>0</v>
      </c>
      <c r="H83" s="45" t="s">
        <v>4</v>
      </c>
      <c r="I83" s="45" t="s">
        <v>4</v>
      </c>
      <c r="J83" s="45" t="s">
        <v>4</v>
      </c>
      <c r="K83" s="45" t="s">
        <v>4</v>
      </c>
      <c r="L83" s="52" t="s">
        <v>4</v>
      </c>
      <c r="M83" s="52" t="s">
        <v>0</v>
      </c>
      <c r="N83" s="45" t="s">
        <v>4</v>
      </c>
      <c r="O83" s="45" t="s">
        <v>4</v>
      </c>
      <c r="P83" s="45" t="s">
        <v>4</v>
      </c>
      <c r="Q83" s="45" t="s">
        <v>4</v>
      </c>
      <c r="R83" s="45" t="s">
        <v>4</v>
      </c>
      <c r="S83" s="45" t="s">
        <v>112</v>
      </c>
      <c r="T83" s="45" t="s">
        <v>0</v>
      </c>
      <c r="U83" s="45" t="s">
        <v>0</v>
      </c>
      <c r="V83" s="45" t="s">
        <v>0</v>
      </c>
      <c r="W83" s="45" t="s">
        <v>0</v>
      </c>
      <c r="X83" s="45" t="s">
        <v>0</v>
      </c>
      <c r="Y83" s="45" t="s">
        <v>0</v>
      </c>
      <c r="Z83" s="45" t="s">
        <v>0</v>
      </c>
      <c r="AA83" s="45" t="s">
        <v>0</v>
      </c>
      <c r="AB83" s="45" t="s">
        <v>0</v>
      </c>
      <c r="AC83" s="45" t="s">
        <v>0</v>
      </c>
      <c r="AD83" s="45" t="s">
        <v>4</v>
      </c>
      <c r="AE83" s="45" t="s">
        <v>4</v>
      </c>
      <c r="AF83" s="49" t="s">
        <v>4</v>
      </c>
    </row>
    <row r="84" spans="1:35" ht="30" customHeight="1" thickBot="1" x14ac:dyDescent="0.3">
      <c r="A84" s="616"/>
      <c r="B84" s="149" t="s">
        <v>10</v>
      </c>
      <c r="C84" s="54" t="s">
        <v>544</v>
      </c>
      <c r="D84" s="55" t="s">
        <v>8</v>
      </c>
      <c r="E84" s="54" t="s">
        <v>198</v>
      </c>
      <c r="F84" s="288">
        <v>77</v>
      </c>
      <c r="G84" s="54">
        <v>250000001</v>
      </c>
      <c r="H84" s="193" t="s">
        <v>8</v>
      </c>
      <c r="I84" s="193" t="s">
        <v>5</v>
      </c>
      <c r="J84" s="55" t="s">
        <v>5</v>
      </c>
      <c r="K84" s="55" t="s">
        <v>6</v>
      </c>
      <c r="L84" s="55" t="s">
        <v>208</v>
      </c>
      <c r="M84" s="193" t="s">
        <v>397</v>
      </c>
      <c r="N84" s="55" t="s">
        <v>210</v>
      </c>
      <c r="O84" s="55" t="s">
        <v>8</v>
      </c>
      <c r="P84" s="55" t="s">
        <v>8</v>
      </c>
      <c r="Q84" s="54" t="s">
        <v>544</v>
      </c>
      <c r="R84" s="55" t="s">
        <v>5</v>
      </c>
      <c r="S84" s="55" t="s">
        <v>5</v>
      </c>
      <c r="T84" s="33" t="s">
        <v>581</v>
      </c>
      <c r="U84" s="228" t="s">
        <v>279</v>
      </c>
      <c r="V84" s="33" t="s">
        <v>202</v>
      </c>
      <c r="W84" s="54" t="s">
        <v>590</v>
      </c>
      <c r="X84" s="33" t="s">
        <v>202</v>
      </c>
      <c r="Y84" s="54" t="s">
        <v>594</v>
      </c>
      <c r="Z84" s="96" t="s">
        <v>594</v>
      </c>
      <c r="AA84" s="54" t="s">
        <v>592</v>
      </c>
      <c r="AB84" s="54" t="s">
        <v>667</v>
      </c>
      <c r="AC84" s="54" t="s">
        <v>594</v>
      </c>
      <c r="AD84" s="55" t="s">
        <v>8</v>
      </c>
      <c r="AE84" s="193" t="s">
        <v>200</v>
      </c>
      <c r="AF84" s="82" t="s">
        <v>212</v>
      </c>
      <c r="AG84" s="188" t="s">
        <v>589</v>
      </c>
      <c r="AH84" s="76"/>
      <c r="AI84" s="76"/>
    </row>
    <row r="85" spans="1:35" s="75" customFormat="1" ht="15.75" thickBot="1" x14ac:dyDescent="0.3">
      <c r="B85" s="150" t="s">
        <v>586</v>
      </c>
      <c r="C85" s="75" t="s">
        <v>586</v>
      </c>
      <c r="D85" s="75" t="s">
        <v>586</v>
      </c>
      <c r="E85" s="75" t="s">
        <v>586</v>
      </c>
      <c r="F85" s="276" t="s">
        <v>586</v>
      </c>
      <c r="G85" s="75" t="s">
        <v>586</v>
      </c>
      <c r="H85" s="75" t="s">
        <v>586</v>
      </c>
      <c r="I85" s="75" t="s">
        <v>586</v>
      </c>
      <c r="J85" s="75" t="s">
        <v>586</v>
      </c>
      <c r="K85" s="75" t="s">
        <v>586</v>
      </c>
      <c r="L85" s="75" t="s">
        <v>586</v>
      </c>
      <c r="M85" s="75" t="s">
        <v>586</v>
      </c>
      <c r="N85" s="75" t="s">
        <v>586</v>
      </c>
      <c r="O85" s="75" t="s">
        <v>586</v>
      </c>
      <c r="P85" s="75" t="s">
        <v>586</v>
      </c>
      <c r="Q85" s="75" t="s">
        <v>586</v>
      </c>
      <c r="R85" s="75" t="s">
        <v>586</v>
      </c>
      <c r="S85" s="75" t="s">
        <v>586</v>
      </c>
      <c r="T85" s="75" t="s">
        <v>586</v>
      </c>
      <c r="U85" s="75" t="s">
        <v>586</v>
      </c>
      <c r="V85" s="75" t="s">
        <v>586</v>
      </c>
      <c r="W85" s="75" t="s">
        <v>586</v>
      </c>
      <c r="X85" s="75" t="s">
        <v>586</v>
      </c>
      <c r="Y85" s="75" t="s">
        <v>586</v>
      </c>
      <c r="Z85" s="75" t="s">
        <v>586</v>
      </c>
      <c r="AA85" s="75" t="s">
        <v>586</v>
      </c>
      <c r="AB85" s="75" t="s">
        <v>586</v>
      </c>
      <c r="AC85" s="75" t="s">
        <v>586</v>
      </c>
      <c r="AD85" s="75" t="s">
        <v>586</v>
      </c>
      <c r="AE85" s="75" t="s">
        <v>586</v>
      </c>
      <c r="AF85" s="75" t="s">
        <v>586</v>
      </c>
    </row>
    <row r="86" spans="1:35" ht="100.15" customHeight="1" x14ac:dyDescent="0.25">
      <c r="A86" s="620" t="s">
        <v>917</v>
      </c>
      <c r="B86" s="151" t="s">
        <v>13</v>
      </c>
      <c r="C86" s="40" t="s">
        <v>14</v>
      </c>
      <c r="D86" s="40" t="s">
        <v>15</v>
      </c>
      <c r="E86" s="41" t="s">
        <v>16</v>
      </c>
      <c r="F86" s="289" t="s">
        <v>17</v>
      </c>
      <c r="G86" s="40" t="s">
        <v>70</v>
      </c>
      <c r="H86" s="40" t="s">
        <v>71</v>
      </c>
      <c r="I86" s="40" t="s">
        <v>72</v>
      </c>
      <c r="J86" s="40" t="s">
        <v>2</v>
      </c>
      <c r="K86" s="40" t="s">
        <v>73</v>
      </c>
      <c r="L86" s="42" t="s">
        <v>74</v>
      </c>
      <c r="M86" s="42" t="s">
        <v>75</v>
      </c>
      <c r="N86" s="40" t="s">
        <v>76</v>
      </c>
      <c r="O86" s="40" t="s">
        <v>77</v>
      </c>
      <c r="P86" s="40" t="s">
        <v>78</v>
      </c>
      <c r="Q86" s="40" t="s">
        <v>79</v>
      </c>
      <c r="R86" s="40" t="s">
        <v>80</v>
      </c>
      <c r="S86" s="40" t="s">
        <v>81</v>
      </c>
      <c r="T86" s="40" t="s">
        <v>82</v>
      </c>
      <c r="U86" s="40" t="s">
        <v>83</v>
      </c>
      <c r="V86" s="40" t="s">
        <v>84</v>
      </c>
      <c r="W86" s="40" t="s">
        <v>3</v>
      </c>
      <c r="X86" s="40" t="s">
        <v>85</v>
      </c>
      <c r="Y86" s="40" t="s">
        <v>86</v>
      </c>
      <c r="Z86" s="40" t="s">
        <v>87</v>
      </c>
      <c r="AA86" s="40" t="s">
        <v>88</v>
      </c>
      <c r="AB86" s="40" t="s">
        <v>89</v>
      </c>
      <c r="AC86" s="40" t="s">
        <v>90</v>
      </c>
      <c r="AD86" s="40" t="s">
        <v>91</v>
      </c>
      <c r="AE86" s="40" t="s">
        <v>92</v>
      </c>
      <c r="AF86" s="43" t="s">
        <v>93</v>
      </c>
      <c r="AG86" s="2"/>
    </row>
    <row r="87" spans="1:35" ht="19.899999999999999" customHeight="1" x14ac:dyDescent="0.25">
      <c r="A87" s="615"/>
      <c r="B87" s="152">
        <v>1</v>
      </c>
      <c r="C87" s="44" t="s">
        <v>47</v>
      </c>
      <c r="D87" s="45">
        <v>11</v>
      </c>
      <c r="E87" s="46" t="s">
        <v>48</v>
      </c>
      <c r="F87" s="290" t="s">
        <v>49</v>
      </c>
      <c r="G87" s="47" t="s">
        <v>50</v>
      </c>
      <c r="H87" s="47">
        <v>36</v>
      </c>
      <c r="I87" s="47" t="s">
        <v>94</v>
      </c>
      <c r="J87" s="47" t="s">
        <v>95</v>
      </c>
      <c r="K87" s="47" t="s">
        <v>96</v>
      </c>
      <c r="L87" s="48" t="s">
        <v>97</v>
      </c>
      <c r="M87" s="48" t="s">
        <v>98</v>
      </c>
      <c r="N87" s="47" t="s">
        <v>99</v>
      </c>
      <c r="O87" s="47">
        <v>53</v>
      </c>
      <c r="P87" s="47">
        <v>54</v>
      </c>
      <c r="Q87" s="47" t="s">
        <v>913</v>
      </c>
      <c r="R87" s="47" t="s">
        <v>100</v>
      </c>
      <c r="S87" s="47" t="s">
        <v>101</v>
      </c>
      <c r="T87" s="47" t="s">
        <v>57</v>
      </c>
      <c r="U87" s="47" t="s">
        <v>102</v>
      </c>
      <c r="V87" s="47" t="s">
        <v>103</v>
      </c>
      <c r="W87" s="47" t="s">
        <v>104</v>
      </c>
      <c r="X87" s="47" t="s">
        <v>105</v>
      </c>
      <c r="Y87" s="47" t="s">
        <v>106</v>
      </c>
      <c r="Z87" s="47" t="s">
        <v>107</v>
      </c>
      <c r="AA87" s="47" t="s">
        <v>108</v>
      </c>
      <c r="AB87" s="45" t="s">
        <v>109</v>
      </c>
      <c r="AC87" s="47" t="s">
        <v>110</v>
      </c>
      <c r="AD87" s="45">
        <v>120</v>
      </c>
      <c r="AE87" s="45">
        <v>121</v>
      </c>
      <c r="AF87" s="49" t="s">
        <v>111</v>
      </c>
    </row>
    <row r="88" spans="1:35" outlineLevel="1" x14ac:dyDescent="0.25">
      <c r="A88" s="615"/>
      <c r="B88" s="152">
        <v>1</v>
      </c>
      <c r="C88" s="45">
        <v>9</v>
      </c>
      <c r="D88" s="45">
        <v>1</v>
      </c>
      <c r="E88" s="50">
        <v>13</v>
      </c>
      <c r="F88" s="291">
        <v>2</v>
      </c>
      <c r="G88" s="45">
        <v>9</v>
      </c>
      <c r="H88" s="45">
        <v>1</v>
      </c>
      <c r="I88" s="45">
        <v>2</v>
      </c>
      <c r="J88" s="45">
        <v>2</v>
      </c>
      <c r="K88" s="45">
        <v>3</v>
      </c>
      <c r="L88" s="51">
        <v>6</v>
      </c>
      <c r="M88" s="51">
        <v>1</v>
      </c>
      <c r="N88" s="45">
        <v>2</v>
      </c>
      <c r="O88" s="45">
        <v>1</v>
      </c>
      <c r="P88" s="45">
        <v>1</v>
      </c>
      <c r="Q88" s="45">
        <v>9</v>
      </c>
      <c r="R88" s="45">
        <v>2</v>
      </c>
      <c r="S88" s="45">
        <v>2</v>
      </c>
      <c r="T88" s="45">
        <v>6</v>
      </c>
      <c r="U88" s="45">
        <v>5</v>
      </c>
      <c r="V88" s="45">
        <v>2</v>
      </c>
      <c r="W88" s="45">
        <v>6</v>
      </c>
      <c r="X88" s="45">
        <v>2</v>
      </c>
      <c r="Y88" s="45">
        <v>7</v>
      </c>
      <c r="Z88" s="45">
        <v>7</v>
      </c>
      <c r="AA88" s="45">
        <v>3</v>
      </c>
      <c r="AB88" s="45">
        <v>7</v>
      </c>
      <c r="AC88" s="45">
        <v>7</v>
      </c>
      <c r="AD88" s="45">
        <v>1</v>
      </c>
      <c r="AE88" s="45">
        <v>1</v>
      </c>
      <c r="AF88" s="49">
        <v>7</v>
      </c>
    </row>
    <row r="89" spans="1:35" outlineLevel="1" x14ac:dyDescent="0.25">
      <c r="A89" s="615"/>
      <c r="B89" s="152" t="s">
        <v>1</v>
      </c>
      <c r="C89" s="45" t="s">
        <v>1</v>
      </c>
      <c r="D89" s="45" t="s">
        <v>69</v>
      </c>
      <c r="E89" s="50" t="s">
        <v>69</v>
      </c>
      <c r="F89" s="291" t="s">
        <v>1</v>
      </c>
      <c r="G89" s="45" t="s">
        <v>1</v>
      </c>
      <c r="H89" s="45" t="s">
        <v>69</v>
      </c>
      <c r="I89" s="45" t="s">
        <v>1</v>
      </c>
      <c r="J89" s="45" t="s">
        <v>1</v>
      </c>
      <c r="K89" s="45" t="s">
        <v>1</v>
      </c>
      <c r="L89" s="52" t="s">
        <v>1</v>
      </c>
      <c r="M89" s="52" t="s">
        <v>1</v>
      </c>
      <c r="N89" s="45" t="s">
        <v>69</v>
      </c>
      <c r="O89" s="45" t="s">
        <v>69</v>
      </c>
      <c r="P89" s="53" t="s">
        <v>69</v>
      </c>
      <c r="Q89" s="45" t="s">
        <v>1</v>
      </c>
      <c r="R89" s="45" t="s">
        <v>1</v>
      </c>
      <c r="S89" s="45" t="s">
        <v>1</v>
      </c>
      <c r="T89" s="45" t="s">
        <v>1</v>
      </c>
      <c r="U89" s="45" t="s">
        <v>69</v>
      </c>
      <c r="V89" s="45" t="s">
        <v>1</v>
      </c>
      <c r="W89" s="45" t="s">
        <v>1</v>
      </c>
      <c r="X89" s="45" t="s">
        <v>1</v>
      </c>
      <c r="Y89" s="45" t="s">
        <v>1</v>
      </c>
      <c r="Z89" s="45" t="s">
        <v>1</v>
      </c>
      <c r="AA89" s="45" t="s">
        <v>1</v>
      </c>
      <c r="AB89" s="45" t="s">
        <v>1</v>
      </c>
      <c r="AC89" s="45" t="s">
        <v>1</v>
      </c>
      <c r="AD89" s="45" t="s">
        <v>69</v>
      </c>
      <c r="AE89" s="45" t="s">
        <v>1</v>
      </c>
      <c r="AF89" s="49" t="s">
        <v>1</v>
      </c>
    </row>
    <row r="90" spans="1:35" outlineLevel="1" x14ac:dyDescent="0.25">
      <c r="A90" s="615"/>
      <c r="B90" s="152" t="s">
        <v>0</v>
      </c>
      <c r="C90" s="45" t="s">
        <v>0</v>
      </c>
      <c r="D90" s="45" t="s">
        <v>4</v>
      </c>
      <c r="E90" s="50" t="s">
        <v>0</v>
      </c>
      <c r="F90" s="291" t="s">
        <v>0</v>
      </c>
      <c r="G90" s="45" t="s">
        <v>0</v>
      </c>
      <c r="H90" s="45" t="s">
        <v>4</v>
      </c>
      <c r="I90" s="45" t="s">
        <v>4</v>
      </c>
      <c r="J90" s="45" t="s">
        <v>4</v>
      </c>
      <c r="K90" s="45" t="s">
        <v>4</v>
      </c>
      <c r="L90" s="52" t="s">
        <v>4</v>
      </c>
      <c r="M90" s="52" t="s">
        <v>0</v>
      </c>
      <c r="N90" s="45" t="s">
        <v>4</v>
      </c>
      <c r="O90" s="45" t="s">
        <v>4</v>
      </c>
      <c r="P90" s="45" t="s">
        <v>4</v>
      </c>
      <c r="Q90" s="45" t="s">
        <v>4</v>
      </c>
      <c r="R90" s="45" t="s">
        <v>4</v>
      </c>
      <c r="S90" s="45" t="s">
        <v>112</v>
      </c>
      <c r="T90" s="45" t="s">
        <v>0</v>
      </c>
      <c r="U90" s="45" t="s">
        <v>0</v>
      </c>
      <c r="V90" s="45" t="s">
        <v>0</v>
      </c>
      <c r="W90" s="45" t="s">
        <v>0</v>
      </c>
      <c r="X90" s="45" t="s">
        <v>0</v>
      </c>
      <c r="Y90" s="45" t="s">
        <v>0</v>
      </c>
      <c r="Z90" s="45" t="s">
        <v>0</v>
      </c>
      <c r="AA90" s="45" t="s">
        <v>0</v>
      </c>
      <c r="AB90" s="45" t="s">
        <v>0</v>
      </c>
      <c r="AC90" s="45" t="s">
        <v>0</v>
      </c>
      <c r="AD90" s="45" t="s">
        <v>4</v>
      </c>
      <c r="AE90" s="45" t="s">
        <v>4</v>
      </c>
      <c r="AF90" s="49" t="s">
        <v>4</v>
      </c>
    </row>
    <row r="91" spans="1:35" ht="30" customHeight="1" thickBot="1" x14ac:dyDescent="0.3">
      <c r="A91" s="616"/>
      <c r="B91" s="149" t="s">
        <v>10</v>
      </c>
      <c r="C91" s="54" t="s">
        <v>544</v>
      </c>
      <c r="D91" s="55" t="s">
        <v>8</v>
      </c>
      <c r="E91" s="54" t="s">
        <v>198</v>
      </c>
      <c r="F91" s="288">
        <v>77</v>
      </c>
      <c r="G91" s="54">
        <v>250000001</v>
      </c>
      <c r="H91" s="193" t="s">
        <v>8</v>
      </c>
      <c r="I91" s="193" t="s">
        <v>5</v>
      </c>
      <c r="J91" s="55" t="s">
        <v>5</v>
      </c>
      <c r="K91" s="55" t="s">
        <v>6</v>
      </c>
      <c r="L91" s="55" t="s">
        <v>208</v>
      </c>
      <c r="M91" s="193" t="s">
        <v>397</v>
      </c>
      <c r="N91" s="55" t="s">
        <v>210</v>
      </c>
      <c r="O91" s="55" t="s">
        <v>8</v>
      </c>
      <c r="P91" s="55" t="s">
        <v>8</v>
      </c>
      <c r="Q91" s="54" t="s">
        <v>544</v>
      </c>
      <c r="R91" s="55" t="s">
        <v>5</v>
      </c>
      <c r="S91" s="55" t="s">
        <v>5</v>
      </c>
      <c r="T91" s="33" t="s">
        <v>581</v>
      </c>
      <c r="U91" s="228" t="s">
        <v>244</v>
      </c>
      <c r="V91" s="33" t="s">
        <v>202</v>
      </c>
      <c r="W91" s="54" t="s">
        <v>590</v>
      </c>
      <c r="X91" s="33" t="s">
        <v>202</v>
      </c>
      <c r="Y91" s="54" t="s">
        <v>595</v>
      </c>
      <c r="Z91" s="96" t="s">
        <v>595</v>
      </c>
      <c r="AA91" s="54" t="s">
        <v>6</v>
      </c>
      <c r="AB91" s="54" t="s">
        <v>212</v>
      </c>
      <c r="AC91" s="54" t="s">
        <v>212</v>
      </c>
      <c r="AD91" s="193" t="s">
        <v>498</v>
      </c>
      <c r="AE91" s="193" t="s">
        <v>200</v>
      </c>
      <c r="AF91" s="54" t="s">
        <v>212</v>
      </c>
      <c r="AG91" s="188" t="s">
        <v>589</v>
      </c>
      <c r="AH91" s="76"/>
      <c r="AI91" s="76"/>
    </row>
    <row r="92" spans="1:35" s="75" customFormat="1" ht="15.75" thickBot="1" x14ac:dyDescent="0.3">
      <c r="B92" s="150" t="s">
        <v>586</v>
      </c>
      <c r="C92" s="75" t="s">
        <v>586</v>
      </c>
      <c r="D92" s="75" t="s">
        <v>586</v>
      </c>
      <c r="E92" s="75" t="s">
        <v>586</v>
      </c>
      <c r="F92" s="276" t="s">
        <v>586</v>
      </c>
      <c r="G92" s="75" t="s">
        <v>586</v>
      </c>
      <c r="H92" s="75" t="s">
        <v>586</v>
      </c>
      <c r="I92" s="75" t="s">
        <v>586</v>
      </c>
      <c r="J92" s="75" t="s">
        <v>586</v>
      </c>
      <c r="K92" s="75" t="s">
        <v>586</v>
      </c>
      <c r="L92" s="75" t="s">
        <v>586</v>
      </c>
      <c r="M92" s="75" t="s">
        <v>586</v>
      </c>
      <c r="N92" s="75" t="s">
        <v>586</v>
      </c>
      <c r="O92" s="75" t="s">
        <v>586</v>
      </c>
      <c r="P92" s="75" t="s">
        <v>586</v>
      </c>
      <c r="Q92" s="75" t="s">
        <v>586</v>
      </c>
      <c r="R92" s="75" t="s">
        <v>586</v>
      </c>
      <c r="S92" s="75" t="s">
        <v>586</v>
      </c>
      <c r="T92" s="75" t="s">
        <v>586</v>
      </c>
      <c r="U92" s="75" t="s">
        <v>586</v>
      </c>
      <c r="V92" s="75" t="s">
        <v>586</v>
      </c>
      <c r="W92" s="75" t="s">
        <v>586</v>
      </c>
      <c r="X92" s="75" t="s">
        <v>586</v>
      </c>
      <c r="Y92" s="75" t="s">
        <v>586</v>
      </c>
      <c r="Z92" s="75" t="s">
        <v>586</v>
      </c>
      <c r="AA92" s="75" t="s">
        <v>586</v>
      </c>
      <c r="AB92" s="75" t="s">
        <v>586</v>
      </c>
      <c r="AC92" s="75" t="s">
        <v>586</v>
      </c>
      <c r="AD92" s="75" t="s">
        <v>586</v>
      </c>
      <c r="AE92" s="75" t="s">
        <v>586</v>
      </c>
      <c r="AF92" s="75" t="s">
        <v>586</v>
      </c>
    </row>
    <row r="93" spans="1:35" ht="100.15" customHeight="1" x14ac:dyDescent="0.25">
      <c r="A93" s="620" t="s">
        <v>923</v>
      </c>
      <c r="B93" s="151" t="s">
        <v>13</v>
      </c>
      <c r="C93" s="40" t="s">
        <v>14</v>
      </c>
      <c r="D93" s="40" t="s">
        <v>15</v>
      </c>
      <c r="E93" s="41" t="s">
        <v>16</v>
      </c>
      <c r="F93" s="289" t="s">
        <v>17</v>
      </c>
      <c r="G93" s="40" t="s">
        <v>70</v>
      </c>
      <c r="H93" s="40" t="s">
        <v>71</v>
      </c>
      <c r="I93" s="40" t="s">
        <v>72</v>
      </c>
      <c r="J93" s="40" t="s">
        <v>2</v>
      </c>
      <c r="K93" s="40" t="s">
        <v>73</v>
      </c>
      <c r="L93" s="42" t="s">
        <v>74</v>
      </c>
      <c r="M93" s="42" t="s">
        <v>75</v>
      </c>
      <c r="N93" s="40" t="s">
        <v>76</v>
      </c>
      <c r="O93" s="40" t="s">
        <v>77</v>
      </c>
      <c r="P93" s="40" t="s">
        <v>78</v>
      </c>
      <c r="Q93" s="40" t="s">
        <v>79</v>
      </c>
      <c r="R93" s="40" t="s">
        <v>80</v>
      </c>
      <c r="S93" s="40" t="s">
        <v>81</v>
      </c>
      <c r="T93" s="40" t="s">
        <v>82</v>
      </c>
      <c r="U93" s="40" t="s">
        <v>83</v>
      </c>
      <c r="V93" s="40" t="s">
        <v>84</v>
      </c>
      <c r="W93" s="40" t="s">
        <v>3</v>
      </c>
      <c r="X93" s="40" t="s">
        <v>85</v>
      </c>
      <c r="Y93" s="40" t="s">
        <v>86</v>
      </c>
      <c r="Z93" s="40" t="s">
        <v>87</v>
      </c>
      <c r="AA93" s="40" t="s">
        <v>88</v>
      </c>
      <c r="AB93" s="40" t="s">
        <v>89</v>
      </c>
      <c r="AC93" s="40" t="s">
        <v>90</v>
      </c>
      <c r="AD93" s="40" t="s">
        <v>91</v>
      </c>
      <c r="AE93" s="40" t="s">
        <v>92</v>
      </c>
      <c r="AF93" s="43" t="s">
        <v>93</v>
      </c>
      <c r="AG93" s="2"/>
    </row>
    <row r="94" spans="1:35" ht="19.899999999999999" customHeight="1" x14ac:dyDescent="0.25">
      <c r="A94" s="615"/>
      <c r="B94" s="152">
        <v>1</v>
      </c>
      <c r="C94" s="44" t="s">
        <v>47</v>
      </c>
      <c r="D94" s="45">
        <v>11</v>
      </c>
      <c r="E94" s="46" t="s">
        <v>48</v>
      </c>
      <c r="F94" s="290" t="s">
        <v>49</v>
      </c>
      <c r="G94" s="47" t="s">
        <v>50</v>
      </c>
      <c r="H94" s="47">
        <v>36</v>
      </c>
      <c r="I94" s="47" t="s">
        <v>94</v>
      </c>
      <c r="J94" s="47" t="s">
        <v>95</v>
      </c>
      <c r="K94" s="47" t="s">
        <v>96</v>
      </c>
      <c r="L94" s="48" t="s">
        <v>97</v>
      </c>
      <c r="M94" s="48" t="s">
        <v>98</v>
      </c>
      <c r="N94" s="47" t="s">
        <v>99</v>
      </c>
      <c r="O94" s="47">
        <v>53</v>
      </c>
      <c r="P94" s="47">
        <v>54</v>
      </c>
      <c r="Q94" s="47" t="s">
        <v>913</v>
      </c>
      <c r="R94" s="47" t="s">
        <v>100</v>
      </c>
      <c r="S94" s="47" t="s">
        <v>101</v>
      </c>
      <c r="T94" s="47" t="s">
        <v>57</v>
      </c>
      <c r="U94" s="47" t="s">
        <v>102</v>
      </c>
      <c r="V94" s="47" t="s">
        <v>103</v>
      </c>
      <c r="W94" s="47" t="s">
        <v>104</v>
      </c>
      <c r="X94" s="47" t="s">
        <v>105</v>
      </c>
      <c r="Y94" s="47" t="s">
        <v>106</v>
      </c>
      <c r="Z94" s="47" t="s">
        <v>107</v>
      </c>
      <c r="AA94" s="47" t="s">
        <v>108</v>
      </c>
      <c r="AB94" s="45" t="s">
        <v>109</v>
      </c>
      <c r="AC94" s="47" t="s">
        <v>110</v>
      </c>
      <c r="AD94" s="45">
        <v>120</v>
      </c>
      <c r="AE94" s="45">
        <v>121</v>
      </c>
      <c r="AF94" s="49" t="s">
        <v>111</v>
      </c>
    </row>
    <row r="95" spans="1:35" outlineLevel="1" x14ac:dyDescent="0.25">
      <c r="A95" s="615"/>
      <c r="B95" s="152">
        <v>1</v>
      </c>
      <c r="C95" s="45">
        <v>9</v>
      </c>
      <c r="D95" s="45">
        <v>1</v>
      </c>
      <c r="E95" s="50">
        <v>13</v>
      </c>
      <c r="F95" s="291">
        <v>2</v>
      </c>
      <c r="G95" s="45">
        <v>9</v>
      </c>
      <c r="H95" s="45">
        <v>1</v>
      </c>
      <c r="I95" s="45">
        <v>2</v>
      </c>
      <c r="J95" s="45">
        <v>2</v>
      </c>
      <c r="K95" s="45">
        <v>3</v>
      </c>
      <c r="L95" s="51">
        <v>6</v>
      </c>
      <c r="M95" s="51">
        <v>1</v>
      </c>
      <c r="N95" s="45">
        <v>2</v>
      </c>
      <c r="O95" s="45">
        <v>1</v>
      </c>
      <c r="P95" s="45">
        <v>1</v>
      </c>
      <c r="Q95" s="45">
        <v>9</v>
      </c>
      <c r="R95" s="45">
        <v>2</v>
      </c>
      <c r="S95" s="45">
        <v>2</v>
      </c>
      <c r="T95" s="45">
        <v>6</v>
      </c>
      <c r="U95" s="45">
        <v>5</v>
      </c>
      <c r="V95" s="45">
        <v>2</v>
      </c>
      <c r="W95" s="45">
        <v>6</v>
      </c>
      <c r="X95" s="45">
        <v>2</v>
      </c>
      <c r="Y95" s="45">
        <v>7</v>
      </c>
      <c r="Z95" s="45">
        <v>7</v>
      </c>
      <c r="AA95" s="45">
        <v>3</v>
      </c>
      <c r="AB95" s="45">
        <v>7</v>
      </c>
      <c r="AC95" s="45">
        <v>7</v>
      </c>
      <c r="AD95" s="45">
        <v>1</v>
      </c>
      <c r="AE95" s="45">
        <v>1</v>
      </c>
      <c r="AF95" s="49">
        <v>7</v>
      </c>
    </row>
    <row r="96" spans="1:35" outlineLevel="1" x14ac:dyDescent="0.25">
      <c r="A96" s="615"/>
      <c r="B96" s="152" t="s">
        <v>1</v>
      </c>
      <c r="C96" s="45" t="s">
        <v>1</v>
      </c>
      <c r="D96" s="45" t="s">
        <v>69</v>
      </c>
      <c r="E96" s="50" t="s">
        <v>69</v>
      </c>
      <c r="F96" s="291" t="s">
        <v>1</v>
      </c>
      <c r="G96" s="45" t="s">
        <v>1</v>
      </c>
      <c r="H96" s="45" t="s">
        <v>69</v>
      </c>
      <c r="I96" s="45" t="s">
        <v>1</v>
      </c>
      <c r="J96" s="45" t="s">
        <v>1</v>
      </c>
      <c r="K96" s="45" t="s">
        <v>1</v>
      </c>
      <c r="L96" s="52" t="s">
        <v>1</v>
      </c>
      <c r="M96" s="52" t="s">
        <v>1</v>
      </c>
      <c r="N96" s="45" t="s">
        <v>69</v>
      </c>
      <c r="O96" s="45" t="s">
        <v>69</v>
      </c>
      <c r="P96" s="53" t="s">
        <v>69</v>
      </c>
      <c r="Q96" s="45" t="s">
        <v>1</v>
      </c>
      <c r="R96" s="45" t="s">
        <v>1</v>
      </c>
      <c r="S96" s="45" t="s">
        <v>1</v>
      </c>
      <c r="T96" s="45" t="s">
        <v>1</v>
      </c>
      <c r="U96" s="45" t="s">
        <v>69</v>
      </c>
      <c r="V96" s="45" t="s">
        <v>1</v>
      </c>
      <c r="W96" s="45" t="s">
        <v>1</v>
      </c>
      <c r="X96" s="45" t="s">
        <v>1</v>
      </c>
      <c r="Y96" s="45" t="s">
        <v>1</v>
      </c>
      <c r="Z96" s="45" t="s">
        <v>1</v>
      </c>
      <c r="AA96" s="45" t="s">
        <v>1</v>
      </c>
      <c r="AB96" s="45" t="s">
        <v>1</v>
      </c>
      <c r="AC96" s="45" t="s">
        <v>1</v>
      </c>
      <c r="AD96" s="45" t="s">
        <v>69</v>
      </c>
      <c r="AE96" s="45" t="s">
        <v>1</v>
      </c>
      <c r="AF96" s="49" t="s">
        <v>1</v>
      </c>
    </row>
    <row r="97" spans="1:35" outlineLevel="1" x14ac:dyDescent="0.25">
      <c r="A97" s="615"/>
      <c r="B97" s="152" t="s">
        <v>0</v>
      </c>
      <c r="C97" s="45" t="s">
        <v>0</v>
      </c>
      <c r="D97" s="45" t="s">
        <v>4</v>
      </c>
      <c r="E97" s="50" t="s">
        <v>0</v>
      </c>
      <c r="F97" s="291" t="s">
        <v>0</v>
      </c>
      <c r="G97" s="45" t="s">
        <v>0</v>
      </c>
      <c r="H97" s="45" t="s">
        <v>4</v>
      </c>
      <c r="I97" s="45" t="s">
        <v>4</v>
      </c>
      <c r="J97" s="45" t="s">
        <v>4</v>
      </c>
      <c r="K97" s="45" t="s">
        <v>4</v>
      </c>
      <c r="L97" s="52" t="s">
        <v>4</v>
      </c>
      <c r="M97" s="52" t="s">
        <v>0</v>
      </c>
      <c r="N97" s="45" t="s">
        <v>4</v>
      </c>
      <c r="O97" s="45" t="s">
        <v>4</v>
      </c>
      <c r="P97" s="45" t="s">
        <v>4</v>
      </c>
      <c r="Q97" s="45" t="s">
        <v>4</v>
      </c>
      <c r="R97" s="45" t="s">
        <v>4</v>
      </c>
      <c r="S97" s="45" t="s">
        <v>112</v>
      </c>
      <c r="T97" s="45" t="s">
        <v>0</v>
      </c>
      <c r="U97" s="45" t="s">
        <v>0</v>
      </c>
      <c r="V97" s="45" t="s">
        <v>0</v>
      </c>
      <c r="W97" s="45" t="s">
        <v>0</v>
      </c>
      <c r="X97" s="45" t="s">
        <v>0</v>
      </c>
      <c r="Y97" s="45" t="s">
        <v>0</v>
      </c>
      <c r="Z97" s="45" t="s">
        <v>0</v>
      </c>
      <c r="AA97" s="45" t="s">
        <v>0</v>
      </c>
      <c r="AB97" s="45" t="s">
        <v>0</v>
      </c>
      <c r="AC97" s="45" t="s">
        <v>0</v>
      </c>
      <c r="AD97" s="45" t="s">
        <v>4</v>
      </c>
      <c r="AE97" s="45" t="s">
        <v>4</v>
      </c>
      <c r="AF97" s="49" t="s">
        <v>4</v>
      </c>
    </row>
    <row r="98" spans="1:35" ht="30" customHeight="1" thickBot="1" x14ac:dyDescent="0.3">
      <c r="A98" s="616"/>
      <c r="B98" s="149" t="s">
        <v>10</v>
      </c>
      <c r="C98" s="54" t="s">
        <v>544</v>
      </c>
      <c r="D98" s="55" t="s">
        <v>8</v>
      </c>
      <c r="E98" s="54" t="s">
        <v>198</v>
      </c>
      <c r="F98" s="288">
        <v>77</v>
      </c>
      <c r="G98" s="54">
        <v>250000001</v>
      </c>
      <c r="H98" s="193" t="s">
        <v>8</v>
      </c>
      <c r="I98" s="193" t="s">
        <v>5</v>
      </c>
      <c r="J98" s="55" t="s">
        <v>5</v>
      </c>
      <c r="K98" s="55" t="s">
        <v>6</v>
      </c>
      <c r="L98" s="55" t="s">
        <v>208</v>
      </c>
      <c r="M98" s="193" t="s">
        <v>397</v>
      </c>
      <c r="N98" s="55" t="s">
        <v>210</v>
      </c>
      <c r="O98" s="55" t="s">
        <v>8</v>
      </c>
      <c r="P98" s="55" t="s">
        <v>8</v>
      </c>
      <c r="Q98" s="54" t="s">
        <v>544</v>
      </c>
      <c r="R98" s="55" t="s">
        <v>5</v>
      </c>
      <c r="S98" s="55" t="s">
        <v>5</v>
      </c>
      <c r="T98" s="33" t="s">
        <v>581</v>
      </c>
      <c r="U98" s="228" t="s">
        <v>240</v>
      </c>
      <c r="V98" s="33" t="s">
        <v>202</v>
      </c>
      <c r="W98" s="54" t="s">
        <v>590</v>
      </c>
      <c r="X98" s="33" t="s">
        <v>202</v>
      </c>
      <c r="Y98" s="54" t="s">
        <v>595</v>
      </c>
      <c r="Z98" s="96" t="s">
        <v>595</v>
      </c>
      <c r="AA98" s="54" t="s">
        <v>6</v>
      </c>
      <c r="AB98" s="54" t="s">
        <v>212</v>
      </c>
      <c r="AC98" s="54" t="s">
        <v>212</v>
      </c>
      <c r="AD98" s="193" t="s">
        <v>498</v>
      </c>
      <c r="AE98" s="193" t="s">
        <v>200</v>
      </c>
      <c r="AF98" s="54" t="s">
        <v>212</v>
      </c>
      <c r="AG98" s="188" t="s">
        <v>589</v>
      </c>
      <c r="AH98" s="76"/>
      <c r="AI98" s="76"/>
    </row>
    <row r="99" spans="1:35" s="75" customFormat="1" ht="15.75" thickBot="1" x14ac:dyDescent="0.3">
      <c r="B99" s="150" t="s">
        <v>586</v>
      </c>
      <c r="C99" s="75" t="s">
        <v>586</v>
      </c>
      <c r="D99" s="75" t="s">
        <v>586</v>
      </c>
      <c r="E99" s="75" t="s">
        <v>586</v>
      </c>
      <c r="F99" s="276" t="s">
        <v>586</v>
      </c>
      <c r="G99" s="75" t="s">
        <v>586</v>
      </c>
      <c r="H99" s="75" t="s">
        <v>586</v>
      </c>
      <c r="I99" s="75" t="s">
        <v>586</v>
      </c>
      <c r="J99" s="75" t="s">
        <v>586</v>
      </c>
      <c r="K99" s="75" t="s">
        <v>586</v>
      </c>
      <c r="L99" s="75" t="s">
        <v>586</v>
      </c>
      <c r="M99" s="75" t="s">
        <v>586</v>
      </c>
      <c r="N99" s="75" t="s">
        <v>586</v>
      </c>
      <c r="O99" s="75" t="s">
        <v>586</v>
      </c>
      <c r="P99" s="75" t="s">
        <v>586</v>
      </c>
      <c r="Q99" s="75" t="s">
        <v>586</v>
      </c>
      <c r="R99" s="75" t="s">
        <v>586</v>
      </c>
      <c r="S99" s="75" t="s">
        <v>586</v>
      </c>
      <c r="T99" s="75" t="s">
        <v>586</v>
      </c>
      <c r="U99" s="75" t="s">
        <v>586</v>
      </c>
      <c r="V99" s="75" t="s">
        <v>586</v>
      </c>
      <c r="W99" s="75" t="s">
        <v>586</v>
      </c>
      <c r="X99" s="75" t="s">
        <v>586</v>
      </c>
      <c r="Y99" s="75" t="s">
        <v>586</v>
      </c>
      <c r="Z99" s="75" t="s">
        <v>586</v>
      </c>
      <c r="AA99" s="75" t="s">
        <v>586</v>
      </c>
      <c r="AB99" s="75" t="s">
        <v>586</v>
      </c>
      <c r="AC99" s="75" t="s">
        <v>586</v>
      </c>
      <c r="AD99" s="75" t="s">
        <v>586</v>
      </c>
      <c r="AE99" s="75" t="s">
        <v>586</v>
      </c>
      <c r="AF99" s="75" t="s">
        <v>586</v>
      </c>
    </row>
    <row r="100" spans="1:35" ht="100.15" customHeight="1" x14ac:dyDescent="0.25">
      <c r="A100" s="620" t="s">
        <v>919</v>
      </c>
      <c r="B100" s="151" t="s">
        <v>13</v>
      </c>
      <c r="C100" s="40" t="s">
        <v>14</v>
      </c>
      <c r="D100" s="40" t="s">
        <v>15</v>
      </c>
      <c r="E100" s="41" t="s">
        <v>16</v>
      </c>
      <c r="F100" s="289" t="s">
        <v>17</v>
      </c>
      <c r="G100" s="40" t="s">
        <v>70</v>
      </c>
      <c r="H100" s="40" t="s">
        <v>71</v>
      </c>
      <c r="I100" s="40" t="s">
        <v>72</v>
      </c>
      <c r="J100" s="40" t="s">
        <v>2</v>
      </c>
      <c r="K100" s="40" t="s">
        <v>73</v>
      </c>
      <c r="L100" s="42" t="s">
        <v>74</v>
      </c>
      <c r="M100" s="42" t="s">
        <v>75</v>
      </c>
      <c r="N100" s="40" t="s">
        <v>76</v>
      </c>
      <c r="O100" s="40" t="s">
        <v>77</v>
      </c>
      <c r="P100" s="40" t="s">
        <v>78</v>
      </c>
      <c r="Q100" s="40" t="s">
        <v>79</v>
      </c>
      <c r="R100" s="40" t="s">
        <v>80</v>
      </c>
      <c r="S100" s="40" t="s">
        <v>81</v>
      </c>
      <c r="T100" s="40" t="s">
        <v>82</v>
      </c>
      <c r="U100" s="40" t="s">
        <v>83</v>
      </c>
      <c r="V100" s="40" t="s">
        <v>84</v>
      </c>
      <c r="W100" s="40" t="s">
        <v>3</v>
      </c>
      <c r="X100" s="40" t="s">
        <v>85</v>
      </c>
      <c r="Y100" s="40" t="s">
        <v>86</v>
      </c>
      <c r="Z100" s="40" t="s">
        <v>87</v>
      </c>
      <c r="AA100" s="40" t="s">
        <v>88</v>
      </c>
      <c r="AB100" s="40" t="s">
        <v>89</v>
      </c>
      <c r="AC100" s="40" t="s">
        <v>90</v>
      </c>
      <c r="AD100" s="40" t="s">
        <v>91</v>
      </c>
      <c r="AE100" s="40" t="s">
        <v>92</v>
      </c>
      <c r="AF100" s="43" t="s">
        <v>93</v>
      </c>
      <c r="AG100" s="2"/>
    </row>
    <row r="101" spans="1:35" ht="19.899999999999999" customHeight="1" x14ac:dyDescent="0.25">
      <c r="A101" s="615"/>
      <c r="B101" s="152">
        <v>1</v>
      </c>
      <c r="C101" s="44" t="s">
        <v>47</v>
      </c>
      <c r="D101" s="45">
        <v>11</v>
      </c>
      <c r="E101" s="46" t="s">
        <v>48</v>
      </c>
      <c r="F101" s="290" t="s">
        <v>49</v>
      </c>
      <c r="G101" s="47" t="s">
        <v>50</v>
      </c>
      <c r="H101" s="47">
        <v>36</v>
      </c>
      <c r="I101" s="47" t="s">
        <v>94</v>
      </c>
      <c r="J101" s="47" t="s">
        <v>95</v>
      </c>
      <c r="K101" s="47" t="s">
        <v>96</v>
      </c>
      <c r="L101" s="48" t="s">
        <v>97</v>
      </c>
      <c r="M101" s="48" t="s">
        <v>98</v>
      </c>
      <c r="N101" s="47" t="s">
        <v>99</v>
      </c>
      <c r="O101" s="47">
        <v>53</v>
      </c>
      <c r="P101" s="47">
        <v>54</v>
      </c>
      <c r="Q101" s="47" t="s">
        <v>913</v>
      </c>
      <c r="R101" s="47" t="s">
        <v>100</v>
      </c>
      <c r="S101" s="47" t="s">
        <v>101</v>
      </c>
      <c r="T101" s="47" t="s">
        <v>57</v>
      </c>
      <c r="U101" s="47" t="s">
        <v>102</v>
      </c>
      <c r="V101" s="47" t="s">
        <v>103</v>
      </c>
      <c r="W101" s="47" t="s">
        <v>104</v>
      </c>
      <c r="X101" s="47" t="s">
        <v>105</v>
      </c>
      <c r="Y101" s="47" t="s">
        <v>106</v>
      </c>
      <c r="Z101" s="47" t="s">
        <v>107</v>
      </c>
      <c r="AA101" s="47" t="s">
        <v>108</v>
      </c>
      <c r="AB101" s="45" t="s">
        <v>109</v>
      </c>
      <c r="AC101" s="47" t="s">
        <v>110</v>
      </c>
      <c r="AD101" s="45">
        <v>120</v>
      </c>
      <c r="AE101" s="45">
        <v>121</v>
      </c>
      <c r="AF101" s="49" t="s">
        <v>111</v>
      </c>
    </row>
    <row r="102" spans="1:35" outlineLevel="1" x14ac:dyDescent="0.25">
      <c r="A102" s="615"/>
      <c r="B102" s="152">
        <v>1</v>
      </c>
      <c r="C102" s="45">
        <v>9</v>
      </c>
      <c r="D102" s="45">
        <v>1</v>
      </c>
      <c r="E102" s="50">
        <v>13</v>
      </c>
      <c r="F102" s="291">
        <v>2</v>
      </c>
      <c r="G102" s="45">
        <v>9</v>
      </c>
      <c r="H102" s="45">
        <v>1</v>
      </c>
      <c r="I102" s="45">
        <v>2</v>
      </c>
      <c r="J102" s="45">
        <v>2</v>
      </c>
      <c r="K102" s="45">
        <v>3</v>
      </c>
      <c r="L102" s="51">
        <v>6</v>
      </c>
      <c r="M102" s="51">
        <v>1</v>
      </c>
      <c r="N102" s="45">
        <v>2</v>
      </c>
      <c r="O102" s="45">
        <v>1</v>
      </c>
      <c r="P102" s="45">
        <v>1</v>
      </c>
      <c r="Q102" s="45">
        <v>9</v>
      </c>
      <c r="R102" s="45">
        <v>2</v>
      </c>
      <c r="S102" s="45">
        <v>2</v>
      </c>
      <c r="T102" s="45">
        <v>6</v>
      </c>
      <c r="U102" s="45">
        <v>5</v>
      </c>
      <c r="V102" s="45">
        <v>2</v>
      </c>
      <c r="W102" s="45">
        <v>6</v>
      </c>
      <c r="X102" s="45">
        <v>2</v>
      </c>
      <c r="Y102" s="45">
        <v>7</v>
      </c>
      <c r="Z102" s="45">
        <v>7</v>
      </c>
      <c r="AA102" s="45">
        <v>3</v>
      </c>
      <c r="AB102" s="45">
        <v>7</v>
      </c>
      <c r="AC102" s="45">
        <v>7</v>
      </c>
      <c r="AD102" s="45">
        <v>1</v>
      </c>
      <c r="AE102" s="45">
        <v>1</v>
      </c>
      <c r="AF102" s="49">
        <v>7</v>
      </c>
    </row>
    <row r="103" spans="1:35" outlineLevel="1" x14ac:dyDescent="0.25">
      <c r="A103" s="615"/>
      <c r="B103" s="152" t="s">
        <v>1</v>
      </c>
      <c r="C103" s="45" t="s">
        <v>1</v>
      </c>
      <c r="D103" s="45" t="s">
        <v>69</v>
      </c>
      <c r="E103" s="50" t="s">
        <v>69</v>
      </c>
      <c r="F103" s="291" t="s">
        <v>1</v>
      </c>
      <c r="G103" s="45" t="s">
        <v>1</v>
      </c>
      <c r="H103" s="45" t="s">
        <v>69</v>
      </c>
      <c r="I103" s="45" t="s">
        <v>1</v>
      </c>
      <c r="J103" s="45" t="s">
        <v>1</v>
      </c>
      <c r="K103" s="45" t="s">
        <v>1</v>
      </c>
      <c r="L103" s="52" t="s">
        <v>1</v>
      </c>
      <c r="M103" s="52" t="s">
        <v>1</v>
      </c>
      <c r="N103" s="45" t="s">
        <v>69</v>
      </c>
      <c r="O103" s="45" t="s">
        <v>69</v>
      </c>
      <c r="P103" s="53" t="s">
        <v>69</v>
      </c>
      <c r="Q103" s="45" t="s">
        <v>1</v>
      </c>
      <c r="R103" s="45" t="s">
        <v>1</v>
      </c>
      <c r="S103" s="45" t="s">
        <v>1</v>
      </c>
      <c r="T103" s="45" t="s">
        <v>1</v>
      </c>
      <c r="U103" s="45" t="s">
        <v>69</v>
      </c>
      <c r="V103" s="45" t="s">
        <v>1</v>
      </c>
      <c r="W103" s="45" t="s">
        <v>1</v>
      </c>
      <c r="X103" s="45" t="s">
        <v>1</v>
      </c>
      <c r="Y103" s="45" t="s">
        <v>1</v>
      </c>
      <c r="Z103" s="45" t="s">
        <v>1</v>
      </c>
      <c r="AA103" s="45" t="s">
        <v>1</v>
      </c>
      <c r="AB103" s="45" t="s">
        <v>1</v>
      </c>
      <c r="AC103" s="45" t="s">
        <v>1</v>
      </c>
      <c r="AD103" s="45" t="s">
        <v>69</v>
      </c>
      <c r="AE103" s="45" t="s">
        <v>1</v>
      </c>
      <c r="AF103" s="49" t="s">
        <v>1</v>
      </c>
    </row>
    <row r="104" spans="1:35" ht="13.5" customHeight="1" outlineLevel="1" x14ac:dyDescent="0.25">
      <c r="A104" s="615"/>
      <c r="B104" s="152" t="s">
        <v>0</v>
      </c>
      <c r="C104" s="45" t="s">
        <v>0</v>
      </c>
      <c r="D104" s="45" t="s">
        <v>4</v>
      </c>
      <c r="E104" s="50" t="s">
        <v>0</v>
      </c>
      <c r="F104" s="291" t="s">
        <v>0</v>
      </c>
      <c r="G104" s="45" t="s">
        <v>0</v>
      </c>
      <c r="H104" s="45" t="s">
        <v>4</v>
      </c>
      <c r="I104" s="45" t="s">
        <v>4</v>
      </c>
      <c r="J104" s="45" t="s">
        <v>4</v>
      </c>
      <c r="K104" s="45" t="s">
        <v>4</v>
      </c>
      <c r="L104" s="52" t="s">
        <v>4</v>
      </c>
      <c r="M104" s="52" t="s">
        <v>0</v>
      </c>
      <c r="N104" s="45" t="s">
        <v>4</v>
      </c>
      <c r="O104" s="45" t="s">
        <v>4</v>
      </c>
      <c r="P104" s="45" t="s">
        <v>4</v>
      </c>
      <c r="Q104" s="45" t="s">
        <v>4</v>
      </c>
      <c r="R104" s="45" t="s">
        <v>4</v>
      </c>
      <c r="S104" s="45" t="s">
        <v>112</v>
      </c>
      <c r="T104" s="45" t="s">
        <v>0</v>
      </c>
      <c r="U104" s="45" t="s">
        <v>0</v>
      </c>
      <c r="V104" s="45" t="s">
        <v>0</v>
      </c>
      <c r="W104" s="45" t="s">
        <v>0</v>
      </c>
      <c r="X104" s="45" t="s">
        <v>0</v>
      </c>
      <c r="Y104" s="45" t="s">
        <v>0</v>
      </c>
      <c r="Z104" s="45" t="s">
        <v>0</v>
      </c>
      <c r="AA104" s="45" t="s">
        <v>0</v>
      </c>
      <c r="AB104" s="45" t="s">
        <v>0</v>
      </c>
      <c r="AC104" s="45" t="s">
        <v>0</v>
      </c>
      <c r="AD104" s="45" t="s">
        <v>4</v>
      </c>
      <c r="AE104" s="45" t="s">
        <v>4</v>
      </c>
      <c r="AF104" s="49" t="s">
        <v>4</v>
      </c>
    </row>
    <row r="105" spans="1:35" ht="30" customHeight="1" thickBot="1" x14ac:dyDescent="0.3">
      <c r="A105" s="616"/>
      <c r="B105" s="149" t="s">
        <v>10</v>
      </c>
      <c r="C105" s="54" t="s">
        <v>544</v>
      </c>
      <c r="D105" s="55" t="s">
        <v>8</v>
      </c>
      <c r="E105" s="54" t="s">
        <v>198</v>
      </c>
      <c r="F105" s="288">
        <v>77</v>
      </c>
      <c r="G105" s="54">
        <v>250000001</v>
      </c>
      <c r="H105" s="193" t="s">
        <v>8</v>
      </c>
      <c r="I105" s="193" t="s">
        <v>5</v>
      </c>
      <c r="J105" s="55" t="s">
        <v>5</v>
      </c>
      <c r="K105" s="55" t="s">
        <v>6</v>
      </c>
      <c r="L105" s="55" t="s">
        <v>208</v>
      </c>
      <c r="M105" s="193" t="s">
        <v>397</v>
      </c>
      <c r="N105" s="55" t="s">
        <v>210</v>
      </c>
      <c r="O105" s="55" t="s">
        <v>8</v>
      </c>
      <c r="P105" s="55" t="s">
        <v>8</v>
      </c>
      <c r="Q105" s="54" t="s">
        <v>544</v>
      </c>
      <c r="R105" s="55" t="s">
        <v>5</v>
      </c>
      <c r="S105" s="55" t="s">
        <v>5</v>
      </c>
      <c r="T105" s="33" t="s">
        <v>581</v>
      </c>
      <c r="U105" s="228" t="s">
        <v>280</v>
      </c>
      <c r="V105" s="33" t="s">
        <v>202</v>
      </c>
      <c r="W105" s="54" t="s">
        <v>590</v>
      </c>
      <c r="X105" s="33" t="s">
        <v>202</v>
      </c>
      <c r="Y105" s="54" t="s">
        <v>595</v>
      </c>
      <c r="Z105" s="96" t="s">
        <v>595</v>
      </c>
      <c r="AA105" s="54" t="s">
        <v>6</v>
      </c>
      <c r="AB105" s="54" t="s">
        <v>212</v>
      </c>
      <c r="AC105" s="54" t="s">
        <v>212</v>
      </c>
      <c r="AD105" s="193" t="s">
        <v>498</v>
      </c>
      <c r="AE105" s="193" t="s">
        <v>200</v>
      </c>
      <c r="AF105" s="54" t="s">
        <v>212</v>
      </c>
      <c r="AG105" s="188" t="s">
        <v>589</v>
      </c>
      <c r="AH105" s="76"/>
      <c r="AI105" s="76"/>
    </row>
    <row r="106" spans="1:35" s="75" customFormat="1" ht="15.75" thickBot="1" x14ac:dyDescent="0.3">
      <c r="A106" s="77"/>
      <c r="B106" s="144"/>
      <c r="C106" s="77"/>
      <c r="D106" s="77"/>
      <c r="E106" s="77"/>
      <c r="F106" s="271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</row>
    <row r="107" spans="1:35" ht="100.15" customHeight="1" x14ac:dyDescent="0.25">
      <c r="A107" s="614" t="s">
        <v>360</v>
      </c>
      <c r="B107" s="147" t="s">
        <v>13</v>
      </c>
      <c r="C107" s="24" t="s">
        <v>14</v>
      </c>
      <c r="D107" s="24" t="s">
        <v>15</v>
      </c>
      <c r="E107" s="25" t="s">
        <v>16</v>
      </c>
      <c r="F107" s="282" t="s">
        <v>17</v>
      </c>
      <c r="G107" s="24" t="s">
        <v>70</v>
      </c>
      <c r="H107" s="24" t="s">
        <v>15</v>
      </c>
      <c r="I107" s="24" t="s">
        <v>220</v>
      </c>
      <c r="J107" s="24" t="s">
        <v>221</v>
      </c>
      <c r="K107" s="26" t="s">
        <v>222</v>
      </c>
      <c r="L107" s="26" t="s">
        <v>223</v>
      </c>
      <c r="M107" s="24" t="s">
        <v>224</v>
      </c>
      <c r="N107" s="24" t="s">
        <v>225</v>
      </c>
      <c r="O107" s="24" t="s">
        <v>226</v>
      </c>
      <c r="P107" s="24" t="s">
        <v>221</v>
      </c>
      <c r="Q107" s="24" t="s">
        <v>227</v>
      </c>
      <c r="R107" s="24" t="s">
        <v>15</v>
      </c>
      <c r="S107" s="27" t="s">
        <v>228</v>
      </c>
    </row>
    <row r="108" spans="1:35" ht="19.899999999999999" customHeight="1" x14ac:dyDescent="0.25">
      <c r="A108" s="615"/>
      <c r="B108" s="148">
        <v>1</v>
      </c>
      <c r="C108" s="5" t="s">
        <v>47</v>
      </c>
      <c r="D108" s="4">
        <v>11</v>
      </c>
      <c r="E108" s="6" t="s">
        <v>48</v>
      </c>
      <c r="F108" s="283" t="s">
        <v>49</v>
      </c>
      <c r="G108" s="7" t="s">
        <v>50</v>
      </c>
      <c r="H108" s="7" t="s">
        <v>229</v>
      </c>
      <c r="I108" s="7" t="s">
        <v>216</v>
      </c>
      <c r="J108" s="7" t="s">
        <v>230</v>
      </c>
      <c r="K108" s="8" t="s">
        <v>217</v>
      </c>
      <c r="L108" s="8" t="s">
        <v>218</v>
      </c>
      <c r="M108" s="7" t="s">
        <v>179</v>
      </c>
      <c r="N108" s="7" t="s">
        <v>219</v>
      </c>
      <c r="O108" s="7">
        <v>90</v>
      </c>
      <c r="P108" s="7" t="s">
        <v>231</v>
      </c>
      <c r="Q108" s="7">
        <v>94</v>
      </c>
      <c r="R108" s="7" t="s">
        <v>232</v>
      </c>
      <c r="S108" s="28" t="s">
        <v>233</v>
      </c>
    </row>
    <row r="109" spans="1:35" outlineLevel="1" x14ac:dyDescent="0.25">
      <c r="A109" s="615"/>
      <c r="B109" s="148">
        <v>1</v>
      </c>
      <c r="C109" s="4">
        <v>9</v>
      </c>
      <c r="D109" s="4">
        <v>1</v>
      </c>
      <c r="E109" s="9">
        <v>13</v>
      </c>
      <c r="F109" s="284">
        <v>2</v>
      </c>
      <c r="G109" s="4">
        <v>9</v>
      </c>
      <c r="H109" s="4">
        <v>3</v>
      </c>
      <c r="I109" s="4">
        <v>3</v>
      </c>
      <c r="J109" s="4">
        <v>16</v>
      </c>
      <c r="K109" s="10">
        <v>8</v>
      </c>
      <c r="L109" s="10">
        <v>8</v>
      </c>
      <c r="M109" s="4">
        <v>8</v>
      </c>
      <c r="N109" s="4">
        <v>8</v>
      </c>
      <c r="O109" s="4">
        <v>1</v>
      </c>
      <c r="P109" s="4">
        <v>3</v>
      </c>
      <c r="Q109" s="4">
        <v>1</v>
      </c>
      <c r="R109" s="4">
        <v>2</v>
      </c>
      <c r="S109" s="29">
        <v>32</v>
      </c>
    </row>
    <row r="110" spans="1:35" ht="13.5" customHeight="1" outlineLevel="1" x14ac:dyDescent="0.25">
      <c r="A110" s="615"/>
      <c r="B110" s="148" t="s">
        <v>1</v>
      </c>
      <c r="C110" s="4" t="s">
        <v>1</v>
      </c>
      <c r="D110" s="4" t="s">
        <v>69</v>
      </c>
      <c r="E110" s="9" t="s">
        <v>69</v>
      </c>
      <c r="F110" s="284" t="s">
        <v>1</v>
      </c>
      <c r="G110" s="4" t="s">
        <v>1</v>
      </c>
      <c r="H110" s="4" t="s">
        <v>69</v>
      </c>
      <c r="I110" s="4" t="s">
        <v>1</v>
      </c>
      <c r="J110" s="4" t="s">
        <v>69</v>
      </c>
      <c r="K110" s="12" t="s">
        <v>1</v>
      </c>
      <c r="L110" s="12" t="s">
        <v>1</v>
      </c>
      <c r="M110" s="4" t="s">
        <v>1</v>
      </c>
      <c r="N110" s="4" t="s">
        <v>1</v>
      </c>
      <c r="O110" s="4" t="s">
        <v>69</v>
      </c>
      <c r="P110" s="4" t="s">
        <v>69</v>
      </c>
      <c r="Q110" s="4" t="s">
        <v>69</v>
      </c>
      <c r="R110" s="4" t="s">
        <v>69</v>
      </c>
      <c r="S110" s="29" t="s">
        <v>69</v>
      </c>
    </row>
    <row r="111" spans="1:35" outlineLevel="1" x14ac:dyDescent="0.25">
      <c r="A111" s="615"/>
      <c r="B111" s="148" t="s">
        <v>0</v>
      </c>
      <c r="C111" s="4" t="s">
        <v>0</v>
      </c>
      <c r="D111" s="4" t="s">
        <v>4</v>
      </c>
      <c r="E111" s="9" t="s">
        <v>0</v>
      </c>
      <c r="F111" s="284" t="s">
        <v>0</v>
      </c>
      <c r="G111" s="4" t="s">
        <v>0</v>
      </c>
      <c r="H111" s="4" t="s">
        <v>4</v>
      </c>
      <c r="I111" s="4" t="s">
        <v>0</v>
      </c>
      <c r="J111" s="4" t="s">
        <v>0</v>
      </c>
      <c r="K111" s="12" t="s">
        <v>0</v>
      </c>
      <c r="L111" s="12" t="s">
        <v>0</v>
      </c>
      <c r="M111" s="4" t="s">
        <v>0</v>
      </c>
      <c r="N111" s="4" t="s">
        <v>4</v>
      </c>
      <c r="O111" s="4" t="s">
        <v>4</v>
      </c>
      <c r="P111" s="4" t="s">
        <v>0</v>
      </c>
      <c r="Q111" s="4" t="s">
        <v>0</v>
      </c>
      <c r="R111" s="4" t="s">
        <v>4</v>
      </c>
      <c r="S111" s="29" t="s">
        <v>4</v>
      </c>
    </row>
    <row r="112" spans="1:35" s="163" customFormat="1" ht="30" customHeight="1" thickBot="1" x14ac:dyDescent="0.3">
      <c r="A112" s="616"/>
      <c r="B112" s="157">
        <v>5</v>
      </c>
      <c r="C112" s="54" t="s">
        <v>544</v>
      </c>
      <c r="D112" s="55" t="s">
        <v>8</v>
      </c>
      <c r="E112" s="55" t="s">
        <v>198</v>
      </c>
      <c r="F112" s="270">
        <v>77</v>
      </c>
      <c r="G112" s="55">
        <v>250000001</v>
      </c>
      <c r="H112" s="98" t="s">
        <v>9</v>
      </c>
      <c r="I112" s="496" t="s">
        <v>905</v>
      </c>
      <c r="J112" s="98" t="s">
        <v>234</v>
      </c>
      <c r="K112" s="56" t="s">
        <v>730</v>
      </c>
      <c r="L112" s="56" t="s">
        <v>731</v>
      </c>
      <c r="M112" s="56" t="s">
        <v>732</v>
      </c>
      <c r="N112" s="56" t="s">
        <v>599</v>
      </c>
      <c r="O112" s="56" t="s">
        <v>8</v>
      </c>
      <c r="P112" s="56" t="s">
        <v>9</v>
      </c>
      <c r="Q112" s="56" t="s">
        <v>8</v>
      </c>
      <c r="R112" s="56" t="s">
        <v>210</v>
      </c>
      <c r="S112" s="99" t="s">
        <v>235</v>
      </c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</row>
    <row r="113" spans="1:35" ht="15.75" thickBot="1" x14ac:dyDescent="0.3">
      <c r="A113" s="75"/>
      <c r="B113" s="150" t="s">
        <v>586</v>
      </c>
      <c r="C113" s="75" t="s">
        <v>586</v>
      </c>
      <c r="D113" s="75" t="s">
        <v>586</v>
      </c>
      <c r="E113" s="75" t="s">
        <v>586</v>
      </c>
      <c r="F113" s="276" t="s">
        <v>586</v>
      </c>
      <c r="G113" s="75" t="s">
        <v>586</v>
      </c>
      <c r="H113" s="75" t="s">
        <v>586</v>
      </c>
      <c r="I113" s="75" t="s">
        <v>586</v>
      </c>
      <c r="J113" s="75" t="s">
        <v>586</v>
      </c>
      <c r="K113" s="75" t="s">
        <v>586</v>
      </c>
      <c r="L113" s="75" t="s">
        <v>586</v>
      </c>
      <c r="M113" s="75" t="s">
        <v>586</v>
      </c>
      <c r="N113" s="75" t="s">
        <v>586</v>
      </c>
      <c r="O113" s="75" t="s">
        <v>586</v>
      </c>
      <c r="P113" s="75" t="s">
        <v>586</v>
      </c>
      <c r="Q113" s="75" t="s">
        <v>586</v>
      </c>
      <c r="R113" s="75" t="s">
        <v>586</v>
      </c>
      <c r="S113" s="75" t="s">
        <v>586</v>
      </c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</row>
    <row r="114" spans="1:35" ht="100.15" customHeight="1" x14ac:dyDescent="0.25">
      <c r="A114" s="608" t="s">
        <v>361</v>
      </c>
      <c r="B114" s="327" t="s">
        <v>13</v>
      </c>
      <c r="C114" s="328" t="s">
        <v>14</v>
      </c>
      <c r="D114" s="328" t="s">
        <v>339</v>
      </c>
      <c r="E114" s="329" t="s">
        <v>469</v>
      </c>
      <c r="F114" s="330" t="s">
        <v>470</v>
      </c>
      <c r="G114" s="328" t="s">
        <v>471</v>
      </c>
      <c r="H114" s="328" t="s">
        <v>340</v>
      </c>
      <c r="I114" s="328" t="s">
        <v>473</v>
      </c>
      <c r="J114" s="328" t="s">
        <v>472</v>
      </c>
      <c r="K114" s="331" t="s">
        <v>312</v>
      </c>
      <c r="L114" s="331" t="s">
        <v>341</v>
      </c>
      <c r="M114" s="328" t="s">
        <v>25</v>
      </c>
      <c r="N114" s="328" t="s">
        <v>15</v>
      </c>
      <c r="O114" s="328" t="s">
        <v>474</v>
      </c>
      <c r="P114" s="328" t="s">
        <v>342</v>
      </c>
      <c r="Q114" s="328" t="s">
        <v>15</v>
      </c>
      <c r="R114" s="328" t="s">
        <v>343</v>
      </c>
      <c r="S114" s="332" t="s">
        <v>228</v>
      </c>
    </row>
    <row r="115" spans="1:35" ht="19.899999999999999" customHeight="1" x14ac:dyDescent="0.25">
      <c r="A115" s="609"/>
      <c r="B115" s="158">
        <v>1</v>
      </c>
      <c r="C115" s="102" t="s">
        <v>47</v>
      </c>
      <c r="D115" s="103" t="s">
        <v>344</v>
      </c>
      <c r="E115" s="104" t="s">
        <v>345</v>
      </c>
      <c r="F115" s="298" t="s">
        <v>346</v>
      </c>
      <c r="G115" s="103" t="s">
        <v>347</v>
      </c>
      <c r="H115" s="103" t="s">
        <v>348</v>
      </c>
      <c r="I115" s="103" t="s">
        <v>349</v>
      </c>
      <c r="J115" s="103" t="s">
        <v>350</v>
      </c>
      <c r="K115" s="105" t="s">
        <v>351</v>
      </c>
      <c r="L115" s="105" t="s">
        <v>352</v>
      </c>
      <c r="M115" s="103" t="s">
        <v>353</v>
      </c>
      <c r="N115" s="103" t="s">
        <v>354</v>
      </c>
      <c r="O115" s="103" t="s">
        <v>355</v>
      </c>
      <c r="P115" s="103" t="s">
        <v>356</v>
      </c>
      <c r="Q115" s="103" t="s">
        <v>357</v>
      </c>
      <c r="R115" s="103" t="s">
        <v>358</v>
      </c>
      <c r="S115" s="333" t="s">
        <v>233</v>
      </c>
    </row>
    <row r="116" spans="1:35" outlineLevel="1" x14ac:dyDescent="0.25">
      <c r="A116" s="609"/>
      <c r="B116" s="158">
        <v>1</v>
      </c>
      <c r="C116" s="101">
        <v>9</v>
      </c>
      <c r="D116" s="101">
        <v>3</v>
      </c>
      <c r="E116" s="101">
        <v>4</v>
      </c>
      <c r="F116" s="299">
        <v>4</v>
      </c>
      <c r="G116" s="101">
        <v>3</v>
      </c>
      <c r="H116" s="101">
        <v>9</v>
      </c>
      <c r="I116" s="101">
        <v>9</v>
      </c>
      <c r="J116" s="101">
        <v>9</v>
      </c>
      <c r="K116" s="107">
        <v>3</v>
      </c>
      <c r="L116" s="107">
        <v>1</v>
      </c>
      <c r="M116" s="101">
        <v>1</v>
      </c>
      <c r="N116" s="101">
        <v>4</v>
      </c>
      <c r="O116" s="101">
        <v>12</v>
      </c>
      <c r="P116" s="101">
        <v>12</v>
      </c>
      <c r="Q116" s="103">
        <v>3</v>
      </c>
      <c r="R116" s="101">
        <v>9</v>
      </c>
      <c r="S116" s="334">
        <v>32</v>
      </c>
    </row>
    <row r="117" spans="1:35" outlineLevel="1" x14ac:dyDescent="0.25">
      <c r="A117" s="609"/>
      <c r="B117" s="158" t="s">
        <v>1</v>
      </c>
      <c r="C117" s="101" t="s">
        <v>1</v>
      </c>
      <c r="D117" s="197" t="s">
        <v>1</v>
      </c>
      <c r="E117" s="106" t="s">
        <v>1</v>
      </c>
      <c r="F117" s="299" t="s">
        <v>1</v>
      </c>
      <c r="G117" s="101" t="s">
        <v>1</v>
      </c>
      <c r="H117" s="101" t="s">
        <v>1</v>
      </c>
      <c r="I117" s="101" t="s">
        <v>1</v>
      </c>
      <c r="J117" s="101" t="s">
        <v>1</v>
      </c>
      <c r="K117" s="108" t="s">
        <v>1</v>
      </c>
      <c r="L117" s="108" t="s">
        <v>69</v>
      </c>
      <c r="M117" s="101" t="s">
        <v>69</v>
      </c>
      <c r="N117" s="101" t="s">
        <v>69</v>
      </c>
      <c r="O117" s="101" t="s">
        <v>69</v>
      </c>
      <c r="P117" s="101" t="s">
        <v>1</v>
      </c>
      <c r="Q117" s="101" t="s">
        <v>69</v>
      </c>
      <c r="R117" s="101" t="s">
        <v>1</v>
      </c>
      <c r="S117" s="334" t="s">
        <v>1</v>
      </c>
    </row>
    <row r="118" spans="1:35" outlineLevel="1" x14ac:dyDescent="0.25">
      <c r="A118" s="609"/>
      <c r="B118" s="158" t="s">
        <v>0</v>
      </c>
      <c r="C118" s="101" t="s">
        <v>0</v>
      </c>
      <c r="D118" s="101" t="s">
        <v>0</v>
      </c>
      <c r="E118" s="106" t="s">
        <v>0</v>
      </c>
      <c r="F118" s="299" t="s">
        <v>0</v>
      </c>
      <c r="G118" s="101" t="s">
        <v>0</v>
      </c>
      <c r="H118" s="101" t="s">
        <v>0</v>
      </c>
      <c r="I118" s="101" t="s">
        <v>0</v>
      </c>
      <c r="J118" s="101" t="s">
        <v>0</v>
      </c>
      <c r="K118" s="108" t="s">
        <v>0</v>
      </c>
      <c r="L118" s="108" t="s">
        <v>4</v>
      </c>
      <c r="M118" s="101" t="s">
        <v>4</v>
      </c>
      <c r="N118" s="101" t="s">
        <v>4</v>
      </c>
      <c r="O118" s="101" t="s">
        <v>4</v>
      </c>
      <c r="P118" s="101" t="s">
        <v>4</v>
      </c>
      <c r="Q118" s="101" t="s">
        <v>4</v>
      </c>
      <c r="R118" s="101" t="s">
        <v>4</v>
      </c>
      <c r="S118" s="334" t="s">
        <v>0</v>
      </c>
    </row>
    <row r="119" spans="1:35" s="163" customFormat="1" ht="30" customHeight="1" thickBot="1" x14ac:dyDescent="0.3">
      <c r="A119" s="610"/>
      <c r="B119" s="183">
        <v>6</v>
      </c>
      <c r="C119" s="335" t="s">
        <v>544</v>
      </c>
      <c r="D119" s="185" t="s">
        <v>195</v>
      </c>
      <c r="E119" s="336" t="s">
        <v>733</v>
      </c>
      <c r="F119" s="337" t="s">
        <v>521</v>
      </c>
      <c r="G119" s="185" t="s">
        <v>195</v>
      </c>
      <c r="H119" s="184" t="s">
        <v>734</v>
      </c>
      <c r="I119" s="184" t="s">
        <v>735</v>
      </c>
      <c r="J119" s="184" t="s">
        <v>209</v>
      </c>
      <c r="K119" s="184" t="s">
        <v>195</v>
      </c>
      <c r="L119" s="186" t="s">
        <v>8</v>
      </c>
      <c r="M119" s="186" t="s">
        <v>8</v>
      </c>
      <c r="N119" s="186" t="s">
        <v>387</v>
      </c>
      <c r="O119" s="186" t="s">
        <v>941</v>
      </c>
      <c r="P119" s="186" t="s">
        <v>388</v>
      </c>
      <c r="Q119" s="186" t="s">
        <v>9</v>
      </c>
      <c r="R119" s="186" t="s">
        <v>389</v>
      </c>
      <c r="S119" s="187" t="s">
        <v>235</v>
      </c>
    </row>
    <row r="120" spans="1:35" ht="9.75" customHeight="1" thickBot="1" x14ac:dyDescent="0.3">
      <c r="B120" s="150" t="s">
        <v>586</v>
      </c>
      <c r="C120" s="150" t="s">
        <v>586</v>
      </c>
      <c r="D120" s="150" t="s">
        <v>586</v>
      </c>
      <c r="E120" s="150" t="s">
        <v>586</v>
      </c>
      <c r="F120" s="276" t="s">
        <v>586</v>
      </c>
      <c r="G120" s="150" t="s">
        <v>586</v>
      </c>
      <c r="H120" s="150" t="s">
        <v>586</v>
      </c>
      <c r="I120" s="150" t="s">
        <v>586</v>
      </c>
      <c r="J120" s="150" t="s">
        <v>586</v>
      </c>
      <c r="K120" s="150" t="s">
        <v>586</v>
      </c>
      <c r="L120" s="150" t="s">
        <v>586</v>
      </c>
      <c r="M120" s="150" t="s">
        <v>586</v>
      </c>
      <c r="N120" s="150" t="s">
        <v>586</v>
      </c>
      <c r="O120" s="150" t="s">
        <v>586</v>
      </c>
      <c r="P120" s="150" t="s">
        <v>586</v>
      </c>
      <c r="Q120" s="150" t="s">
        <v>586</v>
      </c>
      <c r="R120" s="150" t="s">
        <v>586</v>
      </c>
      <c r="S120" s="150" t="s">
        <v>586</v>
      </c>
    </row>
    <row r="121" spans="1:35" ht="100.15" customHeight="1" x14ac:dyDescent="0.25">
      <c r="A121" s="611" t="s">
        <v>371</v>
      </c>
      <c r="B121" s="159" t="s">
        <v>13</v>
      </c>
      <c r="C121" s="117" t="s">
        <v>363</v>
      </c>
      <c r="D121" s="117" t="s">
        <v>364</v>
      </c>
      <c r="E121" s="118" t="s">
        <v>15</v>
      </c>
      <c r="F121" s="300" t="s">
        <v>283</v>
      </c>
      <c r="G121" s="117" t="s">
        <v>365</v>
      </c>
      <c r="H121" s="117" t="s">
        <v>15</v>
      </c>
      <c r="I121" s="117" t="s">
        <v>286</v>
      </c>
      <c r="J121" s="117" t="s">
        <v>287</v>
      </c>
      <c r="K121" s="119" t="s">
        <v>366</v>
      </c>
      <c r="L121" s="119" t="s">
        <v>15</v>
      </c>
      <c r="M121" s="117" t="s">
        <v>367</v>
      </c>
      <c r="N121" s="120" t="s">
        <v>15</v>
      </c>
    </row>
    <row r="122" spans="1:35" ht="19.899999999999999" customHeight="1" x14ac:dyDescent="0.25">
      <c r="A122" s="612"/>
      <c r="B122" s="198" t="s">
        <v>293</v>
      </c>
      <c r="C122" s="110" t="s">
        <v>294</v>
      </c>
      <c r="D122" s="111" t="s">
        <v>295</v>
      </c>
      <c r="E122" s="112" t="s">
        <v>296</v>
      </c>
      <c r="F122" s="301" t="s">
        <v>297</v>
      </c>
      <c r="G122" s="111" t="s">
        <v>298</v>
      </c>
      <c r="H122" s="111" t="s">
        <v>299</v>
      </c>
      <c r="I122" s="111" t="s">
        <v>300</v>
      </c>
      <c r="J122" s="111" t="s">
        <v>301</v>
      </c>
      <c r="K122" s="113" t="s">
        <v>368</v>
      </c>
      <c r="L122" s="113" t="s">
        <v>369</v>
      </c>
      <c r="M122" s="111" t="s">
        <v>307</v>
      </c>
      <c r="N122" s="121" t="s">
        <v>370</v>
      </c>
    </row>
    <row r="123" spans="1:35" outlineLevel="1" x14ac:dyDescent="0.25">
      <c r="A123" s="612"/>
      <c r="B123" s="160">
        <v>3</v>
      </c>
      <c r="C123" s="109">
        <v>2</v>
      </c>
      <c r="D123" s="109">
        <v>14</v>
      </c>
      <c r="E123" s="109">
        <v>6</v>
      </c>
      <c r="F123" s="302">
        <v>2</v>
      </c>
      <c r="G123" s="109">
        <v>14</v>
      </c>
      <c r="H123" s="109">
        <v>6</v>
      </c>
      <c r="I123" s="109">
        <v>2</v>
      </c>
      <c r="J123" s="109">
        <v>6</v>
      </c>
      <c r="K123" s="115">
        <v>8</v>
      </c>
      <c r="L123" s="115">
        <v>19</v>
      </c>
      <c r="M123" s="109">
        <v>3</v>
      </c>
      <c r="N123" s="122">
        <v>43</v>
      </c>
    </row>
    <row r="124" spans="1:35" outlineLevel="1" x14ac:dyDescent="0.25">
      <c r="A124" s="612"/>
      <c r="B124" s="160" t="s">
        <v>1</v>
      </c>
      <c r="C124" s="109" t="s">
        <v>69</v>
      </c>
      <c r="D124" s="109" t="s">
        <v>1</v>
      </c>
      <c r="E124" s="114" t="s">
        <v>69</v>
      </c>
      <c r="F124" s="302" t="s">
        <v>69</v>
      </c>
      <c r="G124" s="109" t="s">
        <v>1</v>
      </c>
      <c r="H124" s="109" t="s">
        <v>69</v>
      </c>
      <c r="I124" s="109" t="s">
        <v>69</v>
      </c>
      <c r="J124" s="109" t="s">
        <v>69</v>
      </c>
      <c r="K124" s="116" t="s">
        <v>1</v>
      </c>
      <c r="L124" s="116" t="s">
        <v>69</v>
      </c>
      <c r="M124" s="109" t="s">
        <v>1</v>
      </c>
      <c r="N124" s="122" t="s">
        <v>69</v>
      </c>
    </row>
    <row r="125" spans="1:35" outlineLevel="1" x14ac:dyDescent="0.25">
      <c r="A125" s="612"/>
      <c r="B125" s="160" t="s">
        <v>0</v>
      </c>
      <c r="C125" s="109" t="s">
        <v>0</v>
      </c>
      <c r="D125" s="109" t="s">
        <v>0</v>
      </c>
      <c r="E125" s="114" t="s">
        <v>4</v>
      </c>
      <c r="F125" s="302" t="s">
        <v>0</v>
      </c>
      <c r="G125" s="109" t="s">
        <v>0</v>
      </c>
      <c r="H125" s="109" t="s">
        <v>4</v>
      </c>
      <c r="I125" s="109" t="s">
        <v>0</v>
      </c>
      <c r="J125" s="109" t="s">
        <v>0</v>
      </c>
      <c r="K125" s="116" t="s">
        <v>0</v>
      </c>
      <c r="L125" s="116" t="s">
        <v>4</v>
      </c>
      <c r="M125" s="109" t="s">
        <v>0</v>
      </c>
      <c r="N125" s="122" t="s">
        <v>4</v>
      </c>
    </row>
    <row r="126" spans="1:35" ht="30" customHeight="1" thickBot="1" x14ac:dyDescent="0.3">
      <c r="A126" s="613"/>
      <c r="B126" s="183">
        <v>999</v>
      </c>
      <c r="C126" s="186" t="s">
        <v>373</v>
      </c>
      <c r="D126" s="174" t="s">
        <v>584</v>
      </c>
      <c r="E126" s="186" t="s">
        <v>374</v>
      </c>
      <c r="F126" s="303" t="s">
        <v>375</v>
      </c>
      <c r="G126" s="174" t="s">
        <v>585</v>
      </c>
      <c r="H126" s="186" t="s">
        <v>374</v>
      </c>
      <c r="I126" s="186" t="s">
        <v>376</v>
      </c>
      <c r="J126" s="184" t="s">
        <v>377</v>
      </c>
      <c r="K126" s="497" t="s">
        <v>910</v>
      </c>
      <c r="L126" s="186" t="s">
        <v>390</v>
      </c>
      <c r="M126" s="185" t="s">
        <v>195</v>
      </c>
      <c r="N126" s="187" t="s">
        <v>391</v>
      </c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</row>
    <row r="127" spans="1:35" x14ac:dyDescent="0.25">
      <c r="B127" s="150" t="s">
        <v>586</v>
      </c>
      <c r="C127" s="150" t="s">
        <v>586</v>
      </c>
      <c r="D127" s="150" t="s">
        <v>586</v>
      </c>
      <c r="E127" s="150" t="s">
        <v>586</v>
      </c>
      <c r="F127" s="276" t="s">
        <v>586</v>
      </c>
      <c r="G127" s="150" t="s">
        <v>586</v>
      </c>
      <c r="H127" s="150" t="s">
        <v>586</v>
      </c>
      <c r="I127" s="150" t="s">
        <v>586</v>
      </c>
      <c r="J127" s="150" t="s">
        <v>586</v>
      </c>
      <c r="K127" s="150" t="s">
        <v>586</v>
      </c>
      <c r="L127" s="150" t="s">
        <v>586</v>
      </c>
      <c r="M127" s="150" t="s">
        <v>586</v>
      </c>
      <c r="N127" s="150" t="s">
        <v>586</v>
      </c>
    </row>
  </sheetData>
  <sheetProtection algorithmName="SHA-512" hashValue="HVukiSTV9LJ+A8MX/0eJBqsJfbXNRSsooi+da+ge0Y8gZV1jTm171pCKMzLQoKuRBv5TJ8fyHHvXM5bh6VSBLQ==" saltValue="YiRmNEzmdgJdtmKrZP/VZw==" spinCount="100000" sheet="1" sort="0"/>
  <mergeCells count="25">
    <mergeCell ref="A114:A119"/>
    <mergeCell ref="A121:A126"/>
    <mergeCell ref="B1:AI1"/>
    <mergeCell ref="A3:C3"/>
    <mergeCell ref="D3:F3"/>
    <mergeCell ref="G3:H3"/>
    <mergeCell ref="I3:X3"/>
    <mergeCell ref="A86:A91"/>
    <mergeCell ref="A93:A98"/>
    <mergeCell ref="A58:A63"/>
    <mergeCell ref="A65:A70"/>
    <mergeCell ref="A72:A77"/>
    <mergeCell ref="A79:A84"/>
    <mergeCell ref="A23:A28"/>
    <mergeCell ref="A30:A35"/>
    <mergeCell ref="A37:A42"/>
    <mergeCell ref="Z3:AE3"/>
    <mergeCell ref="AG3:AI3"/>
    <mergeCell ref="A7:AI7"/>
    <mergeCell ref="A100:A105"/>
    <mergeCell ref="A107:A112"/>
    <mergeCell ref="A44:A49"/>
    <mergeCell ref="A51:A56"/>
    <mergeCell ref="A9:A14"/>
    <mergeCell ref="A16:A21"/>
  </mergeCells>
  <conditionalFormatting sqref="B28">
    <cfRule type="expression" dxfId="23" priority="2">
      <formula>"B17&lt;&gt;0"</formula>
    </cfRule>
  </conditionalFormatting>
  <conditionalFormatting sqref="F28">
    <cfRule type="expression" dxfId="22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tabColor theme="8" tint="-0.499984740745262"/>
    <pageSetUpPr fitToPage="1"/>
  </sheetPr>
  <dimension ref="A1:AM120"/>
  <sheetViews>
    <sheetView view="pageBreakPreview" topLeftCell="B93" zoomScale="85" zoomScaleNormal="25" zoomScaleSheetLayoutView="85" workbookViewId="0">
      <selection activeCell="O112" sqref="O112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9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9" ht="15.75" thickBot="1" x14ac:dyDescent="0.3">
      <c r="C2" s="78"/>
    </row>
    <row r="3" spans="1:39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9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9" ht="58.5" customHeight="1" thickBot="1" x14ac:dyDescent="0.3">
      <c r="A5" s="379" t="str">
        <f>'LISTE DES CAS ANNEXE 30'!A30</f>
        <v>CONVENTION CAS 14</v>
      </c>
      <c r="B5" s="369">
        <f>'LISTE DES CAS ANNEXE 30'!B30</f>
        <v>1</v>
      </c>
      <c r="C5" s="370">
        <f>'LISTE DES CAS ANNEXE 30'!C30</f>
        <v>1</v>
      </c>
      <c r="D5" s="367" t="str">
        <f>'LISTE DES CAS ANNEXE 30'!D30</f>
        <v>MALADIE</v>
      </c>
      <c r="E5" s="368">
        <f>'LISTE DES CAS ANNEXE 30'!E30</f>
        <v>0.55000000000000004</v>
      </c>
      <c r="F5" s="361" t="str">
        <f>'LISTE DES CAS ANNEXE 30'!H30</f>
        <v>NON</v>
      </c>
      <c r="G5" s="384" t="str">
        <f>'LISTE DES CAS ANNEXE 30'!I30</f>
        <v>NON</v>
      </c>
      <c r="H5" s="366" t="str">
        <f>'LISTE DES CAS ANNEXE 30'!J30</f>
        <v>05 - TP AMO SEUL</v>
      </c>
      <c r="I5" s="412" t="str">
        <f>'LISTE DES CAS ANNEXE 30'!K30</f>
        <v>69-LYON</v>
      </c>
      <c r="J5" s="355" t="str">
        <f>'LISTE DES CAS ANNEXE 30'!L30</f>
        <v>42-SAINT-ETIENNE</v>
      </c>
      <c r="K5" s="356" t="str">
        <f>'LISTE DES CAS ANNEXE 30'!M30</f>
        <v>11/11/2025 à 10H00</v>
      </c>
      <c r="L5" s="356" t="str">
        <f>'LISTE DES CAS ANNEXE 30'!N30</f>
        <v>11/11/2025 à 11h15</v>
      </c>
      <c r="M5" s="357" t="str">
        <f>'LISTE DES CAS ANNEXE 30'!O30</f>
        <v>EE-003-FF</v>
      </c>
      <c r="N5" s="357" t="str">
        <f>'LISTE DES CAS ANNEXE 30'!P30</f>
        <v>69123
(LYON)</v>
      </c>
      <c r="O5" s="357" t="str">
        <f>'LISTE DES CAS ANNEXE 30'!Q30</f>
        <v>069</v>
      </c>
      <c r="P5" s="357" t="str">
        <f>'LISTE DES CAS ANNEXE 30'!R30</f>
        <v xml:space="preserve">691 - CPAM DU RHONE </v>
      </c>
      <c r="Q5" s="358">
        <f>'LISTE DES CAS ANNEXE 30'!S30</f>
        <v>63</v>
      </c>
      <c r="R5" s="430" t="str">
        <f>'LISTE DES CAS ANNEXE 30'!T30</f>
        <v>DIM / J FERIE</v>
      </c>
      <c r="S5" s="431">
        <f>'LISTE DES CAS ANNEXE 30'!U30</f>
        <v>4</v>
      </c>
      <c r="T5" s="428" t="str">
        <f>'LISTE DES CAS ANNEXE 30'!V30</f>
        <v>OUI 
(TYPE 1)</v>
      </c>
      <c r="U5" s="356" t="str">
        <f>'LISTE DES CAS ANNEXE 30'!W30</f>
        <v>NON</v>
      </c>
      <c r="V5" s="428" t="str">
        <f>'LISTE DES CAS ANNEXE 30'!X30</f>
        <v>OUI</v>
      </c>
      <c r="W5" s="428" t="str">
        <f>'LISTE DES CAS ANNEXE 30'!Y30</f>
        <v>OUI</v>
      </c>
      <c r="X5" s="434" t="str">
        <f>'LISTE DES CAS ANNEXE 30'!Z30</f>
        <v>OUI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9" ht="15.75" thickBot="1" x14ac:dyDescent="0.3">
      <c r="C6" s="78"/>
    </row>
    <row r="7" spans="1:39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9" ht="15.75" thickBot="1" x14ac:dyDescent="0.3">
      <c r="C8" s="78"/>
    </row>
    <row r="9" spans="1:39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9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9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9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9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9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  <c r="AJ14" s="77"/>
      <c r="AK14" s="77"/>
      <c r="AL14" s="77"/>
      <c r="AM14" s="77"/>
    </row>
    <row r="15" spans="1:39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9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676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736</v>
      </c>
      <c r="Z42" s="194" t="s">
        <v>736</v>
      </c>
      <c r="AA42" s="194" t="s">
        <v>592</v>
      </c>
      <c r="AB42" s="194" t="s">
        <v>737</v>
      </c>
      <c r="AC42" s="194" t="s">
        <v>736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676</v>
      </c>
      <c r="K56" s="54" t="s">
        <v>582</v>
      </c>
      <c r="L56" s="54" t="s">
        <v>214</v>
      </c>
      <c r="M56" s="54" t="s">
        <v>543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676</v>
      </c>
      <c r="S56" s="54" t="s">
        <v>609</v>
      </c>
      <c r="T56" s="54" t="s">
        <v>263</v>
      </c>
      <c r="U56" s="54">
        <v>4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676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738</v>
      </c>
      <c r="Z63" s="96" t="s">
        <v>738</v>
      </c>
      <c r="AA63" s="97" t="s">
        <v>592</v>
      </c>
      <c r="AB63" s="96" t="s">
        <v>739</v>
      </c>
      <c r="AC63" s="96" t="s">
        <v>738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676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740</v>
      </c>
      <c r="Z70" s="96" t="s">
        <v>740</v>
      </c>
      <c r="AA70" s="54" t="s">
        <v>592</v>
      </c>
      <c r="AB70" s="54" t="s">
        <v>741</v>
      </c>
      <c r="AC70" s="54" t="s">
        <v>740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20" t="s">
        <v>916</v>
      </c>
      <c r="B72" s="151" t="s">
        <v>13</v>
      </c>
      <c r="C72" s="40" t="s">
        <v>14</v>
      </c>
      <c r="D72" s="40" t="s">
        <v>15</v>
      </c>
      <c r="E72" s="41" t="s">
        <v>16</v>
      </c>
      <c r="F72" s="289" t="s">
        <v>17</v>
      </c>
      <c r="G72" s="40" t="s">
        <v>70</v>
      </c>
      <c r="H72" s="40" t="s">
        <v>71</v>
      </c>
      <c r="I72" s="40" t="s">
        <v>72</v>
      </c>
      <c r="J72" s="40" t="s">
        <v>2</v>
      </c>
      <c r="K72" s="40" t="s">
        <v>73</v>
      </c>
      <c r="L72" s="42" t="s">
        <v>74</v>
      </c>
      <c r="M72" s="42" t="s">
        <v>75</v>
      </c>
      <c r="N72" s="40" t="s">
        <v>76</v>
      </c>
      <c r="O72" s="40" t="s">
        <v>77</v>
      </c>
      <c r="P72" s="40" t="s">
        <v>78</v>
      </c>
      <c r="Q72" s="40" t="s">
        <v>79</v>
      </c>
      <c r="R72" s="40" t="s">
        <v>80</v>
      </c>
      <c r="S72" s="40" t="s">
        <v>81</v>
      </c>
      <c r="T72" s="40" t="s">
        <v>82</v>
      </c>
      <c r="U72" s="40" t="s">
        <v>83</v>
      </c>
      <c r="V72" s="40" t="s">
        <v>84</v>
      </c>
      <c r="W72" s="40" t="s">
        <v>3</v>
      </c>
      <c r="X72" s="40" t="s">
        <v>85</v>
      </c>
      <c r="Y72" s="40" t="s">
        <v>86</v>
      </c>
      <c r="Z72" s="40" t="s">
        <v>87</v>
      </c>
      <c r="AA72" s="40" t="s">
        <v>88</v>
      </c>
      <c r="AB72" s="40" t="s">
        <v>89</v>
      </c>
      <c r="AC72" s="40" t="s">
        <v>90</v>
      </c>
      <c r="AD72" s="40" t="s">
        <v>91</v>
      </c>
      <c r="AE72" s="40" t="s">
        <v>92</v>
      </c>
      <c r="AF72" s="43" t="s">
        <v>93</v>
      </c>
    </row>
    <row r="73" spans="1:35" ht="19.899999999999999" customHeight="1" x14ac:dyDescent="0.25">
      <c r="A73" s="615"/>
      <c r="B73" s="152">
        <v>1</v>
      </c>
      <c r="C73" s="44" t="s">
        <v>47</v>
      </c>
      <c r="D73" s="45">
        <v>11</v>
      </c>
      <c r="E73" s="46" t="s">
        <v>48</v>
      </c>
      <c r="F73" s="290" t="s">
        <v>49</v>
      </c>
      <c r="G73" s="47" t="s">
        <v>50</v>
      </c>
      <c r="H73" s="47">
        <v>36</v>
      </c>
      <c r="I73" s="47" t="s">
        <v>94</v>
      </c>
      <c r="J73" s="47" t="s">
        <v>95</v>
      </c>
      <c r="K73" s="47" t="s">
        <v>96</v>
      </c>
      <c r="L73" s="48" t="s">
        <v>97</v>
      </c>
      <c r="M73" s="48" t="s">
        <v>98</v>
      </c>
      <c r="N73" s="47" t="s">
        <v>99</v>
      </c>
      <c r="O73" s="47">
        <v>53</v>
      </c>
      <c r="P73" s="47">
        <v>54</v>
      </c>
      <c r="Q73" s="47" t="s">
        <v>913</v>
      </c>
      <c r="R73" s="47" t="s">
        <v>100</v>
      </c>
      <c r="S73" s="47" t="s">
        <v>101</v>
      </c>
      <c r="T73" s="47" t="s">
        <v>57</v>
      </c>
      <c r="U73" s="47" t="s">
        <v>102</v>
      </c>
      <c r="V73" s="47" t="s">
        <v>103</v>
      </c>
      <c r="W73" s="47" t="s">
        <v>104</v>
      </c>
      <c r="X73" s="47" t="s">
        <v>105</v>
      </c>
      <c r="Y73" s="47" t="s">
        <v>106</v>
      </c>
      <c r="Z73" s="47" t="s">
        <v>107</v>
      </c>
      <c r="AA73" s="47" t="s">
        <v>108</v>
      </c>
      <c r="AB73" s="45" t="s">
        <v>109</v>
      </c>
      <c r="AC73" s="47" t="s">
        <v>110</v>
      </c>
      <c r="AD73" s="45">
        <v>120</v>
      </c>
      <c r="AE73" s="45">
        <v>121</v>
      </c>
      <c r="AF73" s="49" t="s">
        <v>111</v>
      </c>
    </row>
    <row r="74" spans="1:35" outlineLevel="1" x14ac:dyDescent="0.25">
      <c r="A74" s="615"/>
      <c r="B74" s="152">
        <v>1</v>
      </c>
      <c r="C74" s="45">
        <v>9</v>
      </c>
      <c r="D74" s="45">
        <v>1</v>
      </c>
      <c r="E74" s="50">
        <v>13</v>
      </c>
      <c r="F74" s="291">
        <v>2</v>
      </c>
      <c r="G74" s="45">
        <v>9</v>
      </c>
      <c r="H74" s="45">
        <v>1</v>
      </c>
      <c r="I74" s="45">
        <v>2</v>
      </c>
      <c r="J74" s="45">
        <v>2</v>
      </c>
      <c r="K74" s="45">
        <v>3</v>
      </c>
      <c r="L74" s="51">
        <v>6</v>
      </c>
      <c r="M74" s="51">
        <v>1</v>
      </c>
      <c r="N74" s="45">
        <v>2</v>
      </c>
      <c r="O74" s="45">
        <v>1</v>
      </c>
      <c r="P74" s="45">
        <v>1</v>
      </c>
      <c r="Q74" s="45">
        <v>9</v>
      </c>
      <c r="R74" s="45">
        <v>2</v>
      </c>
      <c r="S74" s="45">
        <v>2</v>
      </c>
      <c r="T74" s="45">
        <v>6</v>
      </c>
      <c r="U74" s="45">
        <v>5</v>
      </c>
      <c r="V74" s="45">
        <v>2</v>
      </c>
      <c r="W74" s="45">
        <v>6</v>
      </c>
      <c r="X74" s="45">
        <v>2</v>
      </c>
      <c r="Y74" s="45">
        <v>7</v>
      </c>
      <c r="Z74" s="45">
        <v>7</v>
      </c>
      <c r="AA74" s="45">
        <v>3</v>
      </c>
      <c r="AB74" s="45">
        <v>7</v>
      </c>
      <c r="AC74" s="45">
        <v>7</v>
      </c>
      <c r="AD74" s="45">
        <v>1</v>
      </c>
      <c r="AE74" s="45">
        <v>1</v>
      </c>
      <c r="AF74" s="49">
        <v>7</v>
      </c>
      <c r="AG74" s="2"/>
    </row>
    <row r="75" spans="1:35" outlineLevel="1" x14ac:dyDescent="0.25">
      <c r="A75" s="615"/>
      <c r="B75" s="152" t="s">
        <v>1</v>
      </c>
      <c r="C75" s="45" t="s">
        <v>1</v>
      </c>
      <c r="D75" s="45" t="s">
        <v>69</v>
      </c>
      <c r="E75" s="50" t="s">
        <v>69</v>
      </c>
      <c r="F75" s="291" t="s">
        <v>1</v>
      </c>
      <c r="G75" s="45" t="s">
        <v>1</v>
      </c>
      <c r="H75" s="45" t="s">
        <v>69</v>
      </c>
      <c r="I75" s="45" t="s">
        <v>1</v>
      </c>
      <c r="J75" s="45" t="s">
        <v>1</v>
      </c>
      <c r="K75" s="45" t="s">
        <v>1</v>
      </c>
      <c r="L75" s="52" t="s">
        <v>1</v>
      </c>
      <c r="M75" s="52" t="s">
        <v>1</v>
      </c>
      <c r="N75" s="45" t="s">
        <v>69</v>
      </c>
      <c r="O75" s="45" t="s">
        <v>69</v>
      </c>
      <c r="P75" s="53" t="s">
        <v>69</v>
      </c>
      <c r="Q75" s="45" t="s">
        <v>1</v>
      </c>
      <c r="R75" s="45" t="s">
        <v>1</v>
      </c>
      <c r="S75" s="45" t="s">
        <v>1</v>
      </c>
      <c r="T75" s="45" t="s">
        <v>1</v>
      </c>
      <c r="U75" s="45" t="s">
        <v>69</v>
      </c>
      <c r="V75" s="45" t="s">
        <v>1</v>
      </c>
      <c r="W75" s="45" t="s">
        <v>1</v>
      </c>
      <c r="X75" s="45" t="s">
        <v>1</v>
      </c>
      <c r="Y75" s="45" t="s">
        <v>1</v>
      </c>
      <c r="Z75" s="45" t="s">
        <v>1</v>
      </c>
      <c r="AA75" s="45" t="s">
        <v>1</v>
      </c>
      <c r="AB75" s="45" t="s">
        <v>1</v>
      </c>
      <c r="AC75" s="45" t="s">
        <v>1</v>
      </c>
      <c r="AD75" s="45" t="s">
        <v>69</v>
      </c>
      <c r="AE75" s="45" t="s">
        <v>1</v>
      </c>
      <c r="AF75" s="49" t="s">
        <v>1</v>
      </c>
    </row>
    <row r="76" spans="1:35" outlineLevel="1" x14ac:dyDescent="0.25">
      <c r="A76" s="615"/>
      <c r="B76" s="152" t="s">
        <v>0</v>
      </c>
      <c r="C76" s="45" t="s">
        <v>0</v>
      </c>
      <c r="D76" s="45" t="s">
        <v>4</v>
      </c>
      <c r="E76" s="50" t="s">
        <v>0</v>
      </c>
      <c r="F76" s="291" t="s">
        <v>0</v>
      </c>
      <c r="G76" s="45" t="s">
        <v>0</v>
      </c>
      <c r="H76" s="45" t="s">
        <v>4</v>
      </c>
      <c r="I76" s="45" t="s">
        <v>4</v>
      </c>
      <c r="J76" s="45" t="s">
        <v>4</v>
      </c>
      <c r="K76" s="45" t="s">
        <v>4</v>
      </c>
      <c r="L76" s="52" t="s">
        <v>4</v>
      </c>
      <c r="M76" s="52" t="s">
        <v>0</v>
      </c>
      <c r="N76" s="45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5" t="s">
        <v>112</v>
      </c>
      <c r="T76" s="45" t="s">
        <v>0</v>
      </c>
      <c r="U76" s="45" t="s">
        <v>0</v>
      </c>
      <c r="V76" s="45" t="s">
        <v>0</v>
      </c>
      <c r="W76" s="45" t="s">
        <v>0</v>
      </c>
      <c r="X76" s="45" t="s">
        <v>0</v>
      </c>
      <c r="Y76" s="45" t="s">
        <v>0</v>
      </c>
      <c r="Z76" s="45" t="s">
        <v>0</v>
      </c>
      <c r="AA76" s="45" t="s">
        <v>0</v>
      </c>
      <c r="AB76" s="45" t="s">
        <v>0</v>
      </c>
      <c r="AC76" s="45" t="s">
        <v>0</v>
      </c>
      <c r="AD76" s="45" t="s">
        <v>4</v>
      </c>
      <c r="AE76" s="45" t="s">
        <v>4</v>
      </c>
      <c r="AF76" s="49" t="s">
        <v>4</v>
      </c>
    </row>
    <row r="77" spans="1:35" ht="30" customHeight="1" thickBot="1" x14ac:dyDescent="0.3">
      <c r="A77" s="616"/>
      <c r="B77" s="149" t="s">
        <v>10</v>
      </c>
      <c r="C77" s="54" t="s">
        <v>544</v>
      </c>
      <c r="D77" s="55" t="s">
        <v>8</v>
      </c>
      <c r="E77" s="54" t="s">
        <v>198</v>
      </c>
      <c r="F77" s="288">
        <v>77</v>
      </c>
      <c r="G77" s="54">
        <v>250000001</v>
      </c>
      <c r="H77" s="193" t="s">
        <v>8</v>
      </c>
      <c r="I77" s="193" t="s">
        <v>5</v>
      </c>
      <c r="J77" s="55" t="s">
        <v>5</v>
      </c>
      <c r="K77" s="55" t="s">
        <v>6</v>
      </c>
      <c r="L77" s="55" t="s">
        <v>208</v>
      </c>
      <c r="M77" s="193" t="s">
        <v>397</v>
      </c>
      <c r="N77" s="55" t="s">
        <v>210</v>
      </c>
      <c r="O77" s="55" t="s">
        <v>8</v>
      </c>
      <c r="P77" s="55" t="s">
        <v>8</v>
      </c>
      <c r="Q77" s="54" t="s">
        <v>544</v>
      </c>
      <c r="R77" s="55" t="s">
        <v>5</v>
      </c>
      <c r="S77" s="55" t="s">
        <v>5</v>
      </c>
      <c r="T77" s="33" t="s">
        <v>676</v>
      </c>
      <c r="U77" s="228" t="s">
        <v>279</v>
      </c>
      <c r="V77" s="33" t="s">
        <v>202</v>
      </c>
      <c r="W77" s="54" t="s">
        <v>590</v>
      </c>
      <c r="X77" s="33" t="s">
        <v>202</v>
      </c>
      <c r="Y77" s="54" t="s">
        <v>594</v>
      </c>
      <c r="Z77" s="96" t="s">
        <v>594</v>
      </c>
      <c r="AA77" s="54" t="s">
        <v>592</v>
      </c>
      <c r="AB77" s="54" t="s">
        <v>667</v>
      </c>
      <c r="AC77" s="54" t="s">
        <v>594</v>
      </c>
      <c r="AD77" s="55" t="s">
        <v>8</v>
      </c>
      <c r="AE77" s="193" t="s">
        <v>200</v>
      </c>
      <c r="AF77" s="82" t="s">
        <v>212</v>
      </c>
      <c r="AG77" s="188" t="s">
        <v>589</v>
      </c>
      <c r="AH77" s="76"/>
      <c r="AI77" s="76"/>
    </row>
    <row r="78" spans="1:35" s="75" customFormat="1" ht="15.75" thickBot="1" x14ac:dyDescent="0.3"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 t="s">
        <v>586</v>
      </c>
      <c r="U78" s="75" t="s">
        <v>586</v>
      </c>
      <c r="V78" s="75" t="s">
        <v>586</v>
      </c>
      <c r="W78" s="75" t="s">
        <v>586</v>
      </c>
      <c r="X78" s="75" t="s">
        <v>586</v>
      </c>
      <c r="Y78" s="75" t="s">
        <v>586</v>
      </c>
      <c r="Z78" s="75" t="s">
        <v>586</v>
      </c>
      <c r="AA78" s="75" t="s">
        <v>586</v>
      </c>
      <c r="AB78" s="75" t="s">
        <v>586</v>
      </c>
      <c r="AC78" s="75" t="s">
        <v>586</v>
      </c>
      <c r="AD78" s="75" t="s">
        <v>586</v>
      </c>
      <c r="AE78" s="75" t="s">
        <v>586</v>
      </c>
      <c r="AF78" s="75" t="s">
        <v>586</v>
      </c>
    </row>
    <row r="79" spans="1:35" ht="100.15" customHeight="1" x14ac:dyDescent="0.25">
      <c r="A79" s="620" t="s">
        <v>918</v>
      </c>
      <c r="B79" s="151" t="s">
        <v>13</v>
      </c>
      <c r="C79" s="40" t="s">
        <v>14</v>
      </c>
      <c r="D79" s="40" t="s">
        <v>15</v>
      </c>
      <c r="E79" s="41" t="s">
        <v>16</v>
      </c>
      <c r="F79" s="289" t="s">
        <v>17</v>
      </c>
      <c r="G79" s="40" t="s">
        <v>70</v>
      </c>
      <c r="H79" s="40" t="s">
        <v>71</v>
      </c>
      <c r="I79" s="40" t="s">
        <v>72</v>
      </c>
      <c r="J79" s="40" t="s">
        <v>2</v>
      </c>
      <c r="K79" s="40" t="s">
        <v>73</v>
      </c>
      <c r="L79" s="42" t="s">
        <v>74</v>
      </c>
      <c r="M79" s="42" t="s">
        <v>75</v>
      </c>
      <c r="N79" s="40" t="s">
        <v>76</v>
      </c>
      <c r="O79" s="40" t="s">
        <v>77</v>
      </c>
      <c r="P79" s="40" t="s">
        <v>78</v>
      </c>
      <c r="Q79" s="40" t="s">
        <v>79</v>
      </c>
      <c r="R79" s="40" t="s">
        <v>80</v>
      </c>
      <c r="S79" s="40" t="s">
        <v>81</v>
      </c>
      <c r="T79" s="40" t="s">
        <v>82</v>
      </c>
      <c r="U79" s="40" t="s">
        <v>83</v>
      </c>
      <c r="V79" s="40" t="s">
        <v>84</v>
      </c>
      <c r="W79" s="40" t="s">
        <v>3</v>
      </c>
      <c r="X79" s="40" t="s">
        <v>85</v>
      </c>
      <c r="Y79" s="40" t="s">
        <v>86</v>
      </c>
      <c r="Z79" s="40" t="s">
        <v>87</v>
      </c>
      <c r="AA79" s="40" t="s">
        <v>88</v>
      </c>
      <c r="AB79" s="40" t="s">
        <v>89</v>
      </c>
      <c r="AC79" s="40" t="s">
        <v>90</v>
      </c>
      <c r="AD79" s="40" t="s">
        <v>91</v>
      </c>
      <c r="AE79" s="40" t="s">
        <v>92</v>
      </c>
      <c r="AF79" s="43" t="s">
        <v>93</v>
      </c>
      <c r="AG79" s="2"/>
    </row>
    <row r="80" spans="1:35" ht="19.899999999999999" customHeight="1" x14ac:dyDescent="0.25">
      <c r="A80" s="615"/>
      <c r="B80" s="152">
        <v>1</v>
      </c>
      <c r="C80" s="44" t="s">
        <v>47</v>
      </c>
      <c r="D80" s="45">
        <v>11</v>
      </c>
      <c r="E80" s="46" t="s">
        <v>48</v>
      </c>
      <c r="F80" s="290" t="s">
        <v>49</v>
      </c>
      <c r="G80" s="47" t="s">
        <v>50</v>
      </c>
      <c r="H80" s="47">
        <v>36</v>
      </c>
      <c r="I80" s="47" t="s">
        <v>94</v>
      </c>
      <c r="J80" s="47" t="s">
        <v>95</v>
      </c>
      <c r="K80" s="47" t="s">
        <v>96</v>
      </c>
      <c r="L80" s="48" t="s">
        <v>97</v>
      </c>
      <c r="M80" s="48" t="s">
        <v>98</v>
      </c>
      <c r="N80" s="47" t="s">
        <v>99</v>
      </c>
      <c r="O80" s="47">
        <v>53</v>
      </c>
      <c r="P80" s="47">
        <v>54</v>
      </c>
      <c r="Q80" s="47" t="s">
        <v>913</v>
      </c>
      <c r="R80" s="47" t="s">
        <v>100</v>
      </c>
      <c r="S80" s="47" t="s">
        <v>101</v>
      </c>
      <c r="T80" s="47" t="s">
        <v>57</v>
      </c>
      <c r="U80" s="47" t="s">
        <v>102</v>
      </c>
      <c r="V80" s="47" t="s">
        <v>103</v>
      </c>
      <c r="W80" s="47" t="s">
        <v>104</v>
      </c>
      <c r="X80" s="47" t="s">
        <v>105</v>
      </c>
      <c r="Y80" s="47" t="s">
        <v>106</v>
      </c>
      <c r="Z80" s="47" t="s">
        <v>107</v>
      </c>
      <c r="AA80" s="47" t="s">
        <v>108</v>
      </c>
      <c r="AB80" s="45" t="s">
        <v>109</v>
      </c>
      <c r="AC80" s="47" t="s">
        <v>110</v>
      </c>
      <c r="AD80" s="45">
        <v>120</v>
      </c>
      <c r="AE80" s="45">
        <v>121</v>
      </c>
      <c r="AF80" s="49" t="s">
        <v>111</v>
      </c>
    </row>
    <row r="81" spans="1:35" outlineLevel="1" x14ac:dyDescent="0.25">
      <c r="A81" s="615"/>
      <c r="B81" s="152">
        <v>1</v>
      </c>
      <c r="C81" s="45">
        <v>9</v>
      </c>
      <c r="D81" s="45">
        <v>1</v>
      </c>
      <c r="E81" s="50">
        <v>13</v>
      </c>
      <c r="F81" s="291">
        <v>2</v>
      </c>
      <c r="G81" s="45">
        <v>9</v>
      </c>
      <c r="H81" s="45">
        <v>1</v>
      </c>
      <c r="I81" s="45">
        <v>2</v>
      </c>
      <c r="J81" s="45">
        <v>2</v>
      </c>
      <c r="K81" s="45">
        <v>3</v>
      </c>
      <c r="L81" s="51">
        <v>6</v>
      </c>
      <c r="M81" s="51">
        <v>1</v>
      </c>
      <c r="N81" s="45">
        <v>2</v>
      </c>
      <c r="O81" s="45">
        <v>1</v>
      </c>
      <c r="P81" s="45">
        <v>1</v>
      </c>
      <c r="Q81" s="45">
        <v>9</v>
      </c>
      <c r="R81" s="45">
        <v>2</v>
      </c>
      <c r="S81" s="45">
        <v>2</v>
      </c>
      <c r="T81" s="45">
        <v>6</v>
      </c>
      <c r="U81" s="45">
        <v>5</v>
      </c>
      <c r="V81" s="45">
        <v>2</v>
      </c>
      <c r="W81" s="45">
        <v>6</v>
      </c>
      <c r="X81" s="45">
        <v>2</v>
      </c>
      <c r="Y81" s="45">
        <v>7</v>
      </c>
      <c r="Z81" s="45">
        <v>7</v>
      </c>
      <c r="AA81" s="45">
        <v>3</v>
      </c>
      <c r="AB81" s="45">
        <v>7</v>
      </c>
      <c r="AC81" s="45">
        <v>7</v>
      </c>
      <c r="AD81" s="45">
        <v>1</v>
      </c>
      <c r="AE81" s="45">
        <v>1</v>
      </c>
      <c r="AF81" s="49">
        <v>7</v>
      </c>
    </row>
    <row r="82" spans="1:35" outlineLevel="1" x14ac:dyDescent="0.25">
      <c r="A82" s="615"/>
      <c r="B82" s="152" t="s">
        <v>1</v>
      </c>
      <c r="C82" s="45" t="s">
        <v>1</v>
      </c>
      <c r="D82" s="45" t="s">
        <v>69</v>
      </c>
      <c r="E82" s="50" t="s">
        <v>69</v>
      </c>
      <c r="F82" s="291" t="s">
        <v>1</v>
      </c>
      <c r="G82" s="45" t="s">
        <v>1</v>
      </c>
      <c r="H82" s="45" t="s">
        <v>69</v>
      </c>
      <c r="I82" s="45" t="s">
        <v>1</v>
      </c>
      <c r="J82" s="45" t="s">
        <v>1</v>
      </c>
      <c r="K82" s="45" t="s">
        <v>1</v>
      </c>
      <c r="L82" s="52" t="s">
        <v>1</v>
      </c>
      <c r="M82" s="52" t="s">
        <v>1</v>
      </c>
      <c r="N82" s="45" t="s">
        <v>69</v>
      </c>
      <c r="O82" s="45" t="s">
        <v>69</v>
      </c>
      <c r="P82" s="53" t="s">
        <v>69</v>
      </c>
      <c r="Q82" s="45" t="s">
        <v>1</v>
      </c>
      <c r="R82" s="45" t="s">
        <v>1</v>
      </c>
      <c r="S82" s="45" t="s">
        <v>1</v>
      </c>
      <c r="T82" s="45" t="s">
        <v>1</v>
      </c>
      <c r="U82" s="45" t="s">
        <v>69</v>
      </c>
      <c r="V82" s="45" t="s">
        <v>1</v>
      </c>
      <c r="W82" s="45" t="s">
        <v>1</v>
      </c>
      <c r="X82" s="45" t="s">
        <v>1</v>
      </c>
      <c r="Y82" s="45" t="s">
        <v>1</v>
      </c>
      <c r="Z82" s="45" t="s">
        <v>1</v>
      </c>
      <c r="AA82" s="45" t="s">
        <v>1</v>
      </c>
      <c r="AB82" s="45" t="s">
        <v>1</v>
      </c>
      <c r="AC82" s="45" t="s">
        <v>1</v>
      </c>
      <c r="AD82" s="45" t="s">
        <v>69</v>
      </c>
      <c r="AE82" s="45" t="s">
        <v>1</v>
      </c>
      <c r="AF82" s="49" t="s">
        <v>1</v>
      </c>
    </row>
    <row r="83" spans="1:35" outlineLevel="1" x14ac:dyDescent="0.25">
      <c r="A83" s="615"/>
      <c r="B83" s="152" t="s">
        <v>0</v>
      </c>
      <c r="C83" s="45" t="s">
        <v>0</v>
      </c>
      <c r="D83" s="45" t="s">
        <v>4</v>
      </c>
      <c r="E83" s="50" t="s">
        <v>0</v>
      </c>
      <c r="F83" s="291" t="s">
        <v>0</v>
      </c>
      <c r="G83" s="45" t="s">
        <v>0</v>
      </c>
      <c r="H83" s="45" t="s">
        <v>4</v>
      </c>
      <c r="I83" s="45" t="s">
        <v>4</v>
      </c>
      <c r="J83" s="45" t="s">
        <v>4</v>
      </c>
      <c r="K83" s="45" t="s">
        <v>4</v>
      </c>
      <c r="L83" s="52" t="s">
        <v>4</v>
      </c>
      <c r="M83" s="52" t="s">
        <v>0</v>
      </c>
      <c r="N83" s="45" t="s">
        <v>4</v>
      </c>
      <c r="O83" s="45" t="s">
        <v>4</v>
      </c>
      <c r="P83" s="45" t="s">
        <v>4</v>
      </c>
      <c r="Q83" s="45" t="s">
        <v>4</v>
      </c>
      <c r="R83" s="45" t="s">
        <v>4</v>
      </c>
      <c r="S83" s="45" t="s">
        <v>112</v>
      </c>
      <c r="T83" s="45" t="s">
        <v>0</v>
      </c>
      <c r="U83" s="45" t="s">
        <v>0</v>
      </c>
      <c r="V83" s="45" t="s">
        <v>0</v>
      </c>
      <c r="W83" s="45" t="s">
        <v>0</v>
      </c>
      <c r="X83" s="45" t="s">
        <v>0</v>
      </c>
      <c r="Y83" s="45" t="s">
        <v>0</v>
      </c>
      <c r="Z83" s="45" t="s">
        <v>0</v>
      </c>
      <c r="AA83" s="45" t="s">
        <v>0</v>
      </c>
      <c r="AB83" s="45" t="s">
        <v>0</v>
      </c>
      <c r="AC83" s="45" t="s">
        <v>0</v>
      </c>
      <c r="AD83" s="45" t="s">
        <v>4</v>
      </c>
      <c r="AE83" s="45" t="s">
        <v>4</v>
      </c>
      <c r="AF83" s="49" t="s">
        <v>4</v>
      </c>
    </row>
    <row r="84" spans="1:35" ht="30" customHeight="1" thickBot="1" x14ac:dyDescent="0.3">
      <c r="A84" s="616"/>
      <c r="B84" s="149" t="s">
        <v>10</v>
      </c>
      <c r="C84" s="54" t="s">
        <v>544</v>
      </c>
      <c r="D84" s="55" t="s">
        <v>8</v>
      </c>
      <c r="E84" s="54" t="s">
        <v>198</v>
      </c>
      <c r="F84" s="288">
        <v>77</v>
      </c>
      <c r="G84" s="54">
        <v>250000001</v>
      </c>
      <c r="H84" s="193" t="s">
        <v>8</v>
      </c>
      <c r="I84" s="193" t="s">
        <v>5</v>
      </c>
      <c r="J84" s="55" t="s">
        <v>5</v>
      </c>
      <c r="K84" s="55" t="s">
        <v>6</v>
      </c>
      <c r="L84" s="55" t="s">
        <v>208</v>
      </c>
      <c r="M84" s="193" t="s">
        <v>397</v>
      </c>
      <c r="N84" s="55" t="s">
        <v>210</v>
      </c>
      <c r="O84" s="55" t="s">
        <v>8</v>
      </c>
      <c r="P84" s="55" t="s">
        <v>8</v>
      </c>
      <c r="Q84" s="54" t="s">
        <v>544</v>
      </c>
      <c r="R84" s="55" t="s">
        <v>5</v>
      </c>
      <c r="S84" s="55" t="s">
        <v>5</v>
      </c>
      <c r="T84" s="33" t="s">
        <v>676</v>
      </c>
      <c r="U84" s="228" t="s">
        <v>245</v>
      </c>
      <c r="V84" s="33" t="s">
        <v>202</v>
      </c>
      <c r="W84" s="54" t="s">
        <v>590</v>
      </c>
      <c r="X84" s="33" t="s">
        <v>202</v>
      </c>
      <c r="Y84" s="54" t="s">
        <v>595</v>
      </c>
      <c r="Z84" s="96" t="s">
        <v>595</v>
      </c>
      <c r="AA84" s="54" t="s">
        <v>6</v>
      </c>
      <c r="AB84" s="54" t="s">
        <v>212</v>
      </c>
      <c r="AC84" s="54" t="s">
        <v>212</v>
      </c>
      <c r="AD84" s="193" t="s">
        <v>498</v>
      </c>
      <c r="AE84" s="193" t="s">
        <v>200</v>
      </c>
      <c r="AF84" s="54" t="s">
        <v>212</v>
      </c>
      <c r="AG84" s="188" t="s">
        <v>589</v>
      </c>
      <c r="AH84" s="76"/>
      <c r="AI84" s="76"/>
    </row>
    <row r="85" spans="1:35" s="75" customFormat="1" ht="15.75" thickBot="1" x14ac:dyDescent="0.3">
      <c r="B85" s="150" t="s">
        <v>586</v>
      </c>
      <c r="C85" s="75" t="s">
        <v>586</v>
      </c>
      <c r="D85" s="75" t="s">
        <v>586</v>
      </c>
      <c r="E85" s="75" t="s">
        <v>586</v>
      </c>
      <c r="F85" s="276" t="s">
        <v>586</v>
      </c>
      <c r="G85" s="75" t="s">
        <v>586</v>
      </c>
      <c r="H85" s="75" t="s">
        <v>586</v>
      </c>
      <c r="I85" s="75" t="s">
        <v>586</v>
      </c>
      <c r="J85" s="75" t="s">
        <v>586</v>
      </c>
      <c r="K85" s="75" t="s">
        <v>586</v>
      </c>
      <c r="L85" s="75" t="s">
        <v>586</v>
      </c>
      <c r="M85" s="75" t="s">
        <v>586</v>
      </c>
      <c r="N85" s="75" t="s">
        <v>586</v>
      </c>
      <c r="O85" s="75" t="s">
        <v>586</v>
      </c>
      <c r="P85" s="75" t="s">
        <v>586</v>
      </c>
      <c r="Q85" s="75" t="s">
        <v>586</v>
      </c>
      <c r="R85" s="75" t="s">
        <v>586</v>
      </c>
      <c r="S85" s="75" t="s">
        <v>586</v>
      </c>
      <c r="T85" s="75" t="s">
        <v>586</v>
      </c>
      <c r="U85" s="75" t="s">
        <v>586</v>
      </c>
      <c r="V85" s="75" t="s">
        <v>586</v>
      </c>
      <c r="W85" s="75" t="s">
        <v>586</v>
      </c>
      <c r="X85" s="75" t="s">
        <v>586</v>
      </c>
      <c r="Y85" s="75" t="s">
        <v>586</v>
      </c>
      <c r="Z85" s="75" t="s">
        <v>586</v>
      </c>
      <c r="AA85" s="75" t="s">
        <v>586</v>
      </c>
      <c r="AB85" s="75" t="s">
        <v>586</v>
      </c>
      <c r="AC85" s="75" t="s">
        <v>586</v>
      </c>
      <c r="AD85" s="75" t="s">
        <v>586</v>
      </c>
      <c r="AE85" s="75" t="s">
        <v>586</v>
      </c>
      <c r="AF85" s="75" t="s">
        <v>586</v>
      </c>
    </row>
    <row r="86" spans="1:35" ht="100.15" customHeight="1" x14ac:dyDescent="0.25">
      <c r="A86" s="620" t="s">
        <v>921</v>
      </c>
      <c r="B86" s="151" t="s">
        <v>13</v>
      </c>
      <c r="C86" s="40" t="s">
        <v>14</v>
      </c>
      <c r="D86" s="40" t="s">
        <v>15</v>
      </c>
      <c r="E86" s="41" t="s">
        <v>16</v>
      </c>
      <c r="F86" s="289" t="s">
        <v>17</v>
      </c>
      <c r="G86" s="40" t="s">
        <v>70</v>
      </c>
      <c r="H86" s="40" t="s">
        <v>71</v>
      </c>
      <c r="I86" s="40" t="s">
        <v>72</v>
      </c>
      <c r="J86" s="40" t="s">
        <v>2</v>
      </c>
      <c r="K86" s="40" t="s">
        <v>73</v>
      </c>
      <c r="L86" s="42" t="s">
        <v>74</v>
      </c>
      <c r="M86" s="42" t="s">
        <v>75</v>
      </c>
      <c r="N86" s="40" t="s">
        <v>76</v>
      </c>
      <c r="O86" s="40" t="s">
        <v>77</v>
      </c>
      <c r="P86" s="40" t="s">
        <v>78</v>
      </c>
      <c r="Q86" s="40" t="s">
        <v>79</v>
      </c>
      <c r="R86" s="40" t="s">
        <v>80</v>
      </c>
      <c r="S86" s="40" t="s">
        <v>81</v>
      </c>
      <c r="T86" s="40" t="s">
        <v>82</v>
      </c>
      <c r="U86" s="40" t="s">
        <v>83</v>
      </c>
      <c r="V86" s="40" t="s">
        <v>84</v>
      </c>
      <c r="W86" s="40" t="s">
        <v>3</v>
      </c>
      <c r="X86" s="40" t="s">
        <v>85</v>
      </c>
      <c r="Y86" s="40" t="s">
        <v>86</v>
      </c>
      <c r="Z86" s="40" t="s">
        <v>87</v>
      </c>
      <c r="AA86" s="40" t="s">
        <v>88</v>
      </c>
      <c r="AB86" s="40" t="s">
        <v>89</v>
      </c>
      <c r="AC86" s="40" t="s">
        <v>90</v>
      </c>
      <c r="AD86" s="40" t="s">
        <v>91</v>
      </c>
      <c r="AE86" s="40" t="s">
        <v>92</v>
      </c>
      <c r="AF86" s="43" t="s">
        <v>93</v>
      </c>
      <c r="AG86" s="2"/>
    </row>
    <row r="87" spans="1:35" ht="19.899999999999999" customHeight="1" x14ac:dyDescent="0.25">
      <c r="A87" s="615"/>
      <c r="B87" s="152">
        <v>1</v>
      </c>
      <c r="C87" s="44" t="s">
        <v>47</v>
      </c>
      <c r="D87" s="45">
        <v>11</v>
      </c>
      <c r="E87" s="46" t="s">
        <v>48</v>
      </c>
      <c r="F87" s="290" t="s">
        <v>49</v>
      </c>
      <c r="G87" s="47" t="s">
        <v>50</v>
      </c>
      <c r="H87" s="47">
        <v>36</v>
      </c>
      <c r="I87" s="47" t="s">
        <v>94</v>
      </c>
      <c r="J87" s="47" t="s">
        <v>95</v>
      </c>
      <c r="K87" s="47" t="s">
        <v>96</v>
      </c>
      <c r="L87" s="48" t="s">
        <v>97</v>
      </c>
      <c r="M87" s="48" t="s">
        <v>98</v>
      </c>
      <c r="N87" s="47" t="s">
        <v>99</v>
      </c>
      <c r="O87" s="47">
        <v>53</v>
      </c>
      <c r="P87" s="47">
        <v>54</v>
      </c>
      <c r="Q87" s="47" t="s">
        <v>913</v>
      </c>
      <c r="R87" s="47" t="s">
        <v>100</v>
      </c>
      <c r="S87" s="47" t="s">
        <v>101</v>
      </c>
      <c r="T87" s="47" t="s">
        <v>57</v>
      </c>
      <c r="U87" s="47" t="s">
        <v>102</v>
      </c>
      <c r="V87" s="47" t="s">
        <v>103</v>
      </c>
      <c r="W87" s="47" t="s">
        <v>104</v>
      </c>
      <c r="X87" s="47" t="s">
        <v>105</v>
      </c>
      <c r="Y87" s="47" t="s">
        <v>106</v>
      </c>
      <c r="Z87" s="47" t="s">
        <v>107</v>
      </c>
      <c r="AA87" s="47" t="s">
        <v>108</v>
      </c>
      <c r="AB87" s="45" t="s">
        <v>109</v>
      </c>
      <c r="AC87" s="47" t="s">
        <v>110</v>
      </c>
      <c r="AD87" s="45">
        <v>120</v>
      </c>
      <c r="AE87" s="45">
        <v>121</v>
      </c>
      <c r="AF87" s="49" t="s">
        <v>111</v>
      </c>
    </row>
    <row r="88" spans="1:35" outlineLevel="1" x14ac:dyDescent="0.25">
      <c r="A88" s="615"/>
      <c r="B88" s="152">
        <v>1</v>
      </c>
      <c r="C88" s="45">
        <v>9</v>
      </c>
      <c r="D88" s="45">
        <v>1</v>
      </c>
      <c r="E88" s="50">
        <v>13</v>
      </c>
      <c r="F88" s="291">
        <v>2</v>
      </c>
      <c r="G88" s="45">
        <v>9</v>
      </c>
      <c r="H88" s="45">
        <v>1</v>
      </c>
      <c r="I88" s="45">
        <v>2</v>
      </c>
      <c r="J88" s="45">
        <v>2</v>
      </c>
      <c r="K88" s="45">
        <v>3</v>
      </c>
      <c r="L88" s="51">
        <v>6</v>
      </c>
      <c r="M88" s="51">
        <v>1</v>
      </c>
      <c r="N88" s="45">
        <v>2</v>
      </c>
      <c r="O88" s="45">
        <v>1</v>
      </c>
      <c r="P88" s="45">
        <v>1</v>
      </c>
      <c r="Q88" s="45">
        <v>9</v>
      </c>
      <c r="R88" s="45">
        <v>2</v>
      </c>
      <c r="S88" s="45">
        <v>2</v>
      </c>
      <c r="T88" s="45">
        <v>6</v>
      </c>
      <c r="U88" s="45">
        <v>5</v>
      </c>
      <c r="V88" s="45">
        <v>2</v>
      </c>
      <c r="W88" s="45">
        <v>6</v>
      </c>
      <c r="X88" s="45">
        <v>2</v>
      </c>
      <c r="Y88" s="45">
        <v>7</v>
      </c>
      <c r="Z88" s="45">
        <v>7</v>
      </c>
      <c r="AA88" s="45">
        <v>3</v>
      </c>
      <c r="AB88" s="45">
        <v>7</v>
      </c>
      <c r="AC88" s="45">
        <v>7</v>
      </c>
      <c r="AD88" s="45">
        <v>1</v>
      </c>
      <c r="AE88" s="45">
        <v>1</v>
      </c>
      <c r="AF88" s="49">
        <v>7</v>
      </c>
    </row>
    <row r="89" spans="1:35" outlineLevel="1" x14ac:dyDescent="0.25">
      <c r="A89" s="615"/>
      <c r="B89" s="152" t="s">
        <v>1</v>
      </c>
      <c r="C89" s="45" t="s">
        <v>1</v>
      </c>
      <c r="D89" s="45" t="s">
        <v>69</v>
      </c>
      <c r="E89" s="50" t="s">
        <v>69</v>
      </c>
      <c r="F89" s="291" t="s">
        <v>1</v>
      </c>
      <c r="G89" s="45" t="s">
        <v>1</v>
      </c>
      <c r="H89" s="45" t="s">
        <v>69</v>
      </c>
      <c r="I89" s="45" t="s">
        <v>1</v>
      </c>
      <c r="J89" s="45" t="s">
        <v>1</v>
      </c>
      <c r="K89" s="45" t="s">
        <v>1</v>
      </c>
      <c r="L89" s="52" t="s">
        <v>1</v>
      </c>
      <c r="M89" s="52" t="s">
        <v>1</v>
      </c>
      <c r="N89" s="45" t="s">
        <v>69</v>
      </c>
      <c r="O89" s="45" t="s">
        <v>69</v>
      </c>
      <c r="P89" s="53" t="s">
        <v>69</v>
      </c>
      <c r="Q89" s="45" t="s">
        <v>1</v>
      </c>
      <c r="R89" s="45" t="s">
        <v>1</v>
      </c>
      <c r="S89" s="45" t="s">
        <v>1</v>
      </c>
      <c r="T89" s="45" t="s">
        <v>1</v>
      </c>
      <c r="U89" s="45" t="s">
        <v>69</v>
      </c>
      <c r="V89" s="45" t="s">
        <v>1</v>
      </c>
      <c r="W89" s="45" t="s">
        <v>1</v>
      </c>
      <c r="X89" s="45" t="s">
        <v>1</v>
      </c>
      <c r="Y89" s="45" t="s">
        <v>1</v>
      </c>
      <c r="Z89" s="45" t="s">
        <v>1</v>
      </c>
      <c r="AA89" s="45" t="s">
        <v>1</v>
      </c>
      <c r="AB89" s="45" t="s">
        <v>1</v>
      </c>
      <c r="AC89" s="45" t="s">
        <v>1</v>
      </c>
      <c r="AD89" s="45" t="s">
        <v>69</v>
      </c>
      <c r="AE89" s="45" t="s">
        <v>1</v>
      </c>
      <c r="AF89" s="49" t="s">
        <v>1</v>
      </c>
    </row>
    <row r="90" spans="1:35" outlineLevel="1" x14ac:dyDescent="0.25">
      <c r="A90" s="615"/>
      <c r="B90" s="152" t="s">
        <v>0</v>
      </c>
      <c r="C90" s="45" t="s">
        <v>0</v>
      </c>
      <c r="D90" s="45" t="s">
        <v>4</v>
      </c>
      <c r="E90" s="50" t="s">
        <v>0</v>
      </c>
      <c r="F90" s="291" t="s">
        <v>0</v>
      </c>
      <c r="G90" s="45" t="s">
        <v>0</v>
      </c>
      <c r="H90" s="45" t="s">
        <v>4</v>
      </c>
      <c r="I90" s="45" t="s">
        <v>4</v>
      </c>
      <c r="J90" s="45" t="s">
        <v>4</v>
      </c>
      <c r="K90" s="45" t="s">
        <v>4</v>
      </c>
      <c r="L90" s="52" t="s">
        <v>4</v>
      </c>
      <c r="M90" s="52" t="s">
        <v>0</v>
      </c>
      <c r="N90" s="45" t="s">
        <v>4</v>
      </c>
      <c r="O90" s="45" t="s">
        <v>4</v>
      </c>
      <c r="P90" s="45" t="s">
        <v>4</v>
      </c>
      <c r="Q90" s="45" t="s">
        <v>4</v>
      </c>
      <c r="R90" s="45" t="s">
        <v>4</v>
      </c>
      <c r="S90" s="45" t="s">
        <v>112</v>
      </c>
      <c r="T90" s="45" t="s">
        <v>0</v>
      </c>
      <c r="U90" s="45" t="s">
        <v>0</v>
      </c>
      <c r="V90" s="45" t="s">
        <v>0</v>
      </c>
      <c r="W90" s="45" t="s">
        <v>0</v>
      </c>
      <c r="X90" s="45" t="s">
        <v>0</v>
      </c>
      <c r="Y90" s="45" t="s">
        <v>0</v>
      </c>
      <c r="Z90" s="45" t="s">
        <v>0</v>
      </c>
      <c r="AA90" s="45" t="s">
        <v>0</v>
      </c>
      <c r="AB90" s="45" t="s">
        <v>0</v>
      </c>
      <c r="AC90" s="45" t="s">
        <v>0</v>
      </c>
      <c r="AD90" s="45" t="s">
        <v>4</v>
      </c>
      <c r="AE90" s="45" t="s">
        <v>4</v>
      </c>
      <c r="AF90" s="49" t="s">
        <v>4</v>
      </c>
    </row>
    <row r="91" spans="1:35" ht="30" customHeight="1" thickBot="1" x14ac:dyDescent="0.3">
      <c r="A91" s="616"/>
      <c r="B91" s="149" t="s">
        <v>10</v>
      </c>
      <c r="C91" s="54" t="s">
        <v>544</v>
      </c>
      <c r="D91" s="55" t="s">
        <v>8</v>
      </c>
      <c r="E91" s="54" t="s">
        <v>198</v>
      </c>
      <c r="F91" s="288">
        <v>77</v>
      </c>
      <c r="G91" s="54">
        <v>250000001</v>
      </c>
      <c r="H91" s="193" t="s">
        <v>8</v>
      </c>
      <c r="I91" s="193" t="s">
        <v>5</v>
      </c>
      <c r="J91" s="55" t="s">
        <v>5</v>
      </c>
      <c r="K91" s="55" t="s">
        <v>6</v>
      </c>
      <c r="L91" s="55" t="s">
        <v>208</v>
      </c>
      <c r="M91" s="193" t="s">
        <v>397</v>
      </c>
      <c r="N91" s="55" t="s">
        <v>210</v>
      </c>
      <c r="O91" s="55" t="s">
        <v>8</v>
      </c>
      <c r="P91" s="55" t="s">
        <v>8</v>
      </c>
      <c r="Q91" s="54" t="s">
        <v>544</v>
      </c>
      <c r="R91" s="55" t="s">
        <v>5</v>
      </c>
      <c r="S91" s="55" t="s">
        <v>5</v>
      </c>
      <c r="T91" s="33" t="s">
        <v>676</v>
      </c>
      <c r="U91" s="228" t="s">
        <v>246</v>
      </c>
      <c r="V91" s="33" t="s">
        <v>202</v>
      </c>
      <c r="W91" s="54" t="s">
        <v>590</v>
      </c>
      <c r="X91" s="33" t="s">
        <v>202</v>
      </c>
      <c r="Y91" s="54" t="s">
        <v>595</v>
      </c>
      <c r="Z91" s="96" t="s">
        <v>595</v>
      </c>
      <c r="AA91" s="54" t="s">
        <v>6</v>
      </c>
      <c r="AB91" s="54" t="s">
        <v>212</v>
      </c>
      <c r="AC91" s="54" t="s">
        <v>212</v>
      </c>
      <c r="AD91" s="193" t="s">
        <v>498</v>
      </c>
      <c r="AE91" s="193" t="s">
        <v>200</v>
      </c>
      <c r="AF91" s="54" t="s">
        <v>212</v>
      </c>
      <c r="AG91" s="188" t="s">
        <v>589</v>
      </c>
      <c r="AH91" s="76"/>
      <c r="AI91" s="76"/>
    </row>
    <row r="92" spans="1:35" s="75" customFormat="1" ht="15.75" thickBot="1" x14ac:dyDescent="0.3">
      <c r="B92" s="150" t="s">
        <v>586</v>
      </c>
      <c r="C92" s="75" t="s">
        <v>586</v>
      </c>
      <c r="D92" s="75" t="s">
        <v>586</v>
      </c>
      <c r="E92" s="75" t="s">
        <v>586</v>
      </c>
      <c r="F92" s="276" t="s">
        <v>586</v>
      </c>
      <c r="G92" s="75" t="s">
        <v>586</v>
      </c>
      <c r="H92" s="75" t="s">
        <v>586</v>
      </c>
      <c r="I92" s="75" t="s">
        <v>586</v>
      </c>
      <c r="J92" s="75" t="s">
        <v>586</v>
      </c>
      <c r="K92" s="75" t="s">
        <v>586</v>
      </c>
      <c r="L92" s="75" t="s">
        <v>586</v>
      </c>
      <c r="M92" s="75" t="s">
        <v>586</v>
      </c>
      <c r="N92" s="75" t="s">
        <v>586</v>
      </c>
      <c r="O92" s="75" t="s">
        <v>586</v>
      </c>
      <c r="P92" s="75" t="s">
        <v>586</v>
      </c>
      <c r="Q92" s="75" t="s">
        <v>586</v>
      </c>
      <c r="R92" s="75" t="s">
        <v>586</v>
      </c>
      <c r="S92" s="75" t="s">
        <v>586</v>
      </c>
      <c r="T92" s="75" t="s">
        <v>586</v>
      </c>
      <c r="U92" s="75" t="s">
        <v>586</v>
      </c>
      <c r="V92" s="75" t="s">
        <v>586</v>
      </c>
      <c r="W92" s="75" t="s">
        <v>586</v>
      </c>
      <c r="X92" s="75" t="s">
        <v>586</v>
      </c>
      <c r="Y92" s="75" t="s">
        <v>586</v>
      </c>
      <c r="Z92" s="75" t="s">
        <v>586</v>
      </c>
      <c r="AA92" s="75" t="s">
        <v>586</v>
      </c>
      <c r="AB92" s="75" t="s">
        <v>586</v>
      </c>
      <c r="AC92" s="75" t="s">
        <v>586</v>
      </c>
      <c r="AD92" s="75" t="s">
        <v>586</v>
      </c>
      <c r="AE92" s="75" t="s">
        <v>586</v>
      </c>
      <c r="AF92" s="75" t="s">
        <v>586</v>
      </c>
    </row>
    <row r="93" spans="1:35" ht="100.15" customHeight="1" x14ac:dyDescent="0.25">
      <c r="A93" s="620" t="s">
        <v>919</v>
      </c>
      <c r="B93" s="151" t="s">
        <v>13</v>
      </c>
      <c r="C93" s="40" t="s">
        <v>14</v>
      </c>
      <c r="D93" s="40" t="s">
        <v>15</v>
      </c>
      <c r="E93" s="41" t="s">
        <v>16</v>
      </c>
      <c r="F93" s="289" t="s">
        <v>17</v>
      </c>
      <c r="G93" s="40" t="s">
        <v>70</v>
      </c>
      <c r="H93" s="40" t="s">
        <v>71</v>
      </c>
      <c r="I93" s="40" t="s">
        <v>72</v>
      </c>
      <c r="J93" s="40" t="s">
        <v>2</v>
      </c>
      <c r="K93" s="40" t="s">
        <v>73</v>
      </c>
      <c r="L93" s="42" t="s">
        <v>74</v>
      </c>
      <c r="M93" s="42" t="s">
        <v>75</v>
      </c>
      <c r="N93" s="40" t="s">
        <v>76</v>
      </c>
      <c r="O93" s="40" t="s">
        <v>77</v>
      </c>
      <c r="P93" s="40" t="s">
        <v>78</v>
      </c>
      <c r="Q93" s="40" t="s">
        <v>79</v>
      </c>
      <c r="R93" s="40" t="s">
        <v>80</v>
      </c>
      <c r="S93" s="40" t="s">
        <v>81</v>
      </c>
      <c r="T93" s="40" t="s">
        <v>82</v>
      </c>
      <c r="U93" s="40" t="s">
        <v>83</v>
      </c>
      <c r="V93" s="40" t="s">
        <v>84</v>
      </c>
      <c r="W93" s="40" t="s">
        <v>3</v>
      </c>
      <c r="X93" s="40" t="s">
        <v>85</v>
      </c>
      <c r="Y93" s="40" t="s">
        <v>86</v>
      </c>
      <c r="Z93" s="40" t="s">
        <v>87</v>
      </c>
      <c r="AA93" s="40" t="s">
        <v>88</v>
      </c>
      <c r="AB93" s="40" t="s">
        <v>89</v>
      </c>
      <c r="AC93" s="40" t="s">
        <v>90</v>
      </c>
      <c r="AD93" s="40" t="s">
        <v>91</v>
      </c>
      <c r="AE93" s="40" t="s">
        <v>92</v>
      </c>
      <c r="AF93" s="43" t="s">
        <v>93</v>
      </c>
      <c r="AG93" s="2"/>
    </row>
    <row r="94" spans="1:35" ht="19.899999999999999" customHeight="1" x14ac:dyDescent="0.25">
      <c r="A94" s="615"/>
      <c r="B94" s="152">
        <v>1</v>
      </c>
      <c r="C94" s="44" t="s">
        <v>47</v>
      </c>
      <c r="D94" s="45">
        <v>11</v>
      </c>
      <c r="E94" s="46" t="s">
        <v>48</v>
      </c>
      <c r="F94" s="290" t="s">
        <v>49</v>
      </c>
      <c r="G94" s="47" t="s">
        <v>50</v>
      </c>
      <c r="H94" s="47">
        <v>36</v>
      </c>
      <c r="I94" s="47" t="s">
        <v>94</v>
      </c>
      <c r="J94" s="47" t="s">
        <v>95</v>
      </c>
      <c r="K94" s="47" t="s">
        <v>96</v>
      </c>
      <c r="L94" s="48" t="s">
        <v>97</v>
      </c>
      <c r="M94" s="48" t="s">
        <v>98</v>
      </c>
      <c r="N94" s="47" t="s">
        <v>99</v>
      </c>
      <c r="O94" s="47">
        <v>53</v>
      </c>
      <c r="P94" s="47">
        <v>54</v>
      </c>
      <c r="Q94" s="47" t="s">
        <v>913</v>
      </c>
      <c r="R94" s="47" t="s">
        <v>100</v>
      </c>
      <c r="S94" s="47" t="s">
        <v>101</v>
      </c>
      <c r="T94" s="47" t="s">
        <v>57</v>
      </c>
      <c r="U94" s="47" t="s">
        <v>102</v>
      </c>
      <c r="V94" s="47" t="s">
        <v>103</v>
      </c>
      <c r="W94" s="47" t="s">
        <v>104</v>
      </c>
      <c r="X94" s="47" t="s">
        <v>105</v>
      </c>
      <c r="Y94" s="47" t="s">
        <v>106</v>
      </c>
      <c r="Z94" s="47" t="s">
        <v>107</v>
      </c>
      <c r="AA94" s="47" t="s">
        <v>108</v>
      </c>
      <c r="AB94" s="45" t="s">
        <v>109</v>
      </c>
      <c r="AC94" s="47" t="s">
        <v>110</v>
      </c>
      <c r="AD94" s="45">
        <v>120</v>
      </c>
      <c r="AE94" s="45">
        <v>121</v>
      </c>
      <c r="AF94" s="49" t="s">
        <v>111</v>
      </c>
    </row>
    <row r="95" spans="1:35" outlineLevel="1" x14ac:dyDescent="0.25">
      <c r="A95" s="615"/>
      <c r="B95" s="152">
        <v>1</v>
      </c>
      <c r="C95" s="45">
        <v>9</v>
      </c>
      <c r="D95" s="45">
        <v>1</v>
      </c>
      <c r="E95" s="50">
        <v>13</v>
      </c>
      <c r="F95" s="291">
        <v>2</v>
      </c>
      <c r="G95" s="45">
        <v>9</v>
      </c>
      <c r="H95" s="45">
        <v>1</v>
      </c>
      <c r="I95" s="45">
        <v>2</v>
      </c>
      <c r="J95" s="45">
        <v>2</v>
      </c>
      <c r="K95" s="45">
        <v>3</v>
      </c>
      <c r="L95" s="51">
        <v>6</v>
      </c>
      <c r="M95" s="51">
        <v>1</v>
      </c>
      <c r="N95" s="45">
        <v>2</v>
      </c>
      <c r="O95" s="45">
        <v>1</v>
      </c>
      <c r="P95" s="45">
        <v>1</v>
      </c>
      <c r="Q95" s="45">
        <v>9</v>
      </c>
      <c r="R95" s="45">
        <v>2</v>
      </c>
      <c r="S95" s="45">
        <v>2</v>
      </c>
      <c r="T95" s="45">
        <v>6</v>
      </c>
      <c r="U95" s="45">
        <v>5</v>
      </c>
      <c r="V95" s="45">
        <v>2</v>
      </c>
      <c r="W95" s="45">
        <v>6</v>
      </c>
      <c r="X95" s="45">
        <v>2</v>
      </c>
      <c r="Y95" s="45">
        <v>7</v>
      </c>
      <c r="Z95" s="45">
        <v>7</v>
      </c>
      <c r="AA95" s="45">
        <v>3</v>
      </c>
      <c r="AB95" s="45">
        <v>7</v>
      </c>
      <c r="AC95" s="45">
        <v>7</v>
      </c>
      <c r="AD95" s="45">
        <v>1</v>
      </c>
      <c r="AE95" s="45">
        <v>1</v>
      </c>
      <c r="AF95" s="49">
        <v>7</v>
      </c>
    </row>
    <row r="96" spans="1:35" outlineLevel="1" x14ac:dyDescent="0.25">
      <c r="A96" s="615"/>
      <c r="B96" s="152" t="s">
        <v>1</v>
      </c>
      <c r="C96" s="45" t="s">
        <v>1</v>
      </c>
      <c r="D96" s="45" t="s">
        <v>69</v>
      </c>
      <c r="E96" s="50" t="s">
        <v>69</v>
      </c>
      <c r="F96" s="291" t="s">
        <v>1</v>
      </c>
      <c r="G96" s="45" t="s">
        <v>1</v>
      </c>
      <c r="H96" s="45" t="s">
        <v>69</v>
      </c>
      <c r="I96" s="45" t="s">
        <v>1</v>
      </c>
      <c r="J96" s="45" t="s">
        <v>1</v>
      </c>
      <c r="K96" s="45" t="s">
        <v>1</v>
      </c>
      <c r="L96" s="52" t="s">
        <v>1</v>
      </c>
      <c r="M96" s="52" t="s">
        <v>1</v>
      </c>
      <c r="N96" s="45" t="s">
        <v>69</v>
      </c>
      <c r="O96" s="45" t="s">
        <v>69</v>
      </c>
      <c r="P96" s="53" t="s">
        <v>69</v>
      </c>
      <c r="Q96" s="45" t="s">
        <v>1</v>
      </c>
      <c r="R96" s="45" t="s">
        <v>1</v>
      </c>
      <c r="S96" s="45" t="s">
        <v>1</v>
      </c>
      <c r="T96" s="45" t="s">
        <v>1</v>
      </c>
      <c r="U96" s="45" t="s">
        <v>69</v>
      </c>
      <c r="V96" s="45" t="s">
        <v>1</v>
      </c>
      <c r="W96" s="45" t="s">
        <v>1</v>
      </c>
      <c r="X96" s="45" t="s">
        <v>1</v>
      </c>
      <c r="Y96" s="45" t="s">
        <v>1</v>
      </c>
      <c r="Z96" s="45" t="s">
        <v>1</v>
      </c>
      <c r="AA96" s="45" t="s">
        <v>1</v>
      </c>
      <c r="AB96" s="45" t="s">
        <v>1</v>
      </c>
      <c r="AC96" s="45" t="s">
        <v>1</v>
      </c>
      <c r="AD96" s="45" t="s">
        <v>69</v>
      </c>
      <c r="AE96" s="45" t="s">
        <v>1</v>
      </c>
      <c r="AF96" s="49" t="s">
        <v>1</v>
      </c>
    </row>
    <row r="97" spans="1:35" ht="13.5" customHeight="1" outlineLevel="1" x14ac:dyDescent="0.25">
      <c r="A97" s="615"/>
      <c r="B97" s="152" t="s">
        <v>0</v>
      </c>
      <c r="C97" s="45" t="s">
        <v>0</v>
      </c>
      <c r="D97" s="45" t="s">
        <v>4</v>
      </c>
      <c r="E97" s="50" t="s">
        <v>0</v>
      </c>
      <c r="F97" s="291" t="s">
        <v>0</v>
      </c>
      <c r="G97" s="45" t="s">
        <v>0</v>
      </c>
      <c r="H97" s="45" t="s">
        <v>4</v>
      </c>
      <c r="I97" s="45" t="s">
        <v>4</v>
      </c>
      <c r="J97" s="45" t="s">
        <v>4</v>
      </c>
      <c r="K97" s="45" t="s">
        <v>4</v>
      </c>
      <c r="L97" s="52" t="s">
        <v>4</v>
      </c>
      <c r="M97" s="52" t="s">
        <v>0</v>
      </c>
      <c r="N97" s="45" t="s">
        <v>4</v>
      </c>
      <c r="O97" s="45" t="s">
        <v>4</v>
      </c>
      <c r="P97" s="45" t="s">
        <v>4</v>
      </c>
      <c r="Q97" s="45" t="s">
        <v>4</v>
      </c>
      <c r="R97" s="45" t="s">
        <v>4</v>
      </c>
      <c r="S97" s="45" t="s">
        <v>112</v>
      </c>
      <c r="T97" s="45" t="s">
        <v>0</v>
      </c>
      <c r="U97" s="45" t="s">
        <v>0</v>
      </c>
      <c r="V97" s="45" t="s">
        <v>0</v>
      </c>
      <c r="W97" s="45" t="s">
        <v>0</v>
      </c>
      <c r="X97" s="45" t="s">
        <v>0</v>
      </c>
      <c r="Y97" s="45" t="s">
        <v>0</v>
      </c>
      <c r="Z97" s="45" t="s">
        <v>0</v>
      </c>
      <c r="AA97" s="45" t="s">
        <v>0</v>
      </c>
      <c r="AB97" s="45" t="s">
        <v>0</v>
      </c>
      <c r="AC97" s="45" t="s">
        <v>0</v>
      </c>
      <c r="AD97" s="45" t="s">
        <v>4</v>
      </c>
      <c r="AE97" s="45" t="s">
        <v>4</v>
      </c>
      <c r="AF97" s="49" t="s">
        <v>4</v>
      </c>
    </row>
    <row r="98" spans="1:35" ht="30" customHeight="1" thickBot="1" x14ac:dyDescent="0.3">
      <c r="A98" s="616"/>
      <c r="B98" s="149" t="s">
        <v>10</v>
      </c>
      <c r="C98" s="54" t="s">
        <v>544</v>
      </c>
      <c r="D98" s="55" t="s">
        <v>8</v>
      </c>
      <c r="E98" s="54" t="s">
        <v>198</v>
      </c>
      <c r="F98" s="288">
        <v>77</v>
      </c>
      <c r="G98" s="54">
        <v>250000001</v>
      </c>
      <c r="H98" s="193" t="s">
        <v>8</v>
      </c>
      <c r="I98" s="193" t="s">
        <v>5</v>
      </c>
      <c r="J98" s="55" t="s">
        <v>5</v>
      </c>
      <c r="K98" s="55" t="s">
        <v>6</v>
      </c>
      <c r="L98" s="55" t="s">
        <v>208</v>
      </c>
      <c r="M98" s="193" t="s">
        <v>397</v>
      </c>
      <c r="N98" s="55" t="s">
        <v>210</v>
      </c>
      <c r="O98" s="55" t="s">
        <v>8</v>
      </c>
      <c r="P98" s="55" t="s">
        <v>8</v>
      </c>
      <c r="Q98" s="54" t="s">
        <v>544</v>
      </c>
      <c r="R98" s="55" t="s">
        <v>5</v>
      </c>
      <c r="S98" s="55" t="s">
        <v>5</v>
      </c>
      <c r="T98" s="33" t="s">
        <v>676</v>
      </c>
      <c r="U98" s="228" t="s">
        <v>280</v>
      </c>
      <c r="V98" s="33" t="s">
        <v>202</v>
      </c>
      <c r="W98" s="54" t="s">
        <v>590</v>
      </c>
      <c r="X98" s="33" t="s">
        <v>202</v>
      </c>
      <c r="Y98" s="54" t="s">
        <v>595</v>
      </c>
      <c r="Z98" s="96" t="s">
        <v>595</v>
      </c>
      <c r="AA98" s="54" t="s">
        <v>6</v>
      </c>
      <c r="AB98" s="54" t="s">
        <v>212</v>
      </c>
      <c r="AC98" s="54" t="s">
        <v>212</v>
      </c>
      <c r="AD98" s="193" t="s">
        <v>498</v>
      </c>
      <c r="AE98" s="193" t="s">
        <v>200</v>
      </c>
      <c r="AF98" s="54" t="s">
        <v>212</v>
      </c>
      <c r="AG98" s="188" t="s">
        <v>589</v>
      </c>
      <c r="AH98" s="76"/>
      <c r="AI98" s="76"/>
    </row>
    <row r="99" spans="1:35" s="75" customFormat="1" ht="15.75" thickBot="1" x14ac:dyDescent="0.3">
      <c r="A99" s="77"/>
      <c r="B99" s="144"/>
      <c r="C99" s="77"/>
      <c r="D99" s="77"/>
      <c r="E99" s="77"/>
      <c r="F99" s="271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</row>
    <row r="100" spans="1:35" ht="100.15" customHeight="1" x14ac:dyDescent="0.25">
      <c r="A100" s="614" t="s">
        <v>360</v>
      </c>
      <c r="B100" s="147" t="s">
        <v>13</v>
      </c>
      <c r="C100" s="24" t="s">
        <v>14</v>
      </c>
      <c r="D100" s="24" t="s">
        <v>15</v>
      </c>
      <c r="E100" s="25" t="s">
        <v>16</v>
      </c>
      <c r="F100" s="282" t="s">
        <v>17</v>
      </c>
      <c r="G100" s="24" t="s">
        <v>70</v>
      </c>
      <c r="H100" s="24" t="s">
        <v>15</v>
      </c>
      <c r="I100" s="24" t="s">
        <v>220</v>
      </c>
      <c r="J100" s="24" t="s">
        <v>221</v>
      </c>
      <c r="K100" s="26" t="s">
        <v>222</v>
      </c>
      <c r="L100" s="26" t="s">
        <v>223</v>
      </c>
      <c r="M100" s="24" t="s">
        <v>224</v>
      </c>
      <c r="N100" s="24" t="s">
        <v>225</v>
      </c>
      <c r="O100" s="24" t="s">
        <v>226</v>
      </c>
      <c r="P100" s="24" t="s">
        <v>221</v>
      </c>
      <c r="Q100" s="24" t="s">
        <v>227</v>
      </c>
      <c r="R100" s="24" t="s">
        <v>15</v>
      </c>
      <c r="S100" s="27" t="s">
        <v>228</v>
      </c>
    </row>
    <row r="101" spans="1:35" ht="19.899999999999999" customHeight="1" x14ac:dyDescent="0.25">
      <c r="A101" s="615"/>
      <c r="B101" s="148">
        <v>1</v>
      </c>
      <c r="C101" s="5" t="s">
        <v>47</v>
      </c>
      <c r="D101" s="4">
        <v>11</v>
      </c>
      <c r="E101" s="6" t="s">
        <v>48</v>
      </c>
      <c r="F101" s="283" t="s">
        <v>49</v>
      </c>
      <c r="G101" s="7" t="s">
        <v>50</v>
      </c>
      <c r="H101" s="7" t="s">
        <v>229</v>
      </c>
      <c r="I101" s="7" t="s">
        <v>216</v>
      </c>
      <c r="J101" s="7" t="s">
        <v>230</v>
      </c>
      <c r="K101" s="8" t="s">
        <v>217</v>
      </c>
      <c r="L101" s="8" t="s">
        <v>218</v>
      </c>
      <c r="M101" s="7" t="s">
        <v>179</v>
      </c>
      <c r="N101" s="7" t="s">
        <v>219</v>
      </c>
      <c r="O101" s="7">
        <v>90</v>
      </c>
      <c r="P101" s="7" t="s">
        <v>231</v>
      </c>
      <c r="Q101" s="7">
        <v>94</v>
      </c>
      <c r="R101" s="7" t="s">
        <v>232</v>
      </c>
      <c r="S101" s="28" t="s">
        <v>233</v>
      </c>
    </row>
    <row r="102" spans="1:35" outlineLevel="1" x14ac:dyDescent="0.25">
      <c r="A102" s="615"/>
      <c r="B102" s="148">
        <v>1</v>
      </c>
      <c r="C102" s="4">
        <v>9</v>
      </c>
      <c r="D102" s="4">
        <v>1</v>
      </c>
      <c r="E102" s="9">
        <v>13</v>
      </c>
      <c r="F102" s="284">
        <v>2</v>
      </c>
      <c r="G102" s="4">
        <v>9</v>
      </c>
      <c r="H102" s="4">
        <v>3</v>
      </c>
      <c r="I102" s="4">
        <v>3</v>
      </c>
      <c r="J102" s="4">
        <v>16</v>
      </c>
      <c r="K102" s="10">
        <v>8</v>
      </c>
      <c r="L102" s="10">
        <v>8</v>
      </c>
      <c r="M102" s="4">
        <v>8</v>
      </c>
      <c r="N102" s="4">
        <v>8</v>
      </c>
      <c r="O102" s="4">
        <v>1</v>
      </c>
      <c r="P102" s="4">
        <v>3</v>
      </c>
      <c r="Q102" s="4">
        <v>1</v>
      </c>
      <c r="R102" s="4">
        <v>2</v>
      </c>
      <c r="S102" s="29">
        <v>32</v>
      </c>
    </row>
    <row r="103" spans="1:35" ht="13.5" customHeight="1" outlineLevel="1" x14ac:dyDescent="0.25">
      <c r="A103" s="615"/>
      <c r="B103" s="148" t="s">
        <v>1</v>
      </c>
      <c r="C103" s="4" t="s">
        <v>1</v>
      </c>
      <c r="D103" s="4" t="s">
        <v>69</v>
      </c>
      <c r="E103" s="9" t="s">
        <v>69</v>
      </c>
      <c r="F103" s="284" t="s">
        <v>1</v>
      </c>
      <c r="G103" s="4" t="s">
        <v>1</v>
      </c>
      <c r="H103" s="4" t="s">
        <v>69</v>
      </c>
      <c r="I103" s="4" t="s">
        <v>1</v>
      </c>
      <c r="J103" s="4" t="s">
        <v>69</v>
      </c>
      <c r="K103" s="12" t="s">
        <v>1</v>
      </c>
      <c r="L103" s="12" t="s">
        <v>1</v>
      </c>
      <c r="M103" s="4" t="s">
        <v>1</v>
      </c>
      <c r="N103" s="4" t="s">
        <v>1</v>
      </c>
      <c r="O103" s="4" t="s">
        <v>69</v>
      </c>
      <c r="P103" s="4" t="s">
        <v>69</v>
      </c>
      <c r="Q103" s="4" t="s">
        <v>69</v>
      </c>
      <c r="R103" s="4" t="s">
        <v>69</v>
      </c>
      <c r="S103" s="29" t="s">
        <v>69</v>
      </c>
    </row>
    <row r="104" spans="1:35" outlineLevel="1" x14ac:dyDescent="0.25">
      <c r="A104" s="615"/>
      <c r="B104" s="148" t="s">
        <v>0</v>
      </c>
      <c r="C104" s="4" t="s">
        <v>0</v>
      </c>
      <c r="D104" s="4" t="s">
        <v>4</v>
      </c>
      <c r="E104" s="9" t="s">
        <v>0</v>
      </c>
      <c r="F104" s="284" t="s">
        <v>0</v>
      </c>
      <c r="G104" s="4" t="s">
        <v>0</v>
      </c>
      <c r="H104" s="4" t="s">
        <v>4</v>
      </c>
      <c r="I104" s="4" t="s">
        <v>0</v>
      </c>
      <c r="J104" s="4" t="s">
        <v>0</v>
      </c>
      <c r="K104" s="12" t="s">
        <v>0</v>
      </c>
      <c r="L104" s="12" t="s">
        <v>0</v>
      </c>
      <c r="M104" s="4" t="s">
        <v>0</v>
      </c>
      <c r="N104" s="4" t="s">
        <v>4</v>
      </c>
      <c r="O104" s="4" t="s">
        <v>4</v>
      </c>
      <c r="P104" s="4" t="s">
        <v>0</v>
      </c>
      <c r="Q104" s="4" t="s">
        <v>0</v>
      </c>
      <c r="R104" s="4" t="s">
        <v>4</v>
      </c>
      <c r="S104" s="29" t="s">
        <v>4</v>
      </c>
    </row>
    <row r="105" spans="1:35" s="163" customFormat="1" ht="30" customHeight="1" thickBot="1" x14ac:dyDescent="0.3">
      <c r="A105" s="616"/>
      <c r="B105" s="157">
        <v>5</v>
      </c>
      <c r="C105" s="54" t="s">
        <v>544</v>
      </c>
      <c r="D105" s="55" t="s">
        <v>8</v>
      </c>
      <c r="E105" s="55" t="s">
        <v>198</v>
      </c>
      <c r="F105" s="270">
        <v>77</v>
      </c>
      <c r="G105" s="55">
        <v>250000001</v>
      </c>
      <c r="H105" s="98" t="s">
        <v>9</v>
      </c>
      <c r="I105" s="496" t="s">
        <v>752</v>
      </c>
      <c r="J105" s="98" t="s">
        <v>234</v>
      </c>
      <c r="K105" s="56" t="s">
        <v>742</v>
      </c>
      <c r="L105" s="56" t="s">
        <v>743</v>
      </c>
      <c r="M105" s="56" t="s">
        <v>744</v>
      </c>
      <c r="N105" s="56" t="s">
        <v>599</v>
      </c>
      <c r="O105" s="56" t="s">
        <v>8</v>
      </c>
      <c r="P105" s="56" t="s">
        <v>9</v>
      </c>
      <c r="Q105" s="56" t="s">
        <v>8</v>
      </c>
      <c r="R105" s="56" t="s">
        <v>210</v>
      </c>
      <c r="S105" s="99" t="s">
        <v>235</v>
      </c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</row>
    <row r="106" spans="1:35" ht="15.75" thickBot="1" x14ac:dyDescent="0.3">
      <c r="A106" s="75"/>
      <c r="B106" s="150" t="s">
        <v>586</v>
      </c>
      <c r="C106" s="75" t="s">
        <v>586</v>
      </c>
      <c r="D106" s="75" t="s">
        <v>586</v>
      </c>
      <c r="E106" s="75" t="s">
        <v>586</v>
      </c>
      <c r="F106" s="276" t="s">
        <v>586</v>
      </c>
      <c r="G106" s="75" t="s">
        <v>586</v>
      </c>
      <c r="H106" s="75" t="s">
        <v>586</v>
      </c>
      <c r="I106" s="75" t="s">
        <v>586</v>
      </c>
      <c r="J106" s="75" t="s">
        <v>586</v>
      </c>
      <c r="K106" s="75" t="s">
        <v>586</v>
      </c>
      <c r="L106" s="75" t="s">
        <v>586</v>
      </c>
      <c r="M106" s="75" t="s">
        <v>586</v>
      </c>
      <c r="N106" s="75" t="s">
        <v>586</v>
      </c>
      <c r="O106" s="75" t="s">
        <v>586</v>
      </c>
      <c r="P106" s="75" t="s">
        <v>586</v>
      </c>
      <c r="Q106" s="75" t="s">
        <v>586</v>
      </c>
      <c r="R106" s="75" t="s">
        <v>586</v>
      </c>
      <c r="S106" s="75" t="s">
        <v>586</v>
      </c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</row>
    <row r="107" spans="1:35" ht="100.15" customHeight="1" x14ac:dyDescent="0.25">
      <c r="A107" s="608" t="s">
        <v>361</v>
      </c>
      <c r="B107" s="327" t="s">
        <v>13</v>
      </c>
      <c r="C107" s="328" t="s">
        <v>14</v>
      </c>
      <c r="D107" s="328" t="s">
        <v>339</v>
      </c>
      <c r="E107" s="329" t="s">
        <v>469</v>
      </c>
      <c r="F107" s="330" t="s">
        <v>470</v>
      </c>
      <c r="G107" s="328" t="s">
        <v>471</v>
      </c>
      <c r="H107" s="328" t="s">
        <v>340</v>
      </c>
      <c r="I107" s="328" t="s">
        <v>473</v>
      </c>
      <c r="J107" s="328" t="s">
        <v>472</v>
      </c>
      <c r="K107" s="331" t="s">
        <v>312</v>
      </c>
      <c r="L107" s="331" t="s">
        <v>341</v>
      </c>
      <c r="M107" s="328" t="s">
        <v>25</v>
      </c>
      <c r="N107" s="328" t="s">
        <v>15</v>
      </c>
      <c r="O107" s="328" t="s">
        <v>474</v>
      </c>
      <c r="P107" s="328" t="s">
        <v>342</v>
      </c>
      <c r="Q107" s="328" t="s">
        <v>15</v>
      </c>
      <c r="R107" s="328" t="s">
        <v>343</v>
      </c>
      <c r="S107" s="332" t="s">
        <v>228</v>
      </c>
    </row>
    <row r="108" spans="1:35" ht="19.899999999999999" customHeight="1" x14ac:dyDescent="0.25">
      <c r="A108" s="609"/>
      <c r="B108" s="158">
        <v>1</v>
      </c>
      <c r="C108" s="102" t="s">
        <v>47</v>
      </c>
      <c r="D108" s="103" t="s">
        <v>344</v>
      </c>
      <c r="E108" s="104" t="s">
        <v>345</v>
      </c>
      <c r="F108" s="298" t="s">
        <v>346</v>
      </c>
      <c r="G108" s="103" t="s">
        <v>347</v>
      </c>
      <c r="H108" s="103" t="s">
        <v>348</v>
      </c>
      <c r="I108" s="103" t="s">
        <v>349</v>
      </c>
      <c r="J108" s="103" t="s">
        <v>350</v>
      </c>
      <c r="K108" s="105" t="s">
        <v>351</v>
      </c>
      <c r="L108" s="105" t="s">
        <v>352</v>
      </c>
      <c r="M108" s="103" t="s">
        <v>353</v>
      </c>
      <c r="N108" s="103" t="s">
        <v>354</v>
      </c>
      <c r="O108" s="103" t="s">
        <v>355</v>
      </c>
      <c r="P108" s="103" t="s">
        <v>356</v>
      </c>
      <c r="Q108" s="103" t="s">
        <v>357</v>
      </c>
      <c r="R108" s="103" t="s">
        <v>358</v>
      </c>
      <c r="S108" s="333" t="s">
        <v>233</v>
      </c>
    </row>
    <row r="109" spans="1:35" outlineLevel="1" x14ac:dyDescent="0.25">
      <c r="A109" s="609"/>
      <c r="B109" s="158">
        <v>1</v>
      </c>
      <c r="C109" s="101">
        <v>9</v>
      </c>
      <c r="D109" s="101">
        <v>3</v>
      </c>
      <c r="E109" s="101">
        <v>4</v>
      </c>
      <c r="F109" s="299">
        <v>4</v>
      </c>
      <c r="G109" s="101">
        <v>3</v>
      </c>
      <c r="H109" s="101">
        <v>9</v>
      </c>
      <c r="I109" s="101">
        <v>9</v>
      </c>
      <c r="J109" s="101">
        <v>9</v>
      </c>
      <c r="K109" s="107">
        <v>3</v>
      </c>
      <c r="L109" s="107">
        <v>1</v>
      </c>
      <c r="M109" s="101">
        <v>1</v>
      </c>
      <c r="N109" s="101">
        <v>4</v>
      </c>
      <c r="O109" s="101">
        <v>12</v>
      </c>
      <c r="P109" s="101">
        <v>12</v>
      </c>
      <c r="Q109" s="103">
        <v>3</v>
      </c>
      <c r="R109" s="101">
        <v>9</v>
      </c>
      <c r="S109" s="334">
        <v>32</v>
      </c>
    </row>
    <row r="110" spans="1:35" outlineLevel="1" x14ac:dyDescent="0.25">
      <c r="A110" s="609"/>
      <c r="B110" s="158" t="s">
        <v>1</v>
      </c>
      <c r="C110" s="101" t="s">
        <v>1</v>
      </c>
      <c r="D110" s="197" t="s">
        <v>1</v>
      </c>
      <c r="E110" s="106" t="s">
        <v>1</v>
      </c>
      <c r="F110" s="299" t="s">
        <v>1</v>
      </c>
      <c r="G110" s="101" t="s">
        <v>1</v>
      </c>
      <c r="H110" s="101" t="s">
        <v>1</v>
      </c>
      <c r="I110" s="101" t="s">
        <v>1</v>
      </c>
      <c r="J110" s="101" t="s">
        <v>1</v>
      </c>
      <c r="K110" s="108" t="s">
        <v>1</v>
      </c>
      <c r="L110" s="108" t="s">
        <v>69</v>
      </c>
      <c r="M110" s="101" t="s">
        <v>69</v>
      </c>
      <c r="N110" s="101" t="s">
        <v>69</v>
      </c>
      <c r="O110" s="101" t="s">
        <v>69</v>
      </c>
      <c r="P110" s="101" t="s">
        <v>1</v>
      </c>
      <c r="Q110" s="101" t="s">
        <v>69</v>
      </c>
      <c r="R110" s="101" t="s">
        <v>1</v>
      </c>
      <c r="S110" s="334" t="s">
        <v>1</v>
      </c>
    </row>
    <row r="111" spans="1:35" outlineLevel="1" x14ac:dyDescent="0.25">
      <c r="A111" s="609"/>
      <c r="B111" s="158" t="s">
        <v>0</v>
      </c>
      <c r="C111" s="101" t="s">
        <v>0</v>
      </c>
      <c r="D111" s="101" t="s">
        <v>0</v>
      </c>
      <c r="E111" s="106" t="s">
        <v>0</v>
      </c>
      <c r="F111" s="299" t="s">
        <v>0</v>
      </c>
      <c r="G111" s="101" t="s">
        <v>0</v>
      </c>
      <c r="H111" s="101" t="s">
        <v>0</v>
      </c>
      <c r="I111" s="101" t="s">
        <v>0</v>
      </c>
      <c r="J111" s="101" t="s">
        <v>0</v>
      </c>
      <c r="K111" s="108" t="s">
        <v>0</v>
      </c>
      <c r="L111" s="108" t="s">
        <v>4</v>
      </c>
      <c r="M111" s="101" t="s">
        <v>4</v>
      </c>
      <c r="N111" s="101" t="s">
        <v>4</v>
      </c>
      <c r="O111" s="101" t="s">
        <v>4</v>
      </c>
      <c r="P111" s="101" t="s">
        <v>4</v>
      </c>
      <c r="Q111" s="101" t="s">
        <v>4</v>
      </c>
      <c r="R111" s="101" t="s">
        <v>4</v>
      </c>
      <c r="S111" s="334" t="s">
        <v>0</v>
      </c>
    </row>
    <row r="112" spans="1:35" s="163" customFormat="1" ht="30" customHeight="1" thickBot="1" x14ac:dyDescent="0.3">
      <c r="A112" s="610"/>
      <c r="B112" s="183">
        <v>6</v>
      </c>
      <c r="C112" s="335" t="s">
        <v>544</v>
      </c>
      <c r="D112" s="185" t="s">
        <v>195</v>
      </c>
      <c r="E112" s="336" t="s">
        <v>682</v>
      </c>
      <c r="F112" s="337" t="s">
        <v>521</v>
      </c>
      <c r="G112" s="185" t="s">
        <v>195</v>
      </c>
      <c r="H112" s="184" t="s">
        <v>745</v>
      </c>
      <c r="I112" s="184" t="s">
        <v>746</v>
      </c>
      <c r="J112" s="184" t="s">
        <v>209</v>
      </c>
      <c r="K112" s="184" t="s">
        <v>195</v>
      </c>
      <c r="L112" s="186" t="s">
        <v>8</v>
      </c>
      <c r="M112" s="186" t="s">
        <v>8</v>
      </c>
      <c r="N112" s="186" t="s">
        <v>387</v>
      </c>
      <c r="O112" s="186" t="s">
        <v>941</v>
      </c>
      <c r="P112" s="186" t="s">
        <v>388</v>
      </c>
      <c r="Q112" s="186" t="s">
        <v>9</v>
      </c>
      <c r="R112" s="186" t="s">
        <v>389</v>
      </c>
      <c r="S112" s="187" t="s">
        <v>235</v>
      </c>
    </row>
    <row r="113" spans="1:35" ht="9.75" customHeight="1" thickBot="1" x14ac:dyDescent="0.3">
      <c r="B113" s="150" t="s">
        <v>586</v>
      </c>
      <c r="C113" s="150" t="s">
        <v>586</v>
      </c>
      <c r="D113" s="150" t="s">
        <v>586</v>
      </c>
      <c r="E113" s="150" t="s">
        <v>586</v>
      </c>
      <c r="F113" s="276" t="s">
        <v>586</v>
      </c>
      <c r="G113" s="150" t="s">
        <v>586</v>
      </c>
      <c r="H113" s="150" t="s">
        <v>586</v>
      </c>
      <c r="I113" s="150" t="s">
        <v>586</v>
      </c>
      <c r="J113" s="150" t="s">
        <v>586</v>
      </c>
      <c r="K113" s="150" t="s">
        <v>586</v>
      </c>
      <c r="L113" s="150" t="s">
        <v>586</v>
      </c>
      <c r="M113" s="150" t="s">
        <v>586</v>
      </c>
      <c r="N113" s="150" t="s">
        <v>586</v>
      </c>
      <c r="O113" s="150" t="s">
        <v>586</v>
      </c>
      <c r="P113" s="150" t="s">
        <v>586</v>
      </c>
      <c r="Q113" s="150" t="s">
        <v>586</v>
      </c>
      <c r="R113" s="150" t="s">
        <v>586</v>
      </c>
      <c r="S113" s="150" t="s">
        <v>586</v>
      </c>
    </row>
    <row r="114" spans="1:35" ht="100.15" customHeight="1" x14ac:dyDescent="0.25">
      <c r="A114" s="611" t="s">
        <v>371</v>
      </c>
      <c r="B114" s="159" t="s">
        <v>13</v>
      </c>
      <c r="C114" s="117" t="s">
        <v>363</v>
      </c>
      <c r="D114" s="117" t="s">
        <v>364</v>
      </c>
      <c r="E114" s="118" t="s">
        <v>15</v>
      </c>
      <c r="F114" s="300" t="s">
        <v>283</v>
      </c>
      <c r="G114" s="117" t="s">
        <v>365</v>
      </c>
      <c r="H114" s="117" t="s">
        <v>15</v>
      </c>
      <c r="I114" s="117" t="s">
        <v>286</v>
      </c>
      <c r="J114" s="117" t="s">
        <v>287</v>
      </c>
      <c r="K114" s="119" t="s">
        <v>366</v>
      </c>
      <c r="L114" s="119" t="s">
        <v>15</v>
      </c>
      <c r="M114" s="117" t="s">
        <v>367</v>
      </c>
      <c r="N114" s="120" t="s">
        <v>15</v>
      </c>
    </row>
    <row r="115" spans="1:35" ht="19.899999999999999" customHeight="1" x14ac:dyDescent="0.25">
      <c r="A115" s="612"/>
      <c r="B115" s="198" t="s">
        <v>293</v>
      </c>
      <c r="C115" s="110" t="s">
        <v>294</v>
      </c>
      <c r="D115" s="111" t="s">
        <v>295</v>
      </c>
      <c r="E115" s="112" t="s">
        <v>296</v>
      </c>
      <c r="F115" s="301" t="s">
        <v>297</v>
      </c>
      <c r="G115" s="111" t="s">
        <v>298</v>
      </c>
      <c r="H115" s="111" t="s">
        <v>299</v>
      </c>
      <c r="I115" s="111" t="s">
        <v>300</v>
      </c>
      <c r="J115" s="111" t="s">
        <v>301</v>
      </c>
      <c r="K115" s="113" t="s">
        <v>368</v>
      </c>
      <c r="L115" s="113" t="s">
        <v>369</v>
      </c>
      <c r="M115" s="111" t="s">
        <v>307</v>
      </c>
      <c r="N115" s="121" t="s">
        <v>370</v>
      </c>
    </row>
    <row r="116" spans="1:35" outlineLevel="1" x14ac:dyDescent="0.25">
      <c r="A116" s="612"/>
      <c r="B116" s="160">
        <v>3</v>
      </c>
      <c r="C116" s="109">
        <v>2</v>
      </c>
      <c r="D116" s="109">
        <v>14</v>
      </c>
      <c r="E116" s="109">
        <v>6</v>
      </c>
      <c r="F116" s="302">
        <v>2</v>
      </c>
      <c r="G116" s="109">
        <v>14</v>
      </c>
      <c r="H116" s="109">
        <v>6</v>
      </c>
      <c r="I116" s="109">
        <v>2</v>
      </c>
      <c r="J116" s="109">
        <v>6</v>
      </c>
      <c r="K116" s="115">
        <v>8</v>
      </c>
      <c r="L116" s="115">
        <v>19</v>
      </c>
      <c r="M116" s="109">
        <v>3</v>
      </c>
      <c r="N116" s="122">
        <v>43</v>
      </c>
    </row>
    <row r="117" spans="1:35" outlineLevel="1" x14ac:dyDescent="0.25">
      <c r="A117" s="612"/>
      <c r="B117" s="160" t="s">
        <v>1</v>
      </c>
      <c r="C117" s="109" t="s">
        <v>69</v>
      </c>
      <c r="D117" s="109" t="s">
        <v>1</v>
      </c>
      <c r="E117" s="114" t="s">
        <v>69</v>
      </c>
      <c r="F117" s="302" t="s">
        <v>69</v>
      </c>
      <c r="G117" s="109" t="s">
        <v>1</v>
      </c>
      <c r="H117" s="109" t="s">
        <v>69</v>
      </c>
      <c r="I117" s="109" t="s">
        <v>69</v>
      </c>
      <c r="J117" s="109" t="s">
        <v>69</v>
      </c>
      <c r="K117" s="116" t="s">
        <v>1</v>
      </c>
      <c r="L117" s="116" t="s">
        <v>69</v>
      </c>
      <c r="M117" s="109" t="s">
        <v>1</v>
      </c>
      <c r="N117" s="122" t="s">
        <v>69</v>
      </c>
    </row>
    <row r="118" spans="1:35" outlineLevel="1" x14ac:dyDescent="0.25">
      <c r="A118" s="612"/>
      <c r="B118" s="160" t="s">
        <v>0</v>
      </c>
      <c r="C118" s="109" t="s">
        <v>0</v>
      </c>
      <c r="D118" s="109" t="s">
        <v>0</v>
      </c>
      <c r="E118" s="114" t="s">
        <v>4</v>
      </c>
      <c r="F118" s="302" t="s">
        <v>0</v>
      </c>
      <c r="G118" s="109" t="s">
        <v>0</v>
      </c>
      <c r="H118" s="109" t="s">
        <v>4</v>
      </c>
      <c r="I118" s="109" t="s">
        <v>0</v>
      </c>
      <c r="J118" s="109" t="s">
        <v>0</v>
      </c>
      <c r="K118" s="116" t="s">
        <v>0</v>
      </c>
      <c r="L118" s="116" t="s">
        <v>4</v>
      </c>
      <c r="M118" s="109" t="s">
        <v>0</v>
      </c>
      <c r="N118" s="122" t="s">
        <v>4</v>
      </c>
    </row>
    <row r="119" spans="1:35" ht="30" customHeight="1" thickBot="1" x14ac:dyDescent="0.3">
      <c r="A119" s="613"/>
      <c r="B119" s="183">
        <v>999</v>
      </c>
      <c r="C119" s="186" t="s">
        <v>373</v>
      </c>
      <c r="D119" s="174" t="s">
        <v>584</v>
      </c>
      <c r="E119" s="186" t="s">
        <v>374</v>
      </c>
      <c r="F119" s="303" t="s">
        <v>375</v>
      </c>
      <c r="G119" s="174" t="s">
        <v>585</v>
      </c>
      <c r="H119" s="186" t="s">
        <v>374</v>
      </c>
      <c r="I119" s="186" t="s">
        <v>376</v>
      </c>
      <c r="J119" s="184" t="s">
        <v>377</v>
      </c>
      <c r="K119" s="497" t="s">
        <v>909</v>
      </c>
      <c r="L119" s="186" t="s">
        <v>390</v>
      </c>
      <c r="M119" s="185" t="s">
        <v>195</v>
      </c>
      <c r="N119" s="187" t="s">
        <v>391</v>
      </c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</row>
    <row r="120" spans="1:35" x14ac:dyDescent="0.25">
      <c r="B120" s="150" t="s">
        <v>586</v>
      </c>
      <c r="C120" s="150" t="s">
        <v>586</v>
      </c>
      <c r="D120" s="150" t="s">
        <v>586</v>
      </c>
      <c r="E120" s="150" t="s">
        <v>586</v>
      </c>
      <c r="F120" s="276" t="s">
        <v>586</v>
      </c>
      <c r="G120" s="150" t="s">
        <v>586</v>
      </c>
      <c r="H120" s="150" t="s">
        <v>586</v>
      </c>
      <c r="I120" s="150" t="s">
        <v>586</v>
      </c>
      <c r="J120" s="150" t="s">
        <v>586</v>
      </c>
      <c r="K120" s="150" t="s">
        <v>586</v>
      </c>
      <c r="L120" s="150" t="s">
        <v>586</v>
      </c>
      <c r="M120" s="150" t="s">
        <v>586</v>
      </c>
      <c r="N120" s="150" t="s">
        <v>586</v>
      </c>
    </row>
  </sheetData>
  <sheetProtection algorithmName="SHA-512" hashValue="zXfOXQ+2esecsdDrUsZ6nRpGBooTYoGYfscip8wlkJybfO8fbIR9hOswuwPiCBd0sf9S8Sj52xO8K17npGNfGA==" saltValue="fLpokM7uc6VJUMLvjCRsJA==" spinCount="100000" sheet="1" sort="0"/>
  <mergeCells count="24">
    <mergeCell ref="A107:A112"/>
    <mergeCell ref="A114:A119"/>
    <mergeCell ref="B1:AI1"/>
    <mergeCell ref="A3:C3"/>
    <mergeCell ref="D3:F3"/>
    <mergeCell ref="G3:H3"/>
    <mergeCell ref="I3:X3"/>
    <mergeCell ref="A79:A84"/>
    <mergeCell ref="A86:A91"/>
    <mergeCell ref="A58:A63"/>
    <mergeCell ref="A65:A70"/>
    <mergeCell ref="A72:A77"/>
    <mergeCell ref="A23:A28"/>
    <mergeCell ref="A30:A35"/>
    <mergeCell ref="A37:A42"/>
    <mergeCell ref="A44:A49"/>
    <mergeCell ref="Z3:AE3"/>
    <mergeCell ref="AG3:AI3"/>
    <mergeCell ref="A7:AI7"/>
    <mergeCell ref="A93:A98"/>
    <mergeCell ref="A100:A105"/>
    <mergeCell ref="A51:A56"/>
    <mergeCell ref="A9:A14"/>
    <mergeCell ref="A16:A21"/>
  </mergeCells>
  <conditionalFormatting sqref="B28">
    <cfRule type="expression" dxfId="21" priority="2">
      <formula>"B17&lt;&gt;0"</formula>
    </cfRule>
  </conditionalFormatting>
  <conditionalFormatting sqref="F28">
    <cfRule type="expression" dxfId="20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tabColor theme="8" tint="-0.499984740745262"/>
    <pageSetUpPr fitToPage="1"/>
  </sheetPr>
  <dimension ref="A1:AI150"/>
  <sheetViews>
    <sheetView view="pageBreakPreview" topLeftCell="B131" zoomScale="85" zoomScaleNormal="25" zoomScaleSheetLayoutView="85" workbookViewId="0">
      <selection activeCell="O142" sqref="O142"/>
    </sheetView>
  </sheetViews>
  <sheetFormatPr baseColWidth="10" defaultColWidth="11.42578125" defaultRowHeight="15" outlineLevelRow="2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7" t="s">
        <v>401</v>
      </c>
      <c r="B4" s="348" t="s">
        <v>402</v>
      </c>
      <c r="C4" s="349" t="s">
        <v>406</v>
      </c>
      <c r="D4" s="347" t="s">
        <v>265</v>
      </c>
      <c r="E4" s="348" t="s">
        <v>408</v>
      </c>
      <c r="F4" s="349" t="s">
        <v>409</v>
      </c>
      <c r="G4" s="347" t="s">
        <v>415</v>
      </c>
      <c r="H4" s="349" t="s">
        <v>413</v>
      </c>
      <c r="I4" s="350" t="s">
        <v>434</v>
      </c>
      <c r="J4" s="351" t="s">
        <v>435</v>
      </c>
      <c r="K4" s="351" t="s">
        <v>436</v>
      </c>
      <c r="L4" s="351" t="s">
        <v>437</v>
      </c>
      <c r="M4" s="351" t="s">
        <v>528</v>
      </c>
      <c r="N4" s="351" t="s">
        <v>531</v>
      </c>
      <c r="O4" s="351" t="s">
        <v>529</v>
      </c>
      <c r="P4" s="351" t="s">
        <v>530</v>
      </c>
      <c r="Q4" s="351" t="s">
        <v>398</v>
      </c>
      <c r="R4" s="351" t="s">
        <v>399</v>
      </c>
      <c r="S4" s="351" t="s">
        <v>276</v>
      </c>
      <c r="T4" s="351" t="s">
        <v>404</v>
      </c>
      <c r="U4" s="351" t="s">
        <v>510</v>
      </c>
      <c r="V4" s="351" t="s">
        <v>405</v>
      </c>
      <c r="W4" s="351" t="s">
        <v>547</v>
      </c>
      <c r="X4" s="352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631" t="str">
        <f>'LISTE DES CAS ANNEXE 30'!A32</f>
        <v>CONVENTION CAS 15</v>
      </c>
      <c r="B5" s="633">
        <f>'LISTE DES CAS ANNEXE 30'!B32</f>
        <v>3</v>
      </c>
      <c r="C5" s="380">
        <f>'LISTE DES CAS ANNEXE 30'!C32</f>
        <v>1</v>
      </c>
      <c r="D5" s="646" t="str">
        <f>'LISTE DES CAS ANNEXE 30'!D32</f>
        <v>MALADIE</v>
      </c>
      <c r="E5" s="644">
        <f>'LISTE DES CAS ANNEXE 30'!E32</f>
        <v>0.55000000000000004</v>
      </c>
      <c r="F5" s="397" t="str">
        <f>'LISTE DES CAS ANNEXE 30'!H32</f>
        <v>OUI</v>
      </c>
      <c r="G5" s="383" t="str">
        <f>'LISTE DES CAS ANNEXE 30'!I32</f>
        <v>Sans objet</v>
      </c>
      <c r="H5" s="639" t="str">
        <f>'LISTE DES CAS ANNEXE 30'!J32</f>
        <v>15 - TP AMO &amp; TP AMC</v>
      </c>
      <c r="I5" s="390" t="str">
        <f>'LISTE DES CAS ANNEXE 30'!K32</f>
        <v>42-SAINT-ETIENNE</v>
      </c>
      <c r="J5" s="391" t="str">
        <f>'LISTE DES CAS ANNEXE 30'!L32</f>
        <v>42-MONTBRISON</v>
      </c>
      <c r="K5" s="392" t="str">
        <f>'LISTE DES CAS ANNEXE 30'!M32</f>
        <v>01/12/2025 à 10H00</v>
      </c>
      <c r="L5" s="392" t="str">
        <f>'LISTE DES CAS ANNEXE 30'!N32</f>
        <v>01/12/2025 à 10h50</v>
      </c>
      <c r="M5" s="393" t="str">
        <f>'LISTE DES CAS ANNEXE 30'!O32</f>
        <v>AA-001-BB</v>
      </c>
      <c r="N5" s="393" t="str">
        <f>'LISTE DES CAS ANNEXE 30'!P32</f>
        <v>42218 
(SAINT-ETIENNE)</v>
      </c>
      <c r="O5" s="393" t="str">
        <f>'LISTE DES CAS ANNEXE 30'!Q32</f>
        <v>042</v>
      </c>
      <c r="P5" s="393" t="str">
        <f>'LISTE DES CAS ANNEXE 30'!R32</f>
        <v>422 - CPAM DE LA LOIRE</v>
      </c>
      <c r="Q5" s="394">
        <f>'LISTE DES CAS ANNEXE 30'!S32</f>
        <v>40</v>
      </c>
      <c r="R5" s="395" t="str">
        <f>'LISTE DES CAS ANNEXE 30'!T32</f>
        <v>JOUR</v>
      </c>
      <c r="S5" s="396">
        <f>'LISTE DES CAS ANNEXE 30'!U32</f>
        <v>1</v>
      </c>
      <c r="T5" s="427" t="str">
        <f>'LISTE DES CAS ANNEXE 30'!V32</f>
        <v>OUI 
(TYPES 1 &amp; 2)</v>
      </c>
      <c r="U5" s="392" t="str">
        <f>'LISTE DES CAS ANNEXE 30'!W32</f>
        <v>NON</v>
      </c>
      <c r="V5" s="427" t="str">
        <f>'LISTE DES CAS ANNEXE 30'!X32</f>
        <v>OUI</v>
      </c>
      <c r="W5" s="392" t="str">
        <f>'LISTE DES CAS ANNEXE 30'!Y32</f>
        <v>NON</v>
      </c>
      <c r="X5" s="397" t="str">
        <f>'LISTE DES CAS ANNEXE 30'!Z32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58.5" customHeight="1" x14ac:dyDescent="0.25">
      <c r="A6" s="647"/>
      <c r="B6" s="645"/>
      <c r="C6" s="410">
        <f>'LISTE DES CAS ANNEXE 30'!C33</f>
        <v>2</v>
      </c>
      <c r="D6" s="647"/>
      <c r="E6" s="645"/>
      <c r="F6" s="408" t="str">
        <f>'LISTE DES CAS ANNEXE 30'!H33</f>
        <v>OUI</v>
      </c>
      <c r="G6" s="406" t="str">
        <f>'LISTE DES CAS ANNEXE 30'!I33</f>
        <v>NON</v>
      </c>
      <c r="H6" s="643"/>
      <c r="I6" s="409" t="str">
        <f>'LISTE DES CAS ANNEXE 30'!K33</f>
        <v>42-MONTBRISON</v>
      </c>
      <c r="J6" s="385" t="str">
        <f>'LISTE DES CAS ANNEXE 30'!L33</f>
        <v>42-SAINT-ETIENNE</v>
      </c>
      <c r="K6" s="382" t="str">
        <f>'LISTE DES CAS ANNEXE 30'!M33</f>
        <v>01/12/2025 à 20H00</v>
      </c>
      <c r="L6" s="382" t="str">
        <f>'LISTE DES CAS ANNEXE 30'!N33</f>
        <v>01/12/2025 à 20h50</v>
      </c>
      <c r="M6" s="386" t="str">
        <f>'LISTE DES CAS ANNEXE 30'!O33</f>
        <v>AA-001-BB</v>
      </c>
      <c r="N6" s="386" t="str">
        <f>'LISTE DES CAS ANNEXE 30'!P33</f>
        <v>42218 
(SAINT-ETIENNE)</v>
      </c>
      <c r="O6" s="386" t="str">
        <f>'LISTE DES CAS ANNEXE 30'!Q33</f>
        <v>042</v>
      </c>
      <c r="P6" s="386" t="str">
        <f>'LISTE DES CAS ANNEXE 30'!R33</f>
        <v>422 - CPAM DE LA LOIRE</v>
      </c>
      <c r="Q6" s="387">
        <f>'LISTE DES CAS ANNEXE 30'!S33</f>
        <v>40</v>
      </c>
      <c r="R6" s="436" t="str">
        <f>'LISTE DES CAS ANNEXE 30'!T33</f>
        <v>NUIT</v>
      </c>
      <c r="S6" s="422">
        <f>'LISTE DES CAS ANNEXE 30'!U33</f>
        <v>3</v>
      </c>
      <c r="T6" s="423" t="str">
        <f>'LISTE DES CAS ANNEXE 30'!V33</f>
        <v>OUI 
(TYPES 1 &amp; 2)</v>
      </c>
      <c r="U6" s="382" t="str">
        <f>'LISTE DES CAS ANNEXE 30'!W33</f>
        <v>NON</v>
      </c>
      <c r="V6" s="423" t="str">
        <f>'LISTE DES CAS ANNEXE 30'!X33</f>
        <v>OUI</v>
      </c>
      <c r="W6" s="382" t="str">
        <f>'LISTE DES CAS ANNEXE 30'!Y33</f>
        <v>NON</v>
      </c>
      <c r="X6" s="408" t="str">
        <f>'LISTE DES CAS ANNEXE 30'!Z33</f>
        <v>NON</v>
      </c>
    </row>
    <row r="7" spans="1:35" ht="58.5" customHeight="1" thickBot="1" x14ac:dyDescent="0.3">
      <c r="A7" s="632"/>
      <c r="B7" s="634"/>
      <c r="C7" s="381">
        <f>'LISTE DES CAS ANNEXE 30'!C34</f>
        <v>3</v>
      </c>
      <c r="D7" s="632"/>
      <c r="E7" s="634"/>
      <c r="F7" s="405" t="str">
        <f>'LISTE DES CAS ANNEXE 30'!H34</f>
        <v>OUI</v>
      </c>
      <c r="G7" s="407" t="str">
        <f>'LISTE DES CAS ANNEXE 30'!I34</f>
        <v>NON</v>
      </c>
      <c r="H7" s="640"/>
      <c r="I7" s="398" t="str">
        <f>'LISTE DES CAS ANNEXE 30'!K34</f>
        <v>42-SAINT-ETIENNE</v>
      </c>
      <c r="J7" s="399" t="str">
        <f>'LISTE DES CAS ANNEXE 30'!L34</f>
        <v>42-MONTBRISON</v>
      </c>
      <c r="K7" s="400" t="str">
        <f>'LISTE DES CAS ANNEXE 30'!M34</f>
        <v>25/12/2025 à 10H00</v>
      </c>
      <c r="L7" s="400" t="str">
        <f>'LISTE DES CAS ANNEXE 30'!N34</f>
        <v>25/12/2025 à 10h50</v>
      </c>
      <c r="M7" s="401" t="str">
        <f>'LISTE DES CAS ANNEXE 30'!O34</f>
        <v>AA-001-BB</v>
      </c>
      <c r="N7" s="401" t="str">
        <f>'LISTE DES CAS ANNEXE 30'!P34</f>
        <v>42218 
(SAINT-ETIENNE)</v>
      </c>
      <c r="O7" s="401" t="str">
        <f>'LISTE DES CAS ANNEXE 30'!Q34</f>
        <v>042</v>
      </c>
      <c r="P7" s="401" t="str">
        <f>'LISTE DES CAS ANNEXE 30'!R34</f>
        <v>422 - CPAM DE LA LOIRE</v>
      </c>
      <c r="Q7" s="402">
        <f>'LISTE DES CAS ANNEXE 30'!S34</f>
        <v>40</v>
      </c>
      <c r="R7" s="435" t="str">
        <f>'LISTE DES CAS ANNEXE 30'!T34</f>
        <v>DIM / J FERIE</v>
      </c>
      <c r="S7" s="418">
        <f>'LISTE DES CAS ANNEXE 30'!U34</f>
        <v>4</v>
      </c>
      <c r="T7" s="426" t="str">
        <f>'LISTE DES CAS ANNEXE 30'!V34</f>
        <v>OUI 
(TYPE 1)</v>
      </c>
      <c r="U7" s="400" t="str">
        <f>'LISTE DES CAS ANNEXE 30'!W34</f>
        <v>NON</v>
      </c>
      <c r="V7" s="426" t="str">
        <f>'LISTE DES CAS ANNEXE 30'!X34</f>
        <v>OUI</v>
      </c>
      <c r="W7" s="426" t="str">
        <f>'LISTE DES CAS ANNEXE 30'!Y34</f>
        <v>OUI</v>
      </c>
      <c r="X7" s="405" t="str">
        <f>'LISTE DES CAS ANNEXE 30'!Z34</f>
        <v>NON</v>
      </c>
    </row>
    <row r="8" spans="1:35" ht="15.75" thickBot="1" x14ac:dyDescent="0.3">
      <c r="C8" s="78"/>
    </row>
    <row r="9" spans="1:35" ht="80.099999999999994" customHeight="1" thickBot="1" x14ac:dyDescent="0.3">
      <c r="A9" s="597" t="s">
        <v>819</v>
      </c>
      <c r="B9" s="601"/>
      <c r="C9" s="601"/>
      <c r="D9" s="601"/>
      <c r="E9" s="601"/>
      <c r="F9" s="601"/>
      <c r="G9" s="601"/>
      <c r="H9" s="601"/>
      <c r="I9" s="601"/>
      <c r="J9" s="601"/>
      <c r="K9" s="601"/>
      <c r="L9" s="601"/>
      <c r="M9" s="601"/>
      <c r="N9" s="601"/>
      <c r="O9" s="601"/>
      <c r="P9" s="601"/>
      <c r="Q9" s="601"/>
      <c r="R9" s="601"/>
      <c r="S9" s="601"/>
      <c r="T9" s="601"/>
      <c r="U9" s="601"/>
      <c r="V9" s="601"/>
      <c r="W9" s="601"/>
      <c r="X9" s="601"/>
      <c r="Y9" s="599"/>
      <c r="Z9" s="599"/>
      <c r="AA9" s="599"/>
      <c r="AB9" s="599"/>
      <c r="AC9" s="599"/>
      <c r="AD9" s="599"/>
      <c r="AE9" s="599"/>
      <c r="AF9" s="599"/>
      <c r="AG9" s="599"/>
      <c r="AH9" s="599"/>
      <c r="AI9" s="600"/>
    </row>
    <row r="10" spans="1:35" ht="15.75" thickBot="1" x14ac:dyDescent="0.3">
      <c r="C10" s="78"/>
    </row>
    <row r="11" spans="1:35" ht="100.15" customHeight="1" x14ac:dyDescent="0.25">
      <c r="A11" s="623" t="s">
        <v>372</v>
      </c>
      <c r="B11" s="164" t="s">
        <v>13</v>
      </c>
      <c r="C11" s="165" t="s">
        <v>281</v>
      </c>
      <c r="D11" s="165" t="s">
        <v>282</v>
      </c>
      <c r="E11" s="165" t="s">
        <v>15</v>
      </c>
      <c r="F11" s="272" t="s">
        <v>283</v>
      </c>
      <c r="G11" s="165" t="s">
        <v>284</v>
      </c>
      <c r="H11" s="165" t="s">
        <v>285</v>
      </c>
      <c r="I11" s="165" t="s">
        <v>286</v>
      </c>
      <c r="J11" s="165" t="s">
        <v>287</v>
      </c>
      <c r="K11" s="165" t="s">
        <v>288</v>
      </c>
      <c r="L11" s="166" t="s">
        <v>289</v>
      </c>
      <c r="M11" s="166" t="s">
        <v>290</v>
      </c>
      <c r="N11" s="165" t="s">
        <v>15</v>
      </c>
      <c r="O11" s="165" t="s">
        <v>15</v>
      </c>
      <c r="P11" s="165" t="s">
        <v>15</v>
      </c>
      <c r="Q11" s="165" t="s">
        <v>15</v>
      </c>
      <c r="R11" s="165" t="s">
        <v>291</v>
      </c>
      <c r="S11" s="165" t="s">
        <v>15</v>
      </c>
      <c r="T11" s="167" t="s">
        <v>292</v>
      </c>
    </row>
    <row r="12" spans="1:35" ht="19.899999999999999" customHeight="1" x14ac:dyDescent="0.25">
      <c r="A12" s="624"/>
      <c r="B12" s="168" t="s">
        <v>293</v>
      </c>
      <c r="C12" s="123" t="s">
        <v>294</v>
      </c>
      <c r="D12" s="123" t="s">
        <v>295</v>
      </c>
      <c r="E12" s="124" t="s">
        <v>296</v>
      </c>
      <c r="F12" s="273" t="s">
        <v>297</v>
      </c>
      <c r="G12" s="124" t="s">
        <v>298</v>
      </c>
      <c r="H12" s="124" t="s">
        <v>299</v>
      </c>
      <c r="I12" s="124" t="s">
        <v>300</v>
      </c>
      <c r="J12" s="124" t="s">
        <v>301</v>
      </c>
      <c r="K12" s="124" t="s">
        <v>302</v>
      </c>
      <c r="L12" s="125" t="s">
        <v>303</v>
      </c>
      <c r="M12" s="125" t="s">
        <v>101</v>
      </c>
      <c r="N12" s="124" t="s">
        <v>304</v>
      </c>
      <c r="O12" s="124" t="s">
        <v>255</v>
      </c>
      <c r="P12" s="124" t="s">
        <v>305</v>
      </c>
      <c r="Q12" s="124" t="s">
        <v>306</v>
      </c>
      <c r="R12" s="124" t="s">
        <v>307</v>
      </c>
      <c r="S12" s="124" t="s">
        <v>308</v>
      </c>
      <c r="T12" s="169" t="s">
        <v>309</v>
      </c>
    </row>
    <row r="13" spans="1:35" outlineLevel="1" x14ac:dyDescent="0.25">
      <c r="A13" s="624"/>
      <c r="B13" s="170">
        <v>3</v>
      </c>
      <c r="C13" s="100">
        <v>2</v>
      </c>
      <c r="D13" s="100">
        <v>14</v>
      </c>
      <c r="E13" s="100">
        <v>6</v>
      </c>
      <c r="F13" s="274" t="s">
        <v>204</v>
      </c>
      <c r="G13" s="100">
        <v>14</v>
      </c>
      <c r="H13" s="100">
        <v>6</v>
      </c>
      <c r="I13" s="100">
        <v>2</v>
      </c>
      <c r="J13" s="100">
        <v>6</v>
      </c>
      <c r="K13" s="100">
        <v>6</v>
      </c>
      <c r="L13" s="126">
        <v>4</v>
      </c>
      <c r="M13" s="126">
        <v>2</v>
      </c>
      <c r="N13" s="100">
        <v>1</v>
      </c>
      <c r="O13" s="100">
        <v>1</v>
      </c>
      <c r="P13" s="100">
        <v>3</v>
      </c>
      <c r="Q13" s="100">
        <v>10</v>
      </c>
      <c r="R13" s="100">
        <v>3</v>
      </c>
      <c r="S13" s="100">
        <v>6</v>
      </c>
      <c r="T13" s="171">
        <v>37</v>
      </c>
    </row>
    <row r="14" spans="1:35" outlineLevel="1" x14ac:dyDescent="0.25">
      <c r="A14" s="624"/>
      <c r="B14" s="170" t="s">
        <v>1</v>
      </c>
      <c r="C14" s="100" t="s">
        <v>69</v>
      </c>
      <c r="D14" s="127" t="s">
        <v>1</v>
      </c>
      <c r="E14" s="100" t="s">
        <v>69</v>
      </c>
      <c r="F14" s="274" t="s">
        <v>69</v>
      </c>
      <c r="G14" s="100" t="s">
        <v>1</v>
      </c>
      <c r="H14" s="100" t="s">
        <v>69</v>
      </c>
      <c r="I14" s="100" t="s">
        <v>69</v>
      </c>
      <c r="J14" s="100" t="s">
        <v>69</v>
      </c>
      <c r="K14" s="100" t="s">
        <v>1</v>
      </c>
      <c r="L14" s="128" t="s">
        <v>69</v>
      </c>
      <c r="M14" s="128" t="s">
        <v>69</v>
      </c>
      <c r="N14" s="100" t="s">
        <v>69</v>
      </c>
      <c r="O14" s="100" t="s">
        <v>69</v>
      </c>
      <c r="P14" s="100" t="s">
        <v>69</v>
      </c>
      <c r="Q14" s="100" t="s">
        <v>69</v>
      </c>
      <c r="R14" s="100" t="s">
        <v>1</v>
      </c>
      <c r="S14" s="100" t="s">
        <v>69</v>
      </c>
      <c r="T14" s="171" t="s">
        <v>1</v>
      </c>
    </row>
    <row r="15" spans="1:35" outlineLevel="1" x14ac:dyDescent="0.25">
      <c r="A15" s="624"/>
      <c r="B15" s="170" t="s">
        <v>0</v>
      </c>
      <c r="C15" s="100" t="s">
        <v>0</v>
      </c>
      <c r="D15" s="100" t="s">
        <v>0</v>
      </c>
      <c r="E15" s="100" t="s">
        <v>4</v>
      </c>
      <c r="F15" s="274" t="s">
        <v>0</v>
      </c>
      <c r="G15" s="100" t="s">
        <v>0</v>
      </c>
      <c r="H15" s="100" t="s">
        <v>0</v>
      </c>
      <c r="I15" s="100" t="s">
        <v>0</v>
      </c>
      <c r="J15" s="100" t="s">
        <v>0</v>
      </c>
      <c r="K15" s="100" t="s">
        <v>0</v>
      </c>
      <c r="L15" s="128" t="s">
        <v>0</v>
      </c>
      <c r="M15" s="128" t="s">
        <v>0</v>
      </c>
      <c r="N15" s="100" t="s">
        <v>4</v>
      </c>
      <c r="O15" s="100" t="s">
        <v>4</v>
      </c>
      <c r="P15" s="100" t="s">
        <v>4</v>
      </c>
      <c r="Q15" s="100" t="s">
        <v>4</v>
      </c>
      <c r="R15" s="100" t="s">
        <v>4</v>
      </c>
      <c r="S15" s="100" t="s">
        <v>4</v>
      </c>
      <c r="T15" s="171" t="s">
        <v>0</v>
      </c>
    </row>
    <row r="16" spans="1:35" s="163" customFormat="1" ht="30" customHeight="1" thickBot="1" x14ac:dyDescent="0.3">
      <c r="A16" s="625"/>
      <c r="B16" s="172" t="s">
        <v>6</v>
      </c>
      <c r="C16" s="173" t="s">
        <v>373</v>
      </c>
      <c r="D16" s="174" t="s">
        <v>584</v>
      </c>
      <c r="E16" s="175" t="s">
        <v>374</v>
      </c>
      <c r="F16" s="275" t="s">
        <v>375</v>
      </c>
      <c r="G16" s="174" t="s">
        <v>585</v>
      </c>
      <c r="H16" s="269" t="s">
        <v>482</v>
      </c>
      <c r="I16" s="176" t="s">
        <v>376</v>
      </c>
      <c r="J16" s="176" t="s">
        <v>377</v>
      </c>
      <c r="K16" s="55" t="s">
        <v>482</v>
      </c>
      <c r="L16" s="176" t="s">
        <v>382</v>
      </c>
      <c r="M16" s="176" t="s">
        <v>379</v>
      </c>
      <c r="N16" s="175" t="s">
        <v>8</v>
      </c>
      <c r="O16" s="175" t="s">
        <v>8</v>
      </c>
      <c r="P16" s="175" t="s">
        <v>9</v>
      </c>
      <c r="Q16" s="175" t="s">
        <v>380</v>
      </c>
      <c r="R16" s="175" t="s">
        <v>511</v>
      </c>
      <c r="S16" s="175" t="s">
        <v>374</v>
      </c>
      <c r="T16" s="177" t="s">
        <v>381</v>
      </c>
    </row>
    <row r="17" spans="1:35" ht="15.75" thickBot="1" x14ac:dyDescent="0.3">
      <c r="B17" s="150" t="s">
        <v>586</v>
      </c>
      <c r="C17" s="150" t="s">
        <v>586</v>
      </c>
      <c r="D17" s="150" t="s">
        <v>586</v>
      </c>
      <c r="E17" s="150" t="s">
        <v>586</v>
      </c>
      <c r="F17" s="276" t="s">
        <v>586</v>
      </c>
      <c r="G17" s="150" t="s">
        <v>586</v>
      </c>
      <c r="H17" s="150" t="s">
        <v>586</v>
      </c>
      <c r="I17" s="150" t="s">
        <v>586</v>
      </c>
      <c r="J17" s="150" t="s">
        <v>586</v>
      </c>
      <c r="K17" s="150" t="s">
        <v>586</v>
      </c>
      <c r="L17" s="150" t="s">
        <v>586</v>
      </c>
      <c r="M17" s="150" t="s">
        <v>586</v>
      </c>
      <c r="N17" s="150" t="s">
        <v>586</v>
      </c>
      <c r="O17" s="150" t="s">
        <v>586</v>
      </c>
      <c r="P17" s="150" t="s">
        <v>586</v>
      </c>
      <c r="Q17" s="150" t="s">
        <v>586</v>
      </c>
      <c r="R17" s="150" t="s">
        <v>586</v>
      </c>
      <c r="S17" s="150" t="s">
        <v>586</v>
      </c>
      <c r="T17" s="150" t="s">
        <v>586</v>
      </c>
    </row>
    <row r="18" spans="1:35" ht="100.15" customHeight="1" x14ac:dyDescent="0.25">
      <c r="A18" s="626" t="s">
        <v>362</v>
      </c>
      <c r="B18" s="145" t="s">
        <v>13</v>
      </c>
      <c r="C18" s="129" t="s">
        <v>14</v>
      </c>
      <c r="D18" s="129" t="s">
        <v>310</v>
      </c>
      <c r="E18" s="130" t="s">
        <v>311</v>
      </c>
      <c r="F18" s="277" t="s">
        <v>312</v>
      </c>
      <c r="G18" s="129" t="s">
        <v>313</v>
      </c>
      <c r="H18" s="129" t="s">
        <v>314</v>
      </c>
      <c r="I18" s="129" t="s">
        <v>315</v>
      </c>
      <c r="J18" s="129" t="s">
        <v>316</v>
      </c>
      <c r="K18" s="131" t="s">
        <v>317</v>
      </c>
      <c r="L18" s="131" t="s">
        <v>318</v>
      </c>
      <c r="M18" s="129" t="s">
        <v>114</v>
      </c>
      <c r="N18" s="129" t="s">
        <v>319</v>
      </c>
      <c r="O18" s="129" t="s">
        <v>320</v>
      </c>
      <c r="P18" s="129" t="s">
        <v>321</v>
      </c>
      <c r="Q18" s="129" t="s">
        <v>322</v>
      </c>
      <c r="R18" s="129" t="s">
        <v>465</v>
      </c>
      <c r="S18" s="129" t="s">
        <v>323</v>
      </c>
      <c r="T18" s="129" t="s">
        <v>324</v>
      </c>
      <c r="U18" s="132" t="s">
        <v>15</v>
      </c>
    </row>
    <row r="19" spans="1:35" ht="19.899999999999999" customHeight="1" x14ac:dyDescent="0.25">
      <c r="A19" s="627"/>
      <c r="B19" s="146">
        <v>1</v>
      </c>
      <c r="C19" s="133" t="s">
        <v>47</v>
      </c>
      <c r="D19" s="134" t="s">
        <v>325</v>
      </c>
      <c r="E19" s="135" t="s">
        <v>326</v>
      </c>
      <c r="F19" s="278" t="s">
        <v>327</v>
      </c>
      <c r="G19" s="134" t="s">
        <v>328</v>
      </c>
      <c r="H19" s="134" t="s">
        <v>297</v>
      </c>
      <c r="I19" s="134" t="s">
        <v>329</v>
      </c>
      <c r="J19" s="134" t="s">
        <v>330</v>
      </c>
      <c r="K19" s="134" t="s">
        <v>331</v>
      </c>
      <c r="L19" s="136" t="s">
        <v>332</v>
      </c>
      <c r="M19" s="134" t="s">
        <v>333</v>
      </c>
      <c r="N19" s="134" t="s">
        <v>103</v>
      </c>
      <c r="O19" s="137">
        <v>81</v>
      </c>
      <c r="P19" s="134" t="s">
        <v>334</v>
      </c>
      <c r="Q19" s="134" t="s">
        <v>335</v>
      </c>
      <c r="R19" s="134" t="s">
        <v>336</v>
      </c>
      <c r="S19" s="134" t="s">
        <v>231</v>
      </c>
      <c r="T19" s="134" t="s">
        <v>337</v>
      </c>
      <c r="U19" s="138" t="s">
        <v>338</v>
      </c>
    </row>
    <row r="20" spans="1:35" outlineLevel="1" x14ac:dyDescent="0.25">
      <c r="A20" s="627"/>
      <c r="B20" s="180">
        <v>1</v>
      </c>
      <c r="C20" s="140">
        <v>9</v>
      </c>
      <c r="D20" s="181">
        <v>6</v>
      </c>
      <c r="E20" s="140">
        <v>3</v>
      </c>
      <c r="F20" s="279">
        <v>3</v>
      </c>
      <c r="G20" s="140">
        <v>3</v>
      </c>
      <c r="H20" s="140">
        <v>2</v>
      </c>
      <c r="I20" s="140">
        <v>2</v>
      </c>
      <c r="J20" s="140">
        <v>40</v>
      </c>
      <c r="K20" s="140">
        <v>2</v>
      </c>
      <c r="L20" s="140">
        <v>6</v>
      </c>
      <c r="M20" s="140">
        <v>1</v>
      </c>
      <c r="N20" s="140">
        <v>2</v>
      </c>
      <c r="O20" s="140">
        <v>1</v>
      </c>
      <c r="P20" s="140">
        <v>6</v>
      </c>
      <c r="Q20" s="140">
        <v>1</v>
      </c>
      <c r="R20" s="140">
        <v>2</v>
      </c>
      <c r="S20" s="140">
        <v>3</v>
      </c>
      <c r="T20" s="140">
        <v>1</v>
      </c>
      <c r="U20" s="182">
        <v>34</v>
      </c>
    </row>
    <row r="21" spans="1:35" outlineLevel="1" x14ac:dyDescent="0.25">
      <c r="A21" s="627"/>
      <c r="B21" s="146" t="s">
        <v>1</v>
      </c>
      <c r="C21" s="137" t="s">
        <v>1</v>
      </c>
      <c r="D21" s="137" t="s">
        <v>69</v>
      </c>
      <c r="E21" s="139" t="s">
        <v>1</v>
      </c>
      <c r="F21" s="280" t="s">
        <v>1</v>
      </c>
      <c r="G21" s="137" t="s">
        <v>69</v>
      </c>
      <c r="H21" s="137" t="s">
        <v>69</v>
      </c>
      <c r="I21" s="137" t="s">
        <v>69</v>
      </c>
      <c r="J21" s="137" t="s">
        <v>69</v>
      </c>
      <c r="K21" s="142" t="s">
        <v>69</v>
      </c>
      <c r="L21" s="142" t="s">
        <v>1</v>
      </c>
      <c r="M21" s="137" t="s">
        <v>69</v>
      </c>
      <c r="N21" s="137" t="s">
        <v>69</v>
      </c>
      <c r="O21" s="137" t="s">
        <v>69</v>
      </c>
      <c r="P21" s="137" t="s">
        <v>1</v>
      </c>
      <c r="Q21" s="137" t="s">
        <v>69</v>
      </c>
      <c r="R21" s="137" t="s">
        <v>69</v>
      </c>
      <c r="S21" s="137" t="s">
        <v>69</v>
      </c>
      <c r="T21" s="137" t="s">
        <v>1</v>
      </c>
      <c r="U21" s="141" t="s">
        <v>69</v>
      </c>
    </row>
    <row r="22" spans="1:35" outlineLevel="1" x14ac:dyDescent="0.25">
      <c r="A22" s="627"/>
      <c r="B22" s="146" t="s">
        <v>0</v>
      </c>
      <c r="C22" s="137" t="s">
        <v>0</v>
      </c>
      <c r="D22" s="137" t="s">
        <v>4</v>
      </c>
      <c r="E22" s="139" t="s">
        <v>0</v>
      </c>
      <c r="F22" s="280" t="s">
        <v>0</v>
      </c>
      <c r="G22" s="137" t="s">
        <v>4</v>
      </c>
      <c r="H22" s="137" t="s">
        <v>4</v>
      </c>
      <c r="I22" s="137" t="s">
        <v>4</v>
      </c>
      <c r="J22" s="137" t="s">
        <v>0</v>
      </c>
      <c r="K22" s="142" t="s">
        <v>0</v>
      </c>
      <c r="L22" s="142" t="s">
        <v>0</v>
      </c>
      <c r="M22" s="137" t="s">
        <v>4</v>
      </c>
      <c r="N22" s="137" t="s">
        <v>0</v>
      </c>
      <c r="O22" s="137" t="s">
        <v>4</v>
      </c>
      <c r="P22" s="137" t="s">
        <v>0</v>
      </c>
      <c r="Q22" s="137" t="s">
        <v>4</v>
      </c>
      <c r="R22" s="137" t="s">
        <v>4</v>
      </c>
      <c r="S22" s="137" t="s">
        <v>4</v>
      </c>
      <c r="T22" s="137" t="s">
        <v>4</v>
      </c>
      <c r="U22" s="141" t="s">
        <v>15</v>
      </c>
    </row>
    <row r="23" spans="1:35" s="163" customFormat="1" ht="30" customHeight="1" thickBot="1" x14ac:dyDescent="0.3">
      <c r="A23" s="628"/>
      <c r="B23" s="178">
        <v>1</v>
      </c>
      <c r="C23" s="54" t="s">
        <v>544</v>
      </c>
      <c r="D23" s="161" t="s">
        <v>374</v>
      </c>
      <c r="E23" s="179" t="s">
        <v>274</v>
      </c>
      <c r="F23" s="281" t="s">
        <v>195</v>
      </c>
      <c r="G23" s="162" t="s">
        <v>9</v>
      </c>
      <c r="H23" s="162" t="s">
        <v>210</v>
      </c>
      <c r="I23" s="162" t="s">
        <v>210</v>
      </c>
      <c r="J23" s="162" t="s">
        <v>383</v>
      </c>
      <c r="K23" s="162" t="s">
        <v>379</v>
      </c>
      <c r="L23" s="55" t="s">
        <v>482</v>
      </c>
      <c r="M23" s="162" t="s">
        <v>8</v>
      </c>
      <c r="N23" s="162" t="s">
        <v>378</v>
      </c>
      <c r="O23" s="162" t="s">
        <v>8</v>
      </c>
      <c r="P23" s="161" t="s">
        <v>384</v>
      </c>
      <c r="Q23" s="162" t="s">
        <v>11</v>
      </c>
      <c r="R23" s="162" t="s">
        <v>210</v>
      </c>
      <c r="S23" s="162" t="s">
        <v>9</v>
      </c>
      <c r="T23" s="162" t="s">
        <v>8</v>
      </c>
      <c r="U23" s="177" t="s">
        <v>385</v>
      </c>
    </row>
    <row r="24" spans="1:35" ht="15.75" thickBot="1" x14ac:dyDescent="0.3">
      <c r="A24" s="2"/>
      <c r="B24" s="150" t="s">
        <v>586</v>
      </c>
      <c r="C24" s="150" t="s">
        <v>586</v>
      </c>
      <c r="D24" s="150" t="s">
        <v>586</v>
      </c>
      <c r="E24" s="150" t="s">
        <v>586</v>
      </c>
      <c r="F24" s="276" t="s">
        <v>586</v>
      </c>
      <c r="G24" s="150" t="s">
        <v>586</v>
      </c>
      <c r="H24" s="150" t="s">
        <v>586</v>
      </c>
      <c r="I24" s="150" t="s">
        <v>586</v>
      </c>
      <c r="J24" s="150" t="s">
        <v>586</v>
      </c>
      <c r="K24" s="150" t="s">
        <v>586</v>
      </c>
      <c r="L24" s="150" t="s">
        <v>586</v>
      </c>
      <c r="M24" s="150" t="s">
        <v>586</v>
      </c>
      <c r="N24" s="150" t="s">
        <v>586</v>
      </c>
      <c r="O24" s="150" t="s">
        <v>586</v>
      </c>
      <c r="P24" s="150" t="s">
        <v>586</v>
      </c>
      <c r="Q24" s="150" t="s">
        <v>586</v>
      </c>
      <c r="R24" s="150" t="s">
        <v>586</v>
      </c>
      <c r="S24" s="150" t="s">
        <v>586</v>
      </c>
      <c r="T24" s="150" t="s">
        <v>586</v>
      </c>
      <c r="U24" s="150" t="s">
        <v>586</v>
      </c>
    </row>
    <row r="25" spans="1:35" ht="100.15" customHeight="1" x14ac:dyDescent="0.25">
      <c r="A25" s="614" t="s">
        <v>359</v>
      </c>
      <c r="B25" s="147" t="s">
        <v>13</v>
      </c>
      <c r="C25" s="24" t="s">
        <v>14</v>
      </c>
      <c r="D25" s="24" t="s">
        <v>15</v>
      </c>
      <c r="E25" s="25" t="s">
        <v>16</v>
      </c>
      <c r="F25" s="282" t="s">
        <v>17</v>
      </c>
      <c r="G25" s="24" t="s">
        <v>18</v>
      </c>
      <c r="H25" s="24" t="s">
        <v>19</v>
      </c>
      <c r="I25" s="24" t="s">
        <v>20</v>
      </c>
      <c r="J25" s="24" t="s">
        <v>21</v>
      </c>
      <c r="K25" s="26" t="s">
        <v>22</v>
      </c>
      <c r="L25" s="26" t="s">
        <v>23</v>
      </c>
      <c r="M25" s="24" t="s">
        <v>24</v>
      </c>
      <c r="N25" s="24" t="s">
        <v>25</v>
      </c>
      <c r="O25" s="24" t="s">
        <v>26</v>
      </c>
      <c r="P25" s="24" t="s">
        <v>27</v>
      </c>
      <c r="Q25" s="24" t="s">
        <v>28</v>
      </c>
      <c r="R25" s="24" t="s">
        <v>29</v>
      </c>
      <c r="S25" s="24" t="s">
        <v>30</v>
      </c>
      <c r="T25" s="24" t="s">
        <v>31</v>
      </c>
      <c r="U25" s="24" t="s">
        <v>32</v>
      </c>
      <c r="V25" s="24" t="s">
        <v>33</v>
      </c>
      <c r="W25" s="24" t="s">
        <v>34</v>
      </c>
      <c r="X25" s="24" t="s">
        <v>35</v>
      </c>
      <c r="Y25" s="24" t="s">
        <v>36</v>
      </c>
      <c r="Z25" s="24" t="s">
        <v>37</v>
      </c>
      <c r="AA25" s="24" t="s">
        <v>38</v>
      </c>
      <c r="AB25" s="24" t="s">
        <v>39</v>
      </c>
      <c r="AC25" s="24" t="s">
        <v>40</v>
      </c>
      <c r="AD25" s="24" t="s">
        <v>41</v>
      </c>
      <c r="AE25" s="24" t="s">
        <v>42</v>
      </c>
      <c r="AF25" s="24" t="s">
        <v>43</v>
      </c>
      <c r="AG25" s="24" t="s">
        <v>44</v>
      </c>
      <c r="AH25" s="24" t="s">
        <v>45</v>
      </c>
      <c r="AI25" s="27" t="s">
        <v>46</v>
      </c>
    </row>
    <row r="26" spans="1:35" ht="19.899999999999999" customHeight="1" x14ac:dyDescent="0.25">
      <c r="A26" s="615"/>
      <c r="B26" s="148">
        <v>1</v>
      </c>
      <c r="C26" s="5" t="s">
        <v>47</v>
      </c>
      <c r="D26" s="4">
        <v>11</v>
      </c>
      <c r="E26" s="6" t="s">
        <v>48</v>
      </c>
      <c r="F26" s="283" t="s">
        <v>49</v>
      </c>
      <c r="G26" s="7" t="s">
        <v>50</v>
      </c>
      <c r="H26" s="7">
        <v>36</v>
      </c>
      <c r="I26" s="7">
        <v>37</v>
      </c>
      <c r="J26" s="7">
        <v>38</v>
      </c>
      <c r="K26" s="8" t="s">
        <v>51</v>
      </c>
      <c r="L26" s="8" t="s">
        <v>52</v>
      </c>
      <c r="M26" s="7">
        <v>46</v>
      </c>
      <c r="N26" s="7">
        <v>47</v>
      </c>
      <c r="O26" s="7">
        <v>48</v>
      </c>
      <c r="P26" s="7" t="s">
        <v>53</v>
      </c>
      <c r="Q26" s="7" t="s">
        <v>54</v>
      </c>
      <c r="R26" s="7" t="s">
        <v>55</v>
      </c>
      <c r="S26" s="7">
        <v>58</v>
      </c>
      <c r="T26" s="7" t="s">
        <v>56</v>
      </c>
      <c r="U26" s="7" t="s">
        <v>57</v>
      </c>
      <c r="V26" s="7" t="s">
        <v>58</v>
      </c>
      <c r="W26" s="7" t="s">
        <v>59</v>
      </c>
      <c r="X26" s="7">
        <v>79</v>
      </c>
      <c r="Y26" s="7" t="s">
        <v>60</v>
      </c>
      <c r="Z26" s="7" t="s">
        <v>61</v>
      </c>
      <c r="AA26" s="7">
        <v>95</v>
      </c>
      <c r="AB26" s="7" t="s">
        <v>62</v>
      </c>
      <c r="AC26" s="7">
        <v>102</v>
      </c>
      <c r="AD26" s="7" t="s">
        <v>63</v>
      </c>
      <c r="AE26" s="7" t="s">
        <v>64</v>
      </c>
      <c r="AF26" s="7" t="s">
        <v>65</v>
      </c>
      <c r="AG26" s="7" t="s">
        <v>66</v>
      </c>
      <c r="AH26" s="7" t="s">
        <v>67</v>
      </c>
      <c r="AI26" s="28" t="s">
        <v>68</v>
      </c>
    </row>
    <row r="27" spans="1:35" outlineLevel="1" x14ac:dyDescent="0.25">
      <c r="A27" s="615"/>
      <c r="B27" s="148">
        <v>1</v>
      </c>
      <c r="C27" s="4">
        <v>9</v>
      </c>
      <c r="D27" s="4">
        <v>1</v>
      </c>
      <c r="E27" s="9">
        <v>13</v>
      </c>
      <c r="F27" s="284">
        <v>2</v>
      </c>
      <c r="G27" s="4">
        <v>9</v>
      </c>
      <c r="H27" s="4">
        <v>1</v>
      </c>
      <c r="I27" s="4">
        <v>1</v>
      </c>
      <c r="J27" s="4">
        <v>1</v>
      </c>
      <c r="K27" s="10">
        <v>1</v>
      </c>
      <c r="L27" s="10">
        <v>6</v>
      </c>
      <c r="M27" s="4">
        <v>1</v>
      </c>
      <c r="N27" s="4">
        <v>1</v>
      </c>
      <c r="O27" s="4">
        <v>1</v>
      </c>
      <c r="P27" s="4">
        <v>2</v>
      </c>
      <c r="Q27" s="4">
        <v>3</v>
      </c>
      <c r="R27" s="4">
        <v>4</v>
      </c>
      <c r="S27" s="4">
        <v>1</v>
      </c>
      <c r="T27" s="4">
        <v>9</v>
      </c>
      <c r="U27" s="4">
        <v>6</v>
      </c>
      <c r="V27" s="4">
        <v>3</v>
      </c>
      <c r="W27" s="4">
        <v>2</v>
      </c>
      <c r="X27" s="4">
        <v>1</v>
      </c>
      <c r="Y27" s="4">
        <v>6</v>
      </c>
      <c r="Z27" s="4">
        <v>9</v>
      </c>
      <c r="AA27" s="4">
        <v>1</v>
      </c>
      <c r="AB27" s="4">
        <v>6</v>
      </c>
      <c r="AC27" s="4">
        <v>1</v>
      </c>
      <c r="AD27" s="4">
        <v>2</v>
      </c>
      <c r="AE27" s="4">
        <v>8</v>
      </c>
      <c r="AF27" s="4">
        <v>2</v>
      </c>
      <c r="AG27" s="4">
        <v>2</v>
      </c>
      <c r="AH27" s="4">
        <v>2</v>
      </c>
      <c r="AI27" s="29">
        <v>10</v>
      </c>
    </row>
    <row r="28" spans="1:35" outlineLevel="1" x14ac:dyDescent="0.25">
      <c r="A28" s="615"/>
      <c r="B28" s="148" t="s">
        <v>1</v>
      </c>
      <c r="C28" s="4" t="s">
        <v>1</v>
      </c>
      <c r="D28" s="4" t="s">
        <v>69</v>
      </c>
      <c r="E28" s="9" t="s">
        <v>69</v>
      </c>
      <c r="F28" s="284" t="s">
        <v>1</v>
      </c>
      <c r="G28" s="4" t="s">
        <v>1</v>
      </c>
      <c r="H28" s="4" t="s">
        <v>69</v>
      </c>
      <c r="I28" s="4" t="s">
        <v>69</v>
      </c>
      <c r="J28" s="4" t="s">
        <v>69</v>
      </c>
      <c r="K28" s="11" t="s">
        <v>1</v>
      </c>
      <c r="L28" s="12" t="s">
        <v>1</v>
      </c>
      <c r="M28" s="13" t="s">
        <v>69</v>
      </c>
      <c r="N28" s="4" t="s">
        <v>69</v>
      </c>
      <c r="O28" s="4" t="s">
        <v>69</v>
      </c>
      <c r="P28" s="13" t="s">
        <v>1</v>
      </c>
      <c r="Q28" s="13" t="s">
        <v>1</v>
      </c>
      <c r="R28" s="13" t="s">
        <v>1</v>
      </c>
      <c r="S28" s="4" t="s">
        <v>1</v>
      </c>
      <c r="T28" s="13" t="s">
        <v>1</v>
      </c>
      <c r="U28" s="4" t="s">
        <v>1</v>
      </c>
      <c r="V28" s="4" t="s">
        <v>69</v>
      </c>
      <c r="W28" s="13" t="s">
        <v>1</v>
      </c>
      <c r="X28" s="4" t="s">
        <v>69</v>
      </c>
      <c r="Y28" s="4" t="s">
        <v>1</v>
      </c>
      <c r="Z28" s="13" t="s">
        <v>1</v>
      </c>
      <c r="AA28" s="4" t="s">
        <v>69</v>
      </c>
      <c r="AB28" s="4" t="s">
        <v>1</v>
      </c>
      <c r="AC28" s="4" t="s">
        <v>1</v>
      </c>
      <c r="AD28" s="4" t="s">
        <v>69</v>
      </c>
      <c r="AE28" s="4" t="s">
        <v>69</v>
      </c>
      <c r="AF28" s="4" t="s">
        <v>1</v>
      </c>
      <c r="AG28" s="4" t="s">
        <v>1</v>
      </c>
      <c r="AH28" s="4" t="s">
        <v>1</v>
      </c>
      <c r="AI28" s="29" t="s">
        <v>69</v>
      </c>
    </row>
    <row r="29" spans="1:35" outlineLevel="1" x14ac:dyDescent="0.25">
      <c r="A29" s="615"/>
      <c r="B29" s="148" t="s">
        <v>0</v>
      </c>
      <c r="C29" s="4" t="s">
        <v>0</v>
      </c>
      <c r="D29" s="4" t="s">
        <v>4</v>
      </c>
      <c r="E29" s="9" t="s">
        <v>0</v>
      </c>
      <c r="F29" s="284" t="s">
        <v>0</v>
      </c>
      <c r="G29" s="4" t="s">
        <v>0</v>
      </c>
      <c r="H29" s="4" t="s">
        <v>4</v>
      </c>
      <c r="I29" s="4" t="s">
        <v>4</v>
      </c>
      <c r="J29" s="4" t="s">
        <v>4</v>
      </c>
      <c r="K29" s="12" t="s">
        <v>0</v>
      </c>
      <c r="L29" s="12" t="s">
        <v>0</v>
      </c>
      <c r="M29" s="4" t="s">
        <v>4</v>
      </c>
      <c r="N29" s="4" t="s">
        <v>4</v>
      </c>
      <c r="O29" s="4" t="s">
        <v>4</v>
      </c>
      <c r="P29" s="4" t="s">
        <v>0</v>
      </c>
      <c r="Q29" s="4" t="s">
        <v>0</v>
      </c>
      <c r="R29" s="4" t="s">
        <v>0</v>
      </c>
      <c r="S29" s="4" t="s">
        <v>0</v>
      </c>
      <c r="T29" s="4" t="s">
        <v>0</v>
      </c>
      <c r="U29" s="4" t="s">
        <v>0</v>
      </c>
      <c r="V29" s="4" t="s">
        <v>4</v>
      </c>
      <c r="W29" s="4" t="s">
        <v>4</v>
      </c>
      <c r="X29" s="4" t="s">
        <v>0</v>
      </c>
      <c r="Y29" s="4" t="s">
        <v>4</v>
      </c>
      <c r="Z29" s="4" t="s">
        <v>4</v>
      </c>
      <c r="AA29" s="4" t="s">
        <v>0</v>
      </c>
      <c r="AB29" s="4" t="s">
        <v>0</v>
      </c>
      <c r="AC29" s="4" t="s">
        <v>4</v>
      </c>
      <c r="AD29" s="4" t="s">
        <v>4</v>
      </c>
      <c r="AE29" s="4" t="s">
        <v>4</v>
      </c>
      <c r="AF29" s="4" t="s">
        <v>4</v>
      </c>
      <c r="AG29" s="4" t="s">
        <v>4</v>
      </c>
      <c r="AH29" s="4" t="s">
        <v>4</v>
      </c>
      <c r="AI29" s="29" t="s">
        <v>4</v>
      </c>
    </row>
    <row r="30" spans="1:35" s="76" customFormat="1" ht="30" customHeight="1" thickBot="1" x14ac:dyDescent="0.3">
      <c r="A30" s="616"/>
      <c r="B30" s="149">
        <v>2</v>
      </c>
      <c r="C30" s="54" t="s">
        <v>544</v>
      </c>
      <c r="D30" s="55" t="s">
        <v>8</v>
      </c>
      <c r="E30" s="55" t="s">
        <v>198</v>
      </c>
      <c r="F30" s="270">
        <v>77</v>
      </c>
      <c r="G30" s="55">
        <v>250000001</v>
      </c>
      <c r="H30" s="193" t="s">
        <v>69</v>
      </c>
      <c r="I30" s="79" t="s">
        <v>8</v>
      </c>
      <c r="J30" s="80" t="s">
        <v>8</v>
      </c>
      <c r="K30" s="81" t="s">
        <v>200</v>
      </c>
      <c r="L30" s="55" t="s">
        <v>482</v>
      </c>
      <c r="M30" s="54" t="s">
        <v>8</v>
      </c>
      <c r="N30" s="54" t="s">
        <v>8</v>
      </c>
      <c r="O30" s="54" t="s">
        <v>8</v>
      </c>
      <c r="P30" s="55" t="s">
        <v>202</v>
      </c>
      <c r="Q30" s="55" t="s">
        <v>274</v>
      </c>
      <c r="R30" s="55" t="s">
        <v>203</v>
      </c>
      <c r="S30" s="55" t="s">
        <v>204</v>
      </c>
      <c r="T30" s="55" t="s">
        <v>546</v>
      </c>
      <c r="U30" s="55" t="s">
        <v>269</v>
      </c>
      <c r="V30" s="79" t="s">
        <v>9</v>
      </c>
      <c r="W30" s="54" t="s">
        <v>587</v>
      </c>
      <c r="X30" s="199" t="s">
        <v>206</v>
      </c>
      <c r="Y30" s="55" t="s">
        <v>208</v>
      </c>
      <c r="Z30" s="55" t="s">
        <v>209</v>
      </c>
      <c r="AA30" s="55" t="s">
        <v>8</v>
      </c>
      <c r="AB30" s="55" t="s">
        <v>491</v>
      </c>
      <c r="AC30" s="55">
        <v>1</v>
      </c>
      <c r="AD30" s="79" t="s">
        <v>210</v>
      </c>
      <c r="AE30" s="79" t="s">
        <v>211</v>
      </c>
      <c r="AF30" s="55" t="s">
        <v>202</v>
      </c>
      <c r="AG30" s="54" t="s">
        <v>258</v>
      </c>
      <c r="AH30" s="54" t="s">
        <v>773</v>
      </c>
      <c r="AI30" s="82" t="s">
        <v>774</v>
      </c>
    </row>
    <row r="31" spans="1:35" s="75" customFormat="1" ht="15.75" thickBot="1" x14ac:dyDescent="0.3">
      <c r="B31" s="150" t="s">
        <v>586</v>
      </c>
      <c r="C31" s="75" t="s">
        <v>586</v>
      </c>
      <c r="D31" s="75" t="s">
        <v>586</v>
      </c>
      <c r="E31" s="75" t="s">
        <v>586</v>
      </c>
      <c r="F31" s="276" t="s">
        <v>586</v>
      </c>
      <c r="G31" s="75" t="s">
        <v>586</v>
      </c>
      <c r="H31" s="75" t="s">
        <v>586</v>
      </c>
      <c r="I31" s="75" t="s">
        <v>586</v>
      </c>
      <c r="J31" s="75" t="s">
        <v>586</v>
      </c>
      <c r="K31" s="75" t="s">
        <v>586</v>
      </c>
      <c r="L31" s="75" t="s">
        <v>586</v>
      </c>
      <c r="M31" s="75" t="s">
        <v>586</v>
      </c>
      <c r="N31" s="75" t="s">
        <v>586</v>
      </c>
      <c r="O31" s="75" t="s">
        <v>586</v>
      </c>
      <c r="P31" s="75" t="s">
        <v>586</v>
      </c>
      <c r="Q31" s="75" t="s">
        <v>586</v>
      </c>
      <c r="R31" s="75" t="s">
        <v>586</v>
      </c>
      <c r="S31" s="75" t="s">
        <v>586</v>
      </c>
      <c r="T31" s="75" t="s">
        <v>586</v>
      </c>
      <c r="U31" s="75" t="s">
        <v>586</v>
      </c>
      <c r="V31" s="75" t="s">
        <v>586</v>
      </c>
      <c r="W31" s="75" t="s">
        <v>586</v>
      </c>
      <c r="X31" s="75" t="s">
        <v>586</v>
      </c>
      <c r="Y31" s="75" t="s">
        <v>586</v>
      </c>
      <c r="Z31" s="75" t="s">
        <v>586</v>
      </c>
      <c r="AA31" s="75" t="s">
        <v>586</v>
      </c>
      <c r="AB31" s="75" t="s">
        <v>586</v>
      </c>
      <c r="AC31" s="75" t="s">
        <v>586</v>
      </c>
      <c r="AD31" s="75" t="s">
        <v>586</v>
      </c>
      <c r="AE31" s="75" t="s">
        <v>586</v>
      </c>
      <c r="AF31" s="75" t="s">
        <v>586</v>
      </c>
      <c r="AG31" s="75" t="s">
        <v>586</v>
      </c>
      <c r="AH31" s="75" t="s">
        <v>586</v>
      </c>
      <c r="AI31" s="75" t="s">
        <v>586</v>
      </c>
    </row>
    <row r="32" spans="1:35" s="75" customFormat="1" ht="100.15" customHeight="1" x14ac:dyDescent="0.25">
      <c r="A32" s="617" t="s">
        <v>447</v>
      </c>
      <c r="B32" s="238" t="s">
        <v>13</v>
      </c>
      <c r="C32" s="239" t="s">
        <v>14</v>
      </c>
      <c r="D32" s="239" t="s">
        <v>15</v>
      </c>
      <c r="E32" s="240" t="s">
        <v>16</v>
      </c>
      <c r="F32" s="285" t="s">
        <v>17</v>
      </c>
      <c r="G32" s="239" t="s">
        <v>70</v>
      </c>
      <c r="H32" s="239" t="s">
        <v>71</v>
      </c>
      <c r="I32" s="239" t="s">
        <v>429</v>
      </c>
      <c r="J32" s="241" t="s">
        <v>430</v>
      </c>
      <c r="K32" s="252" t="s">
        <v>15</v>
      </c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</row>
    <row r="33" spans="1:35" ht="19.899999999999999" customHeight="1" x14ac:dyDescent="0.25">
      <c r="A33" s="618"/>
      <c r="B33" s="242">
        <v>1</v>
      </c>
      <c r="C33" s="243" t="s">
        <v>47</v>
      </c>
      <c r="D33" s="244">
        <v>11</v>
      </c>
      <c r="E33" s="245" t="s">
        <v>48</v>
      </c>
      <c r="F33" s="286" t="s">
        <v>49</v>
      </c>
      <c r="G33" s="246" t="s">
        <v>50</v>
      </c>
      <c r="H33" s="246">
        <v>36</v>
      </c>
      <c r="I33" s="247" t="s">
        <v>443</v>
      </c>
      <c r="J33" s="248" t="s">
        <v>444</v>
      </c>
      <c r="K33" s="253" t="s">
        <v>445</v>
      </c>
    </row>
    <row r="34" spans="1:35" ht="16.149999999999999" customHeight="1" outlineLevel="1" x14ac:dyDescent="0.25">
      <c r="A34" s="618"/>
      <c r="B34" s="242">
        <v>1</v>
      </c>
      <c r="C34" s="244">
        <v>9</v>
      </c>
      <c r="D34" s="244">
        <v>1</v>
      </c>
      <c r="E34" s="249">
        <v>13</v>
      </c>
      <c r="F34" s="287">
        <v>2</v>
      </c>
      <c r="G34" s="244">
        <v>9</v>
      </c>
      <c r="H34" s="244">
        <v>1</v>
      </c>
      <c r="I34" s="244">
        <v>11</v>
      </c>
      <c r="J34" s="250">
        <v>14</v>
      </c>
      <c r="K34" s="254">
        <v>67</v>
      </c>
    </row>
    <row r="35" spans="1:35" ht="20.45" customHeight="1" outlineLevel="1" x14ac:dyDescent="0.25">
      <c r="A35" s="618"/>
      <c r="B35" s="242" t="s">
        <v>1</v>
      </c>
      <c r="C35" s="244" t="s">
        <v>1</v>
      </c>
      <c r="D35" s="244" t="s">
        <v>69</v>
      </c>
      <c r="E35" s="249" t="s">
        <v>69</v>
      </c>
      <c r="F35" s="287" t="s">
        <v>1</v>
      </c>
      <c r="G35" s="244" t="s">
        <v>1</v>
      </c>
      <c r="H35" s="244" t="s">
        <v>69</v>
      </c>
      <c r="I35" s="244" t="s">
        <v>1</v>
      </c>
      <c r="J35" s="251" t="s">
        <v>1</v>
      </c>
      <c r="K35" s="255" t="s">
        <v>69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5" ht="15.6" customHeight="1" outlineLevel="1" x14ac:dyDescent="0.25">
      <c r="A36" s="618"/>
      <c r="B36" s="242" t="s">
        <v>0</v>
      </c>
      <c r="C36" s="244" t="s">
        <v>0</v>
      </c>
      <c r="D36" s="244" t="s">
        <v>4</v>
      </c>
      <c r="E36" s="249" t="s">
        <v>0</v>
      </c>
      <c r="F36" s="287" t="s">
        <v>0</v>
      </c>
      <c r="G36" s="244" t="s">
        <v>0</v>
      </c>
      <c r="H36" s="244" t="s">
        <v>4</v>
      </c>
      <c r="I36" s="244" t="s">
        <v>4</v>
      </c>
      <c r="J36" s="251" t="s">
        <v>4</v>
      </c>
      <c r="K36" s="255" t="s">
        <v>4</v>
      </c>
    </row>
    <row r="37" spans="1:35" ht="30" customHeight="1" thickBot="1" x14ac:dyDescent="0.3">
      <c r="A37" s="619"/>
      <c r="B37" s="256" t="s">
        <v>204</v>
      </c>
      <c r="C37" s="54" t="s">
        <v>544</v>
      </c>
      <c r="D37" s="55" t="s">
        <v>8</v>
      </c>
      <c r="E37" s="54" t="s">
        <v>198</v>
      </c>
      <c r="F37" s="288">
        <v>77</v>
      </c>
      <c r="G37" s="54">
        <v>250000001</v>
      </c>
      <c r="H37" s="193" t="s">
        <v>431</v>
      </c>
      <c r="I37" s="33" t="s">
        <v>588</v>
      </c>
      <c r="J37" s="193" t="s">
        <v>432</v>
      </c>
      <c r="K37" s="226" t="s">
        <v>446</v>
      </c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 t="s">
        <v>589</v>
      </c>
      <c r="AH37" s="76"/>
      <c r="AI37" s="76"/>
    </row>
    <row r="38" spans="1:35" s="75" customFormat="1" ht="15.75" thickBot="1" x14ac:dyDescent="0.3">
      <c r="B38" s="150"/>
      <c r="F38" s="276"/>
      <c r="Q38" s="502" t="s">
        <v>913</v>
      </c>
    </row>
    <row r="39" spans="1:35" s="75" customFormat="1" ht="100.15" customHeight="1" x14ac:dyDescent="0.25">
      <c r="A39" s="620" t="s">
        <v>394</v>
      </c>
      <c r="B39" s="151" t="s">
        <v>13</v>
      </c>
      <c r="C39" s="40" t="s">
        <v>14</v>
      </c>
      <c r="D39" s="40" t="s">
        <v>15</v>
      </c>
      <c r="E39" s="41" t="s">
        <v>16</v>
      </c>
      <c r="F39" s="289" t="s">
        <v>17</v>
      </c>
      <c r="G39" s="40" t="s">
        <v>70</v>
      </c>
      <c r="H39" s="40" t="s">
        <v>71</v>
      </c>
      <c r="I39" s="40" t="s">
        <v>72</v>
      </c>
      <c r="J39" s="40" t="s">
        <v>2</v>
      </c>
      <c r="K39" s="40" t="s">
        <v>73</v>
      </c>
      <c r="L39" s="42" t="s">
        <v>466</v>
      </c>
      <c r="M39" s="42" t="s">
        <v>75</v>
      </c>
      <c r="N39" s="40" t="s">
        <v>76</v>
      </c>
      <c r="O39" s="40" t="s">
        <v>77</v>
      </c>
      <c r="P39" s="40" t="s">
        <v>467</v>
      </c>
      <c r="Q39" s="40" t="s">
        <v>468</v>
      </c>
      <c r="R39" s="40" t="s">
        <v>80</v>
      </c>
      <c r="S39" s="40" t="s">
        <v>81</v>
      </c>
      <c r="T39" s="40" t="s">
        <v>82</v>
      </c>
      <c r="U39" s="40" t="s">
        <v>83</v>
      </c>
      <c r="V39" s="40" t="s">
        <v>84</v>
      </c>
      <c r="W39" s="40" t="s">
        <v>3</v>
      </c>
      <c r="X39" s="40" t="s">
        <v>85</v>
      </c>
      <c r="Y39" s="40" t="s">
        <v>86</v>
      </c>
      <c r="Z39" s="40" t="s">
        <v>87</v>
      </c>
      <c r="AA39" s="40" t="s">
        <v>88</v>
      </c>
      <c r="AB39" s="40" t="s">
        <v>89</v>
      </c>
      <c r="AC39" s="40" t="s">
        <v>90</v>
      </c>
      <c r="AD39" s="40" t="s">
        <v>91</v>
      </c>
      <c r="AE39" s="40" t="s">
        <v>92</v>
      </c>
      <c r="AF39" s="43" t="s">
        <v>93</v>
      </c>
      <c r="AG39" s="77"/>
      <c r="AH39" s="77"/>
      <c r="AI39" s="77"/>
    </row>
    <row r="40" spans="1:35" s="75" customFormat="1" ht="19.899999999999999" customHeight="1" x14ac:dyDescent="0.25">
      <c r="A40" s="615"/>
      <c r="B40" s="152">
        <v>1</v>
      </c>
      <c r="C40" s="44" t="s">
        <v>47</v>
      </c>
      <c r="D40" s="45">
        <v>11</v>
      </c>
      <c r="E40" s="46" t="s">
        <v>48</v>
      </c>
      <c r="F40" s="290" t="s">
        <v>49</v>
      </c>
      <c r="G40" s="47" t="s">
        <v>50</v>
      </c>
      <c r="H40" s="47">
        <v>36</v>
      </c>
      <c r="I40" s="47" t="s">
        <v>94</v>
      </c>
      <c r="J40" s="47" t="s">
        <v>95</v>
      </c>
      <c r="K40" s="47" t="s">
        <v>96</v>
      </c>
      <c r="L40" s="48" t="s">
        <v>97</v>
      </c>
      <c r="M40" s="48" t="s">
        <v>98</v>
      </c>
      <c r="N40" s="47" t="s">
        <v>99</v>
      </c>
      <c r="O40" s="47">
        <v>53</v>
      </c>
      <c r="P40" s="47">
        <v>54</v>
      </c>
      <c r="Q40" s="47" t="s">
        <v>913</v>
      </c>
      <c r="R40" s="47" t="s">
        <v>100</v>
      </c>
      <c r="S40" s="47" t="s">
        <v>101</v>
      </c>
      <c r="T40" s="47" t="s">
        <v>57</v>
      </c>
      <c r="U40" s="47" t="s">
        <v>102</v>
      </c>
      <c r="V40" s="47" t="s">
        <v>103</v>
      </c>
      <c r="W40" s="47" t="s">
        <v>104</v>
      </c>
      <c r="X40" s="47" t="s">
        <v>105</v>
      </c>
      <c r="Y40" s="47" t="s">
        <v>106</v>
      </c>
      <c r="Z40" s="47" t="s">
        <v>107</v>
      </c>
      <c r="AA40" s="47" t="s">
        <v>108</v>
      </c>
      <c r="AB40" s="45" t="s">
        <v>109</v>
      </c>
      <c r="AC40" s="47" t="s">
        <v>110</v>
      </c>
      <c r="AD40" s="45">
        <v>120</v>
      </c>
      <c r="AE40" s="45">
        <v>121</v>
      </c>
      <c r="AF40" s="49" t="s">
        <v>111</v>
      </c>
      <c r="AG40" s="77"/>
      <c r="AH40" s="77"/>
      <c r="AI40" s="77"/>
    </row>
    <row r="41" spans="1:35" s="75" customFormat="1" outlineLevel="1" x14ac:dyDescent="0.25">
      <c r="A41" s="615"/>
      <c r="B41" s="152">
        <v>1</v>
      </c>
      <c r="C41" s="45">
        <v>9</v>
      </c>
      <c r="D41" s="45">
        <v>1</v>
      </c>
      <c r="E41" s="50">
        <v>13</v>
      </c>
      <c r="F41" s="291">
        <v>2</v>
      </c>
      <c r="G41" s="45">
        <v>9</v>
      </c>
      <c r="H41" s="45">
        <v>1</v>
      </c>
      <c r="I41" s="45">
        <v>2</v>
      </c>
      <c r="J41" s="45">
        <v>2</v>
      </c>
      <c r="K41" s="45">
        <v>3</v>
      </c>
      <c r="L41" s="51">
        <v>6</v>
      </c>
      <c r="M41" s="51">
        <v>1</v>
      </c>
      <c r="N41" s="45">
        <v>2</v>
      </c>
      <c r="O41" s="45">
        <v>1</v>
      </c>
      <c r="P41" s="45">
        <v>1</v>
      </c>
      <c r="Q41" s="45">
        <v>9</v>
      </c>
      <c r="R41" s="45">
        <v>2</v>
      </c>
      <c r="S41" s="45">
        <v>2</v>
      </c>
      <c r="T41" s="45">
        <v>6</v>
      </c>
      <c r="U41" s="45">
        <v>5</v>
      </c>
      <c r="V41" s="45">
        <v>2</v>
      </c>
      <c r="W41" s="45">
        <v>6</v>
      </c>
      <c r="X41" s="45">
        <v>2</v>
      </c>
      <c r="Y41" s="45">
        <v>7</v>
      </c>
      <c r="Z41" s="45">
        <v>7</v>
      </c>
      <c r="AA41" s="45">
        <v>3</v>
      </c>
      <c r="AB41" s="45">
        <v>7</v>
      </c>
      <c r="AC41" s="45">
        <v>7</v>
      </c>
      <c r="AD41" s="45">
        <v>1</v>
      </c>
      <c r="AE41" s="45">
        <v>1</v>
      </c>
      <c r="AF41" s="49">
        <v>7</v>
      </c>
      <c r="AG41" s="77"/>
      <c r="AH41" s="77"/>
      <c r="AI41" s="77"/>
    </row>
    <row r="42" spans="1:35" s="75" customFormat="1" outlineLevel="1" x14ac:dyDescent="0.25">
      <c r="A42" s="615"/>
      <c r="B42" s="152" t="s">
        <v>1</v>
      </c>
      <c r="C42" s="45" t="s">
        <v>1</v>
      </c>
      <c r="D42" s="45" t="s">
        <v>69</v>
      </c>
      <c r="E42" s="50" t="s">
        <v>69</v>
      </c>
      <c r="F42" s="291" t="s">
        <v>1</v>
      </c>
      <c r="G42" s="45" t="s">
        <v>1</v>
      </c>
      <c r="H42" s="45" t="s">
        <v>69</v>
      </c>
      <c r="I42" s="45" t="s">
        <v>1</v>
      </c>
      <c r="J42" s="45" t="s">
        <v>1</v>
      </c>
      <c r="K42" s="45" t="s">
        <v>1</v>
      </c>
      <c r="L42" s="52" t="s">
        <v>1</v>
      </c>
      <c r="M42" s="52" t="s">
        <v>1</v>
      </c>
      <c r="N42" s="45" t="s">
        <v>69</v>
      </c>
      <c r="O42" s="45" t="s">
        <v>69</v>
      </c>
      <c r="P42" s="53" t="s">
        <v>69</v>
      </c>
      <c r="Q42" s="45" t="s">
        <v>1</v>
      </c>
      <c r="R42" s="45" t="s">
        <v>1</v>
      </c>
      <c r="S42" s="45" t="s">
        <v>1</v>
      </c>
      <c r="T42" s="45" t="s">
        <v>1</v>
      </c>
      <c r="U42" s="45" t="s">
        <v>69</v>
      </c>
      <c r="V42" s="45" t="s">
        <v>1</v>
      </c>
      <c r="W42" s="45" t="s">
        <v>1</v>
      </c>
      <c r="X42" s="45" t="s">
        <v>1</v>
      </c>
      <c r="Y42" s="45" t="s">
        <v>1</v>
      </c>
      <c r="Z42" s="45" t="s">
        <v>1</v>
      </c>
      <c r="AA42" s="45" t="s">
        <v>1</v>
      </c>
      <c r="AB42" s="45" t="s">
        <v>1</v>
      </c>
      <c r="AC42" s="45" t="s">
        <v>1</v>
      </c>
      <c r="AD42" s="45" t="s">
        <v>69</v>
      </c>
      <c r="AE42" s="45" t="s">
        <v>1</v>
      </c>
      <c r="AF42" s="49" t="s">
        <v>1</v>
      </c>
      <c r="AG42" s="2"/>
      <c r="AH42" s="77"/>
      <c r="AI42" s="77"/>
    </row>
    <row r="43" spans="1:35" s="75" customFormat="1" outlineLevel="1" x14ac:dyDescent="0.25">
      <c r="A43" s="615"/>
      <c r="B43" s="152" t="s">
        <v>0</v>
      </c>
      <c r="C43" s="45" t="s">
        <v>0</v>
      </c>
      <c r="D43" s="45" t="s">
        <v>4</v>
      </c>
      <c r="E43" s="50" t="s">
        <v>0</v>
      </c>
      <c r="F43" s="291" t="s">
        <v>0</v>
      </c>
      <c r="G43" s="45" t="s">
        <v>0</v>
      </c>
      <c r="H43" s="45" t="s">
        <v>4</v>
      </c>
      <c r="I43" s="45" t="s">
        <v>4</v>
      </c>
      <c r="J43" s="45" t="s">
        <v>4</v>
      </c>
      <c r="K43" s="45" t="s">
        <v>4</v>
      </c>
      <c r="L43" s="52" t="s">
        <v>4</v>
      </c>
      <c r="M43" s="52" t="s">
        <v>0</v>
      </c>
      <c r="N43" s="45" t="s">
        <v>4</v>
      </c>
      <c r="O43" s="45" t="s">
        <v>4</v>
      </c>
      <c r="P43" s="45" t="s">
        <v>4</v>
      </c>
      <c r="Q43" s="45" t="s">
        <v>4</v>
      </c>
      <c r="R43" s="45" t="s">
        <v>4</v>
      </c>
      <c r="S43" s="45" t="s">
        <v>112</v>
      </c>
      <c r="T43" s="45" t="s">
        <v>0</v>
      </c>
      <c r="U43" s="45" t="s">
        <v>0</v>
      </c>
      <c r="V43" s="45" t="s">
        <v>0</v>
      </c>
      <c r="W43" s="45" t="s">
        <v>0</v>
      </c>
      <c r="X43" s="45" t="s">
        <v>0</v>
      </c>
      <c r="Y43" s="45" t="s">
        <v>0</v>
      </c>
      <c r="Z43" s="45" t="s">
        <v>0</v>
      </c>
      <c r="AA43" s="45" t="s">
        <v>0</v>
      </c>
      <c r="AB43" s="45" t="s">
        <v>0</v>
      </c>
      <c r="AC43" s="45" t="s">
        <v>0</v>
      </c>
      <c r="AD43" s="45" t="s">
        <v>4</v>
      </c>
      <c r="AE43" s="45" t="s">
        <v>4</v>
      </c>
      <c r="AF43" s="49" t="s">
        <v>4</v>
      </c>
      <c r="AG43" s="77"/>
      <c r="AH43" s="77"/>
      <c r="AI43" s="77"/>
    </row>
    <row r="44" spans="1:35" s="75" customFormat="1" ht="30" customHeight="1" thickBot="1" x14ac:dyDescent="0.3">
      <c r="A44" s="616"/>
      <c r="B44" s="149" t="s">
        <v>10</v>
      </c>
      <c r="C44" s="54" t="s">
        <v>544</v>
      </c>
      <c r="D44" s="55" t="s">
        <v>8</v>
      </c>
      <c r="E44" s="54" t="s">
        <v>198</v>
      </c>
      <c r="F44" s="288">
        <v>77</v>
      </c>
      <c r="G44" s="54">
        <v>250000001</v>
      </c>
      <c r="H44" s="55" t="s">
        <v>69</v>
      </c>
      <c r="I44" s="193" t="s">
        <v>5</v>
      </c>
      <c r="J44" s="55" t="s">
        <v>5</v>
      </c>
      <c r="K44" s="55" t="s">
        <v>6</v>
      </c>
      <c r="L44" s="55" t="s">
        <v>208</v>
      </c>
      <c r="M44" s="193" t="s">
        <v>397</v>
      </c>
      <c r="N44" s="55" t="s">
        <v>210</v>
      </c>
      <c r="O44" s="55" t="s">
        <v>8</v>
      </c>
      <c r="P44" s="55" t="s">
        <v>8</v>
      </c>
      <c r="Q44" s="54" t="s">
        <v>544</v>
      </c>
      <c r="R44" s="55" t="s">
        <v>5</v>
      </c>
      <c r="S44" s="55" t="s">
        <v>5</v>
      </c>
      <c r="T44" s="193" t="s">
        <v>581</v>
      </c>
      <c r="U44" s="228" t="s">
        <v>242</v>
      </c>
      <c r="V44" s="193" t="s">
        <v>202</v>
      </c>
      <c r="W44" s="33" t="s">
        <v>590</v>
      </c>
      <c r="X44" s="33" t="s">
        <v>749</v>
      </c>
      <c r="Y44" s="194" t="s">
        <v>775</v>
      </c>
      <c r="Z44" s="194" t="s">
        <v>775</v>
      </c>
      <c r="AA44" s="194" t="s">
        <v>592</v>
      </c>
      <c r="AB44" s="194" t="s">
        <v>776</v>
      </c>
      <c r="AC44" s="194" t="s">
        <v>775</v>
      </c>
      <c r="AD44" s="193" t="s">
        <v>8</v>
      </c>
      <c r="AE44" s="193" t="s">
        <v>200</v>
      </c>
      <c r="AF44" s="195" t="s">
        <v>863</v>
      </c>
      <c r="AG44" s="188" t="s">
        <v>589</v>
      </c>
      <c r="AH44" s="76"/>
      <c r="AI44" s="76"/>
    </row>
    <row r="45" spans="1:35" s="75" customFormat="1" ht="15.75" thickBot="1" x14ac:dyDescent="0.3">
      <c r="B45" s="150" t="s">
        <v>586</v>
      </c>
      <c r="C45" s="75" t="s">
        <v>586</v>
      </c>
      <c r="D45" s="75" t="s">
        <v>586</v>
      </c>
      <c r="E45" s="75" t="s">
        <v>586</v>
      </c>
      <c r="F45" s="276" t="s">
        <v>586</v>
      </c>
      <c r="G45" s="75" t="s">
        <v>586</v>
      </c>
      <c r="H45" s="75" t="s">
        <v>586</v>
      </c>
      <c r="I45" s="75" t="s">
        <v>586</v>
      </c>
      <c r="J45" s="75" t="s">
        <v>586</v>
      </c>
      <c r="K45" s="75" t="s">
        <v>586</v>
      </c>
      <c r="L45" s="75" t="s">
        <v>586</v>
      </c>
      <c r="M45" s="75" t="s">
        <v>586</v>
      </c>
      <c r="N45" s="75" t="s">
        <v>586</v>
      </c>
      <c r="O45" s="75" t="s">
        <v>586</v>
      </c>
      <c r="P45" s="75" t="s">
        <v>586</v>
      </c>
      <c r="Q45" s="75" t="s">
        <v>586</v>
      </c>
      <c r="R45" s="75" t="s">
        <v>586</v>
      </c>
      <c r="S45" s="75" t="s">
        <v>586</v>
      </c>
      <c r="T45" s="75" t="s">
        <v>586</v>
      </c>
      <c r="U45" s="75" t="s">
        <v>586</v>
      </c>
      <c r="V45" s="75" t="s">
        <v>586</v>
      </c>
      <c r="W45" s="75" t="s">
        <v>586</v>
      </c>
      <c r="X45" s="75" t="s">
        <v>586</v>
      </c>
      <c r="Y45" s="75" t="s">
        <v>586</v>
      </c>
      <c r="Z45" s="75" t="s">
        <v>586</v>
      </c>
      <c r="AA45" s="75" t="s">
        <v>586</v>
      </c>
      <c r="AB45" s="75" t="s">
        <v>586</v>
      </c>
      <c r="AC45" s="75" t="s">
        <v>586</v>
      </c>
      <c r="AD45" s="75" t="s">
        <v>586</v>
      </c>
      <c r="AE45" s="75" t="s">
        <v>586</v>
      </c>
      <c r="AF45" s="75" t="s">
        <v>586</v>
      </c>
    </row>
    <row r="46" spans="1:35" ht="100.15" customHeight="1" x14ac:dyDescent="0.25">
      <c r="A46" s="621" t="s">
        <v>190</v>
      </c>
      <c r="B46" s="153" t="s">
        <v>13</v>
      </c>
      <c r="C46" s="17" t="s">
        <v>14</v>
      </c>
      <c r="D46" s="17" t="s">
        <v>15</v>
      </c>
      <c r="E46" s="18" t="s">
        <v>16</v>
      </c>
      <c r="F46" s="292" t="s">
        <v>17</v>
      </c>
      <c r="G46" s="17" t="s">
        <v>70</v>
      </c>
      <c r="H46" s="17" t="s">
        <v>113</v>
      </c>
      <c r="I46" s="17" t="s">
        <v>72</v>
      </c>
      <c r="J46" s="17" t="s">
        <v>114</v>
      </c>
      <c r="K46" s="17" t="s">
        <v>115</v>
      </c>
      <c r="L46" s="17" t="s">
        <v>116</v>
      </c>
      <c r="M46" s="17" t="s">
        <v>117</v>
      </c>
      <c r="N46" s="17" t="s">
        <v>114</v>
      </c>
      <c r="O46" s="17" t="s">
        <v>118</v>
      </c>
      <c r="P46" s="17" t="s">
        <v>119</v>
      </c>
      <c r="Q46" s="17" t="s">
        <v>120</v>
      </c>
      <c r="R46" s="17" t="s">
        <v>121</v>
      </c>
      <c r="S46" s="17" t="s">
        <v>122</v>
      </c>
      <c r="T46" s="17" t="s">
        <v>123</v>
      </c>
      <c r="U46" s="17" t="s">
        <v>124</v>
      </c>
      <c r="V46" s="17" t="s">
        <v>125</v>
      </c>
      <c r="W46" s="17" t="s">
        <v>126</v>
      </c>
      <c r="X46" s="17" t="s">
        <v>125</v>
      </c>
      <c r="Y46" s="17" t="s">
        <v>127</v>
      </c>
      <c r="Z46" s="17" t="s">
        <v>125</v>
      </c>
      <c r="AA46" s="17" t="s">
        <v>128</v>
      </c>
      <c r="AB46" s="17" t="s">
        <v>7</v>
      </c>
      <c r="AC46" s="17" t="s">
        <v>129</v>
      </c>
      <c r="AD46" s="17" t="s">
        <v>130</v>
      </c>
      <c r="AE46" s="17" t="s">
        <v>129</v>
      </c>
      <c r="AF46" s="17" t="s">
        <v>131</v>
      </c>
      <c r="AG46" s="17" t="s">
        <v>132</v>
      </c>
      <c r="AH46" s="19" t="s">
        <v>114</v>
      </c>
    </row>
    <row r="47" spans="1:35" ht="19.899999999999999" customHeight="1" x14ac:dyDescent="0.25">
      <c r="A47" s="615"/>
      <c r="B47" s="154">
        <v>1</v>
      </c>
      <c r="C47" s="83" t="s">
        <v>47</v>
      </c>
      <c r="D47" s="14" t="s">
        <v>133</v>
      </c>
      <c r="E47" s="84" t="s">
        <v>48</v>
      </c>
      <c r="F47" s="293" t="s">
        <v>49</v>
      </c>
      <c r="G47" s="14" t="s">
        <v>50</v>
      </c>
      <c r="H47" s="14">
        <v>36</v>
      </c>
      <c r="I47" s="14" t="s">
        <v>94</v>
      </c>
      <c r="J47" s="14" t="s">
        <v>134</v>
      </c>
      <c r="K47" s="14">
        <v>46</v>
      </c>
      <c r="L47" s="14">
        <v>47</v>
      </c>
      <c r="M47" s="14">
        <v>48</v>
      </c>
      <c r="N47" s="14" t="s">
        <v>135</v>
      </c>
      <c r="O47" s="14">
        <v>50</v>
      </c>
      <c r="P47" s="14" t="s">
        <v>136</v>
      </c>
      <c r="Q47" s="14" t="s">
        <v>137</v>
      </c>
      <c r="R47" s="14" t="s">
        <v>138</v>
      </c>
      <c r="S47" s="14" t="s">
        <v>139</v>
      </c>
      <c r="T47" s="14" t="s">
        <v>140</v>
      </c>
      <c r="U47" s="14" t="s">
        <v>141</v>
      </c>
      <c r="V47" s="14" t="s">
        <v>142</v>
      </c>
      <c r="W47" s="14" t="s">
        <v>143</v>
      </c>
      <c r="X47" s="14" t="s">
        <v>144</v>
      </c>
      <c r="Y47" s="14" t="s">
        <v>145</v>
      </c>
      <c r="Z47" s="14" t="s">
        <v>146</v>
      </c>
      <c r="AA47" s="14">
        <v>93</v>
      </c>
      <c r="AB47" s="14" t="s">
        <v>147</v>
      </c>
      <c r="AC47" s="14" t="s">
        <v>62</v>
      </c>
      <c r="AD47" s="14" t="s">
        <v>148</v>
      </c>
      <c r="AE47" s="14" t="s">
        <v>149</v>
      </c>
      <c r="AF47" s="14" t="s">
        <v>150</v>
      </c>
      <c r="AG47" s="14" t="s">
        <v>151</v>
      </c>
      <c r="AH47" s="85" t="s">
        <v>152</v>
      </c>
    </row>
    <row r="48" spans="1:35" ht="30" customHeight="1" outlineLevel="1" x14ac:dyDescent="0.25">
      <c r="A48" s="615"/>
      <c r="B48" s="154">
        <v>1</v>
      </c>
      <c r="C48" s="15">
        <v>9</v>
      </c>
      <c r="D48" s="15">
        <v>1</v>
      </c>
      <c r="E48" s="86">
        <v>13</v>
      </c>
      <c r="F48" s="294">
        <v>2</v>
      </c>
      <c r="G48" s="15">
        <v>9</v>
      </c>
      <c r="H48" s="15">
        <v>1</v>
      </c>
      <c r="I48" s="15">
        <v>2</v>
      </c>
      <c r="J48" s="15">
        <v>7</v>
      </c>
      <c r="K48" s="15">
        <v>1</v>
      </c>
      <c r="L48" s="15">
        <v>1</v>
      </c>
      <c r="M48" s="15">
        <v>1</v>
      </c>
      <c r="N48" s="15">
        <v>1</v>
      </c>
      <c r="O48" s="15">
        <v>1</v>
      </c>
      <c r="P48" s="15">
        <v>6</v>
      </c>
      <c r="Q48" s="15">
        <v>2</v>
      </c>
      <c r="R48" s="15">
        <v>2</v>
      </c>
      <c r="S48" s="15">
        <v>2</v>
      </c>
      <c r="T48" s="15">
        <v>6</v>
      </c>
      <c r="U48" s="15">
        <v>4</v>
      </c>
      <c r="V48" s="15">
        <v>4</v>
      </c>
      <c r="W48" s="15">
        <v>4</v>
      </c>
      <c r="X48" s="15">
        <v>4</v>
      </c>
      <c r="Y48" s="15">
        <v>4</v>
      </c>
      <c r="Z48" s="15">
        <v>4</v>
      </c>
      <c r="AA48" s="15">
        <v>1</v>
      </c>
      <c r="AB48" s="15">
        <v>2</v>
      </c>
      <c r="AC48" s="15">
        <v>6</v>
      </c>
      <c r="AD48" s="15">
        <v>2</v>
      </c>
      <c r="AE48" s="15">
        <v>6</v>
      </c>
      <c r="AF48" s="15">
        <v>7</v>
      </c>
      <c r="AG48" s="15">
        <v>7</v>
      </c>
      <c r="AH48" s="87">
        <v>5</v>
      </c>
    </row>
    <row r="49" spans="1:34" ht="30" customHeight="1" outlineLevel="1" x14ac:dyDescent="0.25">
      <c r="A49" s="615"/>
      <c r="B49" s="154" t="s">
        <v>1</v>
      </c>
      <c r="C49" s="15" t="s">
        <v>1</v>
      </c>
      <c r="D49" s="15" t="s">
        <v>69</v>
      </c>
      <c r="E49" s="86" t="s">
        <v>69</v>
      </c>
      <c r="F49" s="294" t="s">
        <v>1</v>
      </c>
      <c r="G49" s="15" t="s">
        <v>1</v>
      </c>
      <c r="H49" s="15" t="s">
        <v>69</v>
      </c>
      <c r="I49" s="15" t="s">
        <v>1</v>
      </c>
      <c r="J49" s="15" t="s">
        <v>69</v>
      </c>
      <c r="K49" s="15" t="s">
        <v>1</v>
      </c>
      <c r="L49" s="15" t="s">
        <v>1</v>
      </c>
      <c r="M49" s="15" t="s">
        <v>1</v>
      </c>
      <c r="N49" s="15" t="s">
        <v>69</v>
      </c>
      <c r="O49" s="15" t="s">
        <v>1</v>
      </c>
      <c r="P49" s="15" t="s">
        <v>1</v>
      </c>
      <c r="Q49" s="15" t="s">
        <v>1</v>
      </c>
      <c r="R49" s="15" t="s">
        <v>1</v>
      </c>
      <c r="S49" s="15" t="s">
        <v>1</v>
      </c>
      <c r="T49" s="15" t="s">
        <v>1</v>
      </c>
      <c r="U49" s="15" t="s">
        <v>1</v>
      </c>
      <c r="V49" s="15" t="s">
        <v>1</v>
      </c>
      <c r="W49" s="15" t="s">
        <v>1</v>
      </c>
      <c r="X49" s="15" t="s">
        <v>1</v>
      </c>
      <c r="Y49" s="15" t="s">
        <v>1</v>
      </c>
      <c r="Z49" s="15" t="s">
        <v>1</v>
      </c>
      <c r="AA49" s="15" t="s">
        <v>1</v>
      </c>
      <c r="AB49" s="15" t="s">
        <v>1</v>
      </c>
      <c r="AC49" s="15" t="s">
        <v>1</v>
      </c>
      <c r="AD49" s="15" t="s">
        <v>1</v>
      </c>
      <c r="AE49" s="15" t="s">
        <v>1</v>
      </c>
      <c r="AF49" s="15" t="s">
        <v>1</v>
      </c>
      <c r="AG49" s="15" t="s">
        <v>1</v>
      </c>
      <c r="AH49" s="225" t="s">
        <v>69</v>
      </c>
    </row>
    <row r="50" spans="1:34" ht="30" customHeight="1" outlineLevel="1" x14ac:dyDescent="0.25">
      <c r="A50" s="615"/>
      <c r="B50" s="154" t="s">
        <v>0</v>
      </c>
      <c r="C50" s="15" t="s">
        <v>0</v>
      </c>
      <c r="D50" s="15" t="s">
        <v>4</v>
      </c>
      <c r="E50" s="86" t="s">
        <v>0</v>
      </c>
      <c r="F50" s="294" t="s">
        <v>0</v>
      </c>
      <c r="G50" s="15" t="s">
        <v>0</v>
      </c>
      <c r="H50" s="15" t="s">
        <v>0</v>
      </c>
      <c r="I50" s="15" t="s">
        <v>4</v>
      </c>
      <c r="J50" s="15" t="s">
        <v>4</v>
      </c>
      <c r="K50" s="15" t="s">
        <v>0</v>
      </c>
      <c r="L50" s="15" t="s">
        <v>0</v>
      </c>
      <c r="M50" s="15" t="s">
        <v>0</v>
      </c>
      <c r="N50" s="15" t="s">
        <v>4</v>
      </c>
      <c r="O50" s="15" t="s">
        <v>0</v>
      </c>
      <c r="P50" s="15" t="s">
        <v>4</v>
      </c>
      <c r="Q50" s="15" t="s">
        <v>4</v>
      </c>
      <c r="R50" s="15" t="s">
        <v>4</v>
      </c>
      <c r="S50" s="15" t="s">
        <v>4</v>
      </c>
      <c r="T50" s="15" t="s">
        <v>4</v>
      </c>
      <c r="U50" s="15" t="s">
        <v>4</v>
      </c>
      <c r="V50" s="15" t="s">
        <v>4</v>
      </c>
      <c r="W50" s="15" t="s">
        <v>4</v>
      </c>
      <c r="X50" s="15" t="s">
        <v>4</v>
      </c>
      <c r="Y50" s="88" t="s">
        <v>4</v>
      </c>
      <c r="Z50" s="15" t="s">
        <v>4</v>
      </c>
      <c r="AA50" s="15" t="s">
        <v>4</v>
      </c>
      <c r="AB50" s="15" t="s">
        <v>4</v>
      </c>
      <c r="AC50" s="15" t="s">
        <v>4</v>
      </c>
      <c r="AD50" s="15" t="s">
        <v>4</v>
      </c>
      <c r="AE50" s="15" t="s">
        <v>4</v>
      </c>
      <c r="AF50" s="15" t="s">
        <v>4</v>
      </c>
      <c r="AG50" s="15" t="s">
        <v>4</v>
      </c>
      <c r="AH50" s="225" t="s">
        <v>4</v>
      </c>
    </row>
    <row r="51" spans="1:34" s="76" customFormat="1" ht="30" customHeight="1" thickBot="1" x14ac:dyDescent="0.3">
      <c r="A51" s="616"/>
      <c r="B51" s="149" t="s">
        <v>10</v>
      </c>
      <c r="C51" s="54" t="s">
        <v>544</v>
      </c>
      <c r="D51" s="55" t="s">
        <v>8</v>
      </c>
      <c r="E51" s="54" t="s">
        <v>198</v>
      </c>
      <c r="F51" s="288">
        <v>77</v>
      </c>
      <c r="G51" s="54">
        <v>250000001</v>
      </c>
      <c r="H51" s="55" t="s">
        <v>201</v>
      </c>
      <c r="I51" s="54" t="s">
        <v>202</v>
      </c>
      <c r="J51" s="55" t="s">
        <v>213</v>
      </c>
      <c r="K51" s="55" t="s">
        <v>206</v>
      </c>
      <c r="L51" s="55" t="s">
        <v>206</v>
      </c>
      <c r="M51" s="55" t="s">
        <v>206</v>
      </c>
      <c r="N51" s="55" t="s">
        <v>8</v>
      </c>
      <c r="O51" s="55" t="s">
        <v>206</v>
      </c>
      <c r="P51" s="55" t="s">
        <v>208</v>
      </c>
      <c r="Q51" s="55" t="s">
        <v>5</v>
      </c>
      <c r="R51" s="55" t="s">
        <v>5</v>
      </c>
      <c r="S51" s="55" t="s">
        <v>5</v>
      </c>
      <c r="T51" s="55" t="s">
        <v>208</v>
      </c>
      <c r="U51" s="55" t="s">
        <v>203</v>
      </c>
      <c r="V51" s="55" t="s">
        <v>203</v>
      </c>
      <c r="W51" s="55" t="s">
        <v>203</v>
      </c>
      <c r="X51" s="55" t="s">
        <v>203</v>
      </c>
      <c r="Y51" s="55" t="s">
        <v>203</v>
      </c>
      <c r="Z51" s="55" t="s">
        <v>203</v>
      </c>
      <c r="AA51" s="55" t="s">
        <v>206</v>
      </c>
      <c r="AB51" s="55" t="s">
        <v>5</v>
      </c>
      <c r="AC51" s="55" t="s">
        <v>208</v>
      </c>
      <c r="AD51" s="55" t="s">
        <v>5</v>
      </c>
      <c r="AE51" s="55" t="s">
        <v>208</v>
      </c>
      <c r="AF51" s="55" t="s">
        <v>212</v>
      </c>
      <c r="AG51" s="55" t="s">
        <v>212</v>
      </c>
      <c r="AH51" s="226" t="s">
        <v>428</v>
      </c>
    </row>
    <row r="52" spans="1:34" s="75" customFormat="1" ht="15.75" outlineLevel="1" thickBot="1" x14ac:dyDescent="0.3">
      <c r="B52" s="150" t="s">
        <v>586</v>
      </c>
      <c r="C52" s="75" t="s">
        <v>586</v>
      </c>
      <c r="D52" s="75" t="s">
        <v>586</v>
      </c>
      <c r="E52" s="75" t="s">
        <v>586</v>
      </c>
      <c r="F52" s="276" t="s">
        <v>586</v>
      </c>
      <c r="G52" s="75" t="s">
        <v>586</v>
      </c>
      <c r="H52" s="75" t="s">
        <v>586</v>
      </c>
      <c r="I52" s="75" t="s">
        <v>586</v>
      </c>
      <c r="J52" s="75" t="s">
        <v>586</v>
      </c>
      <c r="K52" s="75" t="s">
        <v>586</v>
      </c>
      <c r="L52" s="75" t="s">
        <v>586</v>
      </c>
      <c r="M52" s="75" t="s">
        <v>586</v>
      </c>
      <c r="N52" s="75" t="s">
        <v>586</v>
      </c>
      <c r="O52" s="75" t="s">
        <v>586</v>
      </c>
      <c r="P52" s="75" t="s">
        <v>586</v>
      </c>
      <c r="Q52" s="75" t="s">
        <v>586</v>
      </c>
      <c r="R52" s="75" t="s">
        <v>586</v>
      </c>
      <c r="S52" s="75" t="s">
        <v>586</v>
      </c>
      <c r="T52" s="75" t="s">
        <v>586</v>
      </c>
      <c r="U52" s="75" t="s">
        <v>586</v>
      </c>
      <c r="V52" s="75" t="s">
        <v>586</v>
      </c>
      <c r="W52" s="75" t="s">
        <v>586</v>
      </c>
      <c r="X52" s="75" t="s">
        <v>586</v>
      </c>
      <c r="Y52" s="75" t="s">
        <v>586</v>
      </c>
      <c r="Z52" s="75" t="s">
        <v>586</v>
      </c>
      <c r="AA52" s="75" t="s">
        <v>586</v>
      </c>
      <c r="AB52" s="75" t="s">
        <v>586</v>
      </c>
      <c r="AC52" s="75" t="s">
        <v>586</v>
      </c>
      <c r="AD52" s="75" t="s">
        <v>586</v>
      </c>
      <c r="AE52" s="75" t="s">
        <v>586</v>
      </c>
      <c r="AF52" s="75" t="s">
        <v>586</v>
      </c>
      <c r="AG52" s="75" t="s">
        <v>586</v>
      </c>
      <c r="AH52" s="75" t="s">
        <v>586</v>
      </c>
    </row>
    <row r="53" spans="1:34" ht="99.95" customHeight="1" x14ac:dyDescent="0.25">
      <c r="A53" s="622" t="s">
        <v>191</v>
      </c>
      <c r="B53" s="155" t="s">
        <v>13</v>
      </c>
      <c r="C53" s="20" t="s">
        <v>14</v>
      </c>
      <c r="D53" s="20" t="s">
        <v>15</v>
      </c>
      <c r="E53" s="21" t="s">
        <v>16</v>
      </c>
      <c r="F53" s="295" t="s">
        <v>17</v>
      </c>
      <c r="G53" s="20" t="s">
        <v>70</v>
      </c>
      <c r="H53" s="20" t="s">
        <v>113</v>
      </c>
      <c r="I53" s="20" t="s">
        <v>72</v>
      </c>
      <c r="J53" s="20" t="s">
        <v>153</v>
      </c>
      <c r="K53" s="20" t="s">
        <v>154</v>
      </c>
      <c r="L53" s="20" t="s">
        <v>155</v>
      </c>
      <c r="M53" s="20" t="s">
        <v>156</v>
      </c>
      <c r="N53" s="20" t="s">
        <v>157</v>
      </c>
      <c r="O53" s="20" t="s">
        <v>158</v>
      </c>
      <c r="P53" s="20" t="s">
        <v>159</v>
      </c>
      <c r="Q53" s="20" t="s">
        <v>160</v>
      </c>
      <c r="R53" s="20" t="s">
        <v>161</v>
      </c>
      <c r="S53" s="20" t="s">
        <v>162</v>
      </c>
      <c r="T53" s="20" t="s">
        <v>163</v>
      </c>
      <c r="U53" s="20" t="s">
        <v>164</v>
      </c>
      <c r="V53" s="20" t="s">
        <v>165</v>
      </c>
      <c r="W53" s="20" t="s">
        <v>166</v>
      </c>
      <c r="X53" s="20" t="s">
        <v>167</v>
      </c>
      <c r="Y53" s="20" t="s">
        <v>168</v>
      </c>
      <c r="Z53" s="20" t="s">
        <v>169</v>
      </c>
      <c r="AA53" s="20" t="s">
        <v>170</v>
      </c>
      <c r="AB53" s="20" t="s">
        <v>171</v>
      </c>
      <c r="AC53" s="20" t="s">
        <v>172</v>
      </c>
      <c r="AD53" s="22" t="s">
        <v>114</v>
      </c>
      <c r="AE53" s="189"/>
      <c r="AF53" s="189"/>
    </row>
    <row r="54" spans="1:34" ht="19.899999999999999" customHeight="1" x14ac:dyDescent="0.25">
      <c r="A54" s="615"/>
      <c r="B54" s="156">
        <v>1</v>
      </c>
      <c r="C54" s="90" t="s">
        <v>47</v>
      </c>
      <c r="D54" s="16">
        <v>11</v>
      </c>
      <c r="E54" s="91" t="s">
        <v>48</v>
      </c>
      <c r="F54" s="296" t="s">
        <v>49</v>
      </c>
      <c r="G54" s="92" t="s">
        <v>50</v>
      </c>
      <c r="H54" s="92">
        <v>36</v>
      </c>
      <c r="I54" s="92" t="s">
        <v>94</v>
      </c>
      <c r="J54" s="92" t="s">
        <v>173</v>
      </c>
      <c r="K54" s="92" t="s">
        <v>174</v>
      </c>
      <c r="L54" s="92" t="s">
        <v>175</v>
      </c>
      <c r="M54" s="92" t="s">
        <v>176</v>
      </c>
      <c r="N54" s="92" t="s">
        <v>177</v>
      </c>
      <c r="O54" s="92" t="s">
        <v>178</v>
      </c>
      <c r="P54" s="92" t="s">
        <v>179</v>
      </c>
      <c r="Q54" s="92" t="s">
        <v>180</v>
      </c>
      <c r="R54" s="92" t="s">
        <v>181</v>
      </c>
      <c r="S54" s="92" t="s">
        <v>939</v>
      </c>
      <c r="T54" s="92" t="s">
        <v>182</v>
      </c>
      <c r="U54" s="92">
        <v>100</v>
      </c>
      <c r="V54" s="92" t="s">
        <v>183</v>
      </c>
      <c r="W54" s="92" t="s">
        <v>184</v>
      </c>
      <c r="X54" s="92" t="s">
        <v>185</v>
      </c>
      <c r="Y54" s="92" t="s">
        <v>186</v>
      </c>
      <c r="Z54" s="92">
        <v>117</v>
      </c>
      <c r="AA54" s="92">
        <v>118</v>
      </c>
      <c r="AB54" s="92" t="s">
        <v>187</v>
      </c>
      <c r="AC54" s="92">
        <v>125</v>
      </c>
      <c r="AD54" s="93" t="s">
        <v>188</v>
      </c>
      <c r="AE54" s="189"/>
      <c r="AF54" s="189"/>
    </row>
    <row r="55" spans="1:34" ht="30" customHeight="1" outlineLevel="1" x14ac:dyDescent="0.25">
      <c r="A55" s="615"/>
      <c r="B55" s="156">
        <v>1</v>
      </c>
      <c r="C55" s="16">
        <v>9</v>
      </c>
      <c r="D55" s="16">
        <v>1</v>
      </c>
      <c r="E55" s="94">
        <v>13</v>
      </c>
      <c r="F55" s="297">
        <v>2</v>
      </c>
      <c r="G55" s="16">
        <v>9</v>
      </c>
      <c r="H55" s="16">
        <v>1</v>
      </c>
      <c r="I55" s="16">
        <v>2</v>
      </c>
      <c r="J55" s="16">
        <v>6</v>
      </c>
      <c r="K55" s="16">
        <v>4</v>
      </c>
      <c r="L55" s="16">
        <v>5</v>
      </c>
      <c r="M55" s="16">
        <v>9</v>
      </c>
      <c r="N55" s="16">
        <v>8</v>
      </c>
      <c r="O55" s="16">
        <v>3</v>
      </c>
      <c r="P55" s="16">
        <v>8</v>
      </c>
      <c r="Q55" s="16">
        <v>3</v>
      </c>
      <c r="R55" s="16">
        <v>6</v>
      </c>
      <c r="S55" s="16">
        <v>4</v>
      </c>
      <c r="T55" s="16">
        <v>5</v>
      </c>
      <c r="U55" s="16">
        <v>1</v>
      </c>
      <c r="V55" s="16">
        <v>2</v>
      </c>
      <c r="W55" s="16">
        <v>6</v>
      </c>
      <c r="X55" s="16">
        <v>4</v>
      </c>
      <c r="Y55" s="16">
        <v>4</v>
      </c>
      <c r="Z55" s="16">
        <v>1</v>
      </c>
      <c r="AA55" s="16">
        <v>1</v>
      </c>
      <c r="AB55" s="16">
        <v>6</v>
      </c>
      <c r="AC55" s="16">
        <v>1</v>
      </c>
      <c r="AD55" s="23">
        <v>3</v>
      </c>
      <c r="AE55" s="189"/>
      <c r="AF55" s="189"/>
    </row>
    <row r="56" spans="1:34" ht="30" customHeight="1" outlineLevel="1" x14ac:dyDescent="0.25">
      <c r="A56" s="615"/>
      <c r="B56" s="156" t="s">
        <v>1</v>
      </c>
      <c r="C56" s="16" t="s">
        <v>1</v>
      </c>
      <c r="D56" s="16" t="s">
        <v>69</v>
      </c>
      <c r="E56" s="94" t="s">
        <v>69</v>
      </c>
      <c r="F56" s="297" t="s">
        <v>1</v>
      </c>
      <c r="G56" s="16" t="s">
        <v>1</v>
      </c>
      <c r="H56" s="16" t="s">
        <v>69</v>
      </c>
      <c r="I56" s="16" t="s">
        <v>1</v>
      </c>
      <c r="J56" s="16" t="s">
        <v>1</v>
      </c>
      <c r="K56" s="16" t="s">
        <v>1</v>
      </c>
      <c r="L56" s="16" t="s">
        <v>1</v>
      </c>
      <c r="M56" s="143" t="s">
        <v>69</v>
      </c>
      <c r="N56" s="16" t="s">
        <v>69</v>
      </c>
      <c r="O56" s="16" t="s">
        <v>69</v>
      </c>
      <c r="P56" s="16" t="s">
        <v>69</v>
      </c>
      <c r="Q56" s="16" t="s">
        <v>69</v>
      </c>
      <c r="R56" s="16" t="s">
        <v>1</v>
      </c>
      <c r="S56" s="16" t="s">
        <v>1</v>
      </c>
      <c r="T56" s="16" t="s">
        <v>1</v>
      </c>
      <c r="U56" s="16" t="s">
        <v>1</v>
      </c>
      <c r="V56" s="16" t="s">
        <v>1</v>
      </c>
      <c r="W56" s="16" t="s">
        <v>1</v>
      </c>
      <c r="X56" s="16" t="s">
        <v>1</v>
      </c>
      <c r="Y56" s="16" t="s">
        <v>1</v>
      </c>
      <c r="Z56" s="16" t="s">
        <v>69</v>
      </c>
      <c r="AA56" s="16" t="s">
        <v>69</v>
      </c>
      <c r="AB56" s="16" t="s">
        <v>1</v>
      </c>
      <c r="AC56" s="16" t="s">
        <v>69</v>
      </c>
      <c r="AD56" s="227" t="s">
        <v>69</v>
      </c>
      <c r="AE56" s="189"/>
      <c r="AF56" s="189"/>
    </row>
    <row r="57" spans="1:34" ht="30" customHeight="1" outlineLevel="1" x14ac:dyDescent="0.25">
      <c r="A57" s="615"/>
      <c r="B57" s="156" t="s">
        <v>0</v>
      </c>
      <c r="C57" s="16" t="s">
        <v>0</v>
      </c>
      <c r="D57" s="16" t="s">
        <v>4</v>
      </c>
      <c r="E57" s="94" t="s">
        <v>0</v>
      </c>
      <c r="F57" s="29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189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4</v>
      </c>
      <c r="Q57" s="16" t="s">
        <v>4</v>
      </c>
      <c r="R57" s="16" t="s">
        <v>0</v>
      </c>
      <c r="S57" s="16" t="s">
        <v>0</v>
      </c>
      <c r="T57" s="16" t="s">
        <v>0</v>
      </c>
      <c r="U57" s="16" t="s">
        <v>0</v>
      </c>
      <c r="V57" s="16" t="s">
        <v>4</v>
      </c>
      <c r="W57" s="16" t="s">
        <v>4</v>
      </c>
      <c r="X57" s="16" t="s">
        <v>4</v>
      </c>
      <c r="Y57" s="16" t="s">
        <v>0</v>
      </c>
      <c r="Z57" s="16" t="s">
        <v>4</v>
      </c>
      <c r="AA57" s="16" t="s">
        <v>4</v>
      </c>
      <c r="AB57" s="16" t="s">
        <v>4</v>
      </c>
      <c r="AC57" s="16" t="s">
        <v>4</v>
      </c>
      <c r="AD57" s="23" t="s">
        <v>4</v>
      </c>
      <c r="AE57" s="189"/>
      <c r="AF57" s="189"/>
    </row>
    <row r="58" spans="1:34" s="76" customFormat="1" ht="30" customHeight="1" thickBot="1" x14ac:dyDescent="0.3">
      <c r="A58" s="616"/>
      <c r="B58" s="149" t="s">
        <v>10</v>
      </c>
      <c r="C58" s="54" t="s">
        <v>544</v>
      </c>
      <c r="D58" s="55" t="s">
        <v>8</v>
      </c>
      <c r="E58" s="54" t="s">
        <v>198</v>
      </c>
      <c r="F58" s="288">
        <v>77</v>
      </c>
      <c r="G58" s="54">
        <v>250000001</v>
      </c>
      <c r="H58" s="55" t="s">
        <v>11</v>
      </c>
      <c r="I58" s="33" t="s">
        <v>202</v>
      </c>
      <c r="J58" s="54" t="s">
        <v>581</v>
      </c>
      <c r="K58" s="54" t="s">
        <v>582</v>
      </c>
      <c r="L58" s="54" t="s">
        <v>263</v>
      </c>
      <c r="M58" s="54" t="s">
        <v>542</v>
      </c>
      <c r="N58" s="54" t="s">
        <v>417</v>
      </c>
      <c r="O58" s="54" t="s">
        <v>483</v>
      </c>
      <c r="P58" s="54" t="s">
        <v>211</v>
      </c>
      <c r="Q58" s="54" t="s">
        <v>9</v>
      </c>
      <c r="R58" s="54" t="s">
        <v>581</v>
      </c>
      <c r="S58" s="54" t="s">
        <v>626</v>
      </c>
      <c r="T58" s="54" t="s">
        <v>262</v>
      </c>
      <c r="U58" s="54">
        <v>1</v>
      </c>
      <c r="V58" s="55" t="s">
        <v>5</v>
      </c>
      <c r="W58" s="55" t="s">
        <v>208</v>
      </c>
      <c r="X58" s="229" t="s">
        <v>203</v>
      </c>
      <c r="Y58" s="54" t="s">
        <v>627</v>
      </c>
      <c r="Z58" s="55" t="s">
        <v>8</v>
      </c>
      <c r="AA58" s="55" t="s">
        <v>8</v>
      </c>
      <c r="AB58" s="55" t="s">
        <v>208</v>
      </c>
      <c r="AC58" s="33" t="s">
        <v>8</v>
      </c>
      <c r="AD58" s="89" t="s">
        <v>9</v>
      </c>
      <c r="AE58" s="188" t="s">
        <v>589</v>
      </c>
      <c r="AF58" s="190"/>
    </row>
    <row r="59" spans="1:34" s="75" customFormat="1" ht="15.75" outlineLevel="1" thickBot="1" x14ac:dyDescent="0.3">
      <c r="B59" s="150" t="s">
        <v>586</v>
      </c>
      <c r="C59" s="75" t="s">
        <v>586</v>
      </c>
      <c r="D59" s="75" t="s">
        <v>586</v>
      </c>
      <c r="E59" s="75" t="s">
        <v>586</v>
      </c>
      <c r="F59" s="276" t="s">
        <v>586</v>
      </c>
      <c r="G59" s="75" t="s">
        <v>586</v>
      </c>
      <c r="H59" s="75" t="s">
        <v>586</v>
      </c>
      <c r="I59" s="75" t="s">
        <v>586</v>
      </c>
      <c r="J59" s="75" t="s">
        <v>586</v>
      </c>
      <c r="K59" s="75" t="s">
        <v>586</v>
      </c>
      <c r="L59" s="75" t="s">
        <v>586</v>
      </c>
      <c r="M59" s="75" t="s">
        <v>586</v>
      </c>
      <c r="N59" s="75" t="s">
        <v>586</v>
      </c>
      <c r="O59" s="75" t="s">
        <v>586</v>
      </c>
      <c r="P59" s="75" t="s">
        <v>586</v>
      </c>
      <c r="Q59" s="75" t="s">
        <v>586</v>
      </c>
      <c r="R59" s="75" t="s">
        <v>586</v>
      </c>
      <c r="S59" s="75" t="s">
        <v>586</v>
      </c>
      <c r="T59" s="75" t="s">
        <v>586</v>
      </c>
      <c r="U59" s="75" t="s">
        <v>586</v>
      </c>
      <c r="V59" s="75" t="s">
        <v>586</v>
      </c>
      <c r="W59" s="75" t="s">
        <v>586</v>
      </c>
      <c r="X59" s="75" t="s">
        <v>586</v>
      </c>
      <c r="Y59" s="75" t="s">
        <v>586</v>
      </c>
      <c r="Z59" s="75" t="s">
        <v>586</v>
      </c>
      <c r="AA59" s="75" t="s">
        <v>586</v>
      </c>
      <c r="AB59" s="75" t="s">
        <v>586</v>
      </c>
      <c r="AC59" s="75" t="s">
        <v>586</v>
      </c>
      <c r="AD59" s="75" t="s">
        <v>586</v>
      </c>
      <c r="AE59" s="189"/>
      <c r="AF59" s="189"/>
    </row>
    <row r="60" spans="1:34" ht="99.95" customHeight="1" x14ac:dyDescent="0.25">
      <c r="A60" s="622" t="s">
        <v>191</v>
      </c>
      <c r="B60" s="155" t="s">
        <v>13</v>
      </c>
      <c r="C60" s="20" t="s">
        <v>14</v>
      </c>
      <c r="D60" s="20" t="s">
        <v>15</v>
      </c>
      <c r="E60" s="21" t="s">
        <v>16</v>
      </c>
      <c r="F60" s="295" t="s">
        <v>17</v>
      </c>
      <c r="G60" s="20" t="s">
        <v>70</v>
      </c>
      <c r="H60" s="20" t="s">
        <v>113</v>
      </c>
      <c r="I60" s="20" t="s">
        <v>72</v>
      </c>
      <c r="J60" s="20" t="s">
        <v>153</v>
      </c>
      <c r="K60" s="20" t="s">
        <v>154</v>
      </c>
      <c r="L60" s="20" t="s">
        <v>155</v>
      </c>
      <c r="M60" s="20" t="s">
        <v>156</v>
      </c>
      <c r="N60" s="20" t="s">
        <v>157</v>
      </c>
      <c r="O60" s="20" t="s">
        <v>158</v>
      </c>
      <c r="P60" s="20" t="s">
        <v>159</v>
      </c>
      <c r="Q60" s="20" t="s">
        <v>160</v>
      </c>
      <c r="R60" s="20" t="s">
        <v>161</v>
      </c>
      <c r="S60" s="20" t="s">
        <v>162</v>
      </c>
      <c r="T60" s="20" t="s">
        <v>163</v>
      </c>
      <c r="U60" s="20" t="s">
        <v>164</v>
      </c>
      <c r="V60" s="20" t="s">
        <v>165</v>
      </c>
      <c r="W60" s="20" t="s">
        <v>166</v>
      </c>
      <c r="X60" s="20" t="s">
        <v>167</v>
      </c>
      <c r="Y60" s="20" t="s">
        <v>168</v>
      </c>
      <c r="Z60" s="20" t="s">
        <v>169</v>
      </c>
      <c r="AA60" s="20" t="s">
        <v>170</v>
      </c>
      <c r="AB60" s="20" t="s">
        <v>171</v>
      </c>
      <c r="AC60" s="20" t="s">
        <v>172</v>
      </c>
      <c r="AD60" s="22" t="s">
        <v>114</v>
      </c>
      <c r="AE60" s="189"/>
      <c r="AF60" s="189"/>
    </row>
    <row r="61" spans="1:34" ht="19.899999999999999" customHeight="1" x14ac:dyDescent="0.25">
      <c r="A61" s="615"/>
      <c r="B61" s="156">
        <v>1</v>
      </c>
      <c r="C61" s="90" t="s">
        <v>47</v>
      </c>
      <c r="D61" s="16">
        <v>11</v>
      </c>
      <c r="E61" s="91" t="s">
        <v>48</v>
      </c>
      <c r="F61" s="296" t="s">
        <v>49</v>
      </c>
      <c r="G61" s="92" t="s">
        <v>50</v>
      </c>
      <c r="H61" s="92">
        <v>36</v>
      </c>
      <c r="I61" s="92" t="s">
        <v>94</v>
      </c>
      <c r="J61" s="92" t="s">
        <v>173</v>
      </c>
      <c r="K61" s="92" t="s">
        <v>174</v>
      </c>
      <c r="L61" s="92" t="s">
        <v>175</v>
      </c>
      <c r="M61" s="92" t="s">
        <v>176</v>
      </c>
      <c r="N61" s="92" t="s">
        <v>177</v>
      </c>
      <c r="O61" s="92" t="s">
        <v>178</v>
      </c>
      <c r="P61" s="92" t="s">
        <v>179</v>
      </c>
      <c r="Q61" s="92" t="s">
        <v>180</v>
      </c>
      <c r="R61" s="92" t="s">
        <v>181</v>
      </c>
      <c r="S61" s="92" t="s">
        <v>939</v>
      </c>
      <c r="T61" s="92" t="s">
        <v>182</v>
      </c>
      <c r="U61" s="92">
        <v>100</v>
      </c>
      <c r="V61" s="92" t="s">
        <v>183</v>
      </c>
      <c r="W61" s="92" t="s">
        <v>184</v>
      </c>
      <c r="X61" s="92" t="s">
        <v>185</v>
      </c>
      <c r="Y61" s="92" t="s">
        <v>186</v>
      </c>
      <c r="Z61" s="92">
        <v>117</v>
      </c>
      <c r="AA61" s="92">
        <v>118</v>
      </c>
      <c r="AB61" s="92" t="s">
        <v>187</v>
      </c>
      <c r="AC61" s="92">
        <v>125</v>
      </c>
      <c r="AD61" s="93" t="s">
        <v>188</v>
      </c>
      <c r="AE61" s="189"/>
      <c r="AF61" s="189"/>
    </row>
    <row r="62" spans="1:34" ht="30" customHeight="1" outlineLevel="1" x14ac:dyDescent="0.25">
      <c r="A62" s="615"/>
      <c r="B62" s="156">
        <v>1</v>
      </c>
      <c r="C62" s="16">
        <v>9</v>
      </c>
      <c r="D62" s="16">
        <v>1</v>
      </c>
      <c r="E62" s="94">
        <v>13</v>
      </c>
      <c r="F62" s="297">
        <v>2</v>
      </c>
      <c r="G62" s="16">
        <v>9</v>
      </c>
      <c r="H62" s="16">
        <v>1</v>
      </c>
      <c r="I62" s="16">
        <v>2</v>
      </c>
      <c r="J62" s="16">
        <v>6</v>
      </c>
      <c r="K62" s="16">
        <v>4</v>
      </c>
      <c r="L62" s="16">
        <v>5</v>
      </c>
      <c r="M62" s="16">
        <v>9</v>
      </c>
      <c r="N62" s="16">
        <v>8</v>
      </c>
      <c r="O62" s="16">
        <v>3</v>
      </c>
      <c r="P62" s="16">
        <v>8</v>
      </c>
      <c r="Q62" s="16">
        <v>3</v>
      </c>
      <c r="R62" s="16">
        <v>6</v>
      </c>
      <c r="S62" s="16">
        <v>4</v>
      </c>
      <c r="T62" s="16">
        <v>5</v>
      </c>
      <c r="U62" s="16">
        <v>1</v>
      </c>
      <c r="V62" s="16">
        <v>2</v>
      </c>
      <c r="W62" s="16">
        <v>6</v>
      </c>
      <c r="X62" s="16">
        <v>4</v>
      </c>
      <c r="Y62" s="16">
        <v>4</v>
      </c>
      <c r="Z62" s="16">
        <v>1</v>
      </c>
      <c r="AA62" s="16">
        <v>1</v>
      </c>
      <c r="AB62" s="16">
        <v>6</v>
      </c>
      <c r="AC62" s="16">
        <v>1</v>
      </c>
      <c r="AD62" s="23">
        <v>3</v>
      </c>
      <c r="AE62" s="189"/>
      <c r="AF62" s="189"/>
    </row>
    <row r="63" spans="1:34" ht="30" customHeight="1" outlineLevel="1" x14ac:dyDescent="0.25">
      <c r="A63" s="615"/>
      <c r="B63" s="156" t="s">
        <v>1</v>
      </c>
      <c r="C63" s="16" t="s">
        <v>1</v>
      </c>
      <c r="D63" s="16" t="s">
        <v>69</v>
      </c>
      <c r="E63" s="94" t="s">
        <v>69</v>
      </c>
      <c r="F63" s="297" t="s">
        <v>1</v>
      </c>
      <c r="G63" s="16" t="s">
        <v>1</v>
      </c>
      <c r="H63" s="16" t="s">
        <v>69</v>
      </c>
      <c r="I63" s="16" t="s">
        <v>1</v>
      </c>
      <c r="J63" s="16" t="s">
        <v>1</v>
      </c>
      <c r="K63" s="16" t="s">
        <v>1</v>
      </c>
      <c r="L63" s="16" t="s">
        <v>1</v>
      </c>
      <c r="M63" s="143" t="s">
        <v>69</v>
      </c>
      <c r="N63" s="16" t="s">
        <v>69</v>
      </c>
      <c r="O63" s="16" t="s">
        <v>69</v>
      </c>
      <c r="P63" s="16" t="s">
        <v>69</v>
      </c>
      <c r="Q63" s="16" t="s">
        <v>69</v>
      </c>
      <c r="R63" s="16" t="s">
        <v>1</v>
      </c>
      <c r="S63" s="16" t="s">
        <v>1</v>
      </c>
      <c r="T63" s="16" t="s">
        <v>1</v>
      </c>
      <c r="U63" s="16" t="s">
        <v>1</v>
      </c>
      <c r="V63" s="16" t="s">
        <v>1</v>
      </c>
      <c r="W63" s="16" t="s">
        <v>1</v>
      </c>
      <c r="X63" s="16" t="s">
        <v>1</v>
      </c>
      <c r="Y63" s="16" t="s">
        <v>1</v>
      </c>
      <c r="Z63" s="16" t="s">
        <v>69</v>
      </c>
      <c r="AA63" s="16" t="s">
        <v>69</v>
      </c>
      <c r="AB63" s="16" t="s">
        <v>1</v>
      </c>
      <c r="AC63" s="16" t="s">
        <v>69</v>
      </c>
      <c r="AD63" s="227" t="s">
        <v>69</v>
      </c>
      <c r="AE63" s="189"/>
      <c r="AF63" s="189"/>
    </row>
    <row r="64" spans="1:34" ht="30" customHeight="1" outlineLevel="1" x14ac:dyDescent="0.25">
      <c r="A64" s="615"/>
      <c r="B64" s="156" t="s">
        <v>0</v>
      </c>
      <c r="C64" s="16" t="s">
        <v>0</v>
      </c>
      <c r="D64" s="16" t="s">
        <v>4</v>
      </c>
      <c r="E64" s="94" t="s">
        <v>0</v>
      </c>
      <c r="F64" s="29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189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4</v>
      </c>
      <c r="Q64" s="16" t="s">
        <v>4</v>
      </c>
      <c r="R64" s="16" t="s">
        <v>0</v>
      </c>
      <c r="S64" s="16" t="s">
        <v>0</v>
      </c>
      <c r="T64" s="16" t="s">
        <v>0</v>
      </c>
      <c r="U64" s="16" t="s">
        <v>0</v>
      </c>
      <c r="V64" s="16" t="s">
        <v>4</v>
      </c>
      <c r="W64" s="16" t="s">
        <v>4</v>
      </c>
      <c r="X64" s="16" t="s">
        <v>4</v>
      </c>
      <c r="Y64" s="16" t="s">
        <v>0</v>
      </c>
      <c r="Z64" s="16" t="s">
        <v>4</v>
      </c>
      <c r="AA64" s="16" t="s">
        <v>4</v>
      </c>
      <c r="AB64" s="16" t="s">
        <v>4</v>
      </c>
      <c r="AC64" s="16" t="s">
        <v>4</v>
      </c>
      <c r="AD64" s="23" t="s">
        <v>4</v>
      </c>
      <c r="AE64" s="189"/>
      <c r="AF64" s="189"/>
    </row>
    <row r="65" spans="1:33" s="76" customFormat="1" ht="30" customHeight="1" thickBot="1" x14ac:dyDescent="0.3">
      <c r="A65" s="616"/>
      <c r="B65" s="149" t="s">
        <v>10</v>
      </c>
      <c r="C65" s="54" t="s">
        <v>544</v>
      </c>
      <c r="D65" s="55" t="s">
        <v>8</v>
      </c>
      <c r="E65" s="54" t="s">
        <v>198</v>
      </c>
      <c r="F65" s="288">
        <v>77</v>
      </c>
      <c r="G65" s="54">
        <v>250000001</v>
      </c>
      <c r="H65" s="55" t="s">
        <v>11</v>
      </c>
      <c r="I65" s="33" t="s">
        <v>649</v>
      </c>
      <c r="J65" s="54" t="s">
        <v>581</v>
      </c>
      <c r="K65" s="54" t="s">
        <v>661</v>
      </c>
      <c r="L65" s="54" t="s">
        <v>262</v>
      </c>
      <c r="M65" s="54" t="s">
        <v>542</v>
      </c>
      <c r="N65" s="54" t="s">
        <v>484</v>
      </c>
      <c r="O65" s="54" t="s">
        <v>485</v>
      </c>
      <c r="P65" s="54" t="s">
        <v>211</v>
      </c>
      <c r="Q65" s="54" t="s">
        <v>9</v>
      </c>
      <c r="R65" s="54" t="s">
        <v>581</v>
      </c>
      <c r="S65" s="54" t="s">
        <v>747</v>
      </c>
      <c r="T65" s="54" t="s">
        <v>263</v>
      </c>
      <c r="U65" s="54">
        <v>3</v>
      </c>
      <c r="V65" s="55" t="s">
        <v>5</v>
      </c>
      <c r="W65" s="55" t="s">
        <v>208</v>
      </c>
      <c r="X65" s="229" t="s">
        <v>203</v>
      </c>
      <c r="Y65" s="54" t="s">
        <v>627</v>
      </c>
      <c r="Z65" s="55" t="s">
        <v>8</v>
      </c>
      <c r="AA65" s="55" t="s">
        <v>8</v>
      </c>
      <c r="AB65" s="55" t="s">
        <v>208</v>
      </c>
      <c r="AC65" s="33" t="s">
        <v>8</v>
      </c>
      <c r="AD65" s="89" t="s">
        <v>9</v>
      </c>
      <c r="AE65" s="188" t="s">
        <v>589</v>
      </c>
      <c r="AF65" s="191"/>
    </row>
    <row r="66" spans="1:33" s="75" customFormat="1" ht="15.75" outlineLevel="1" thickBot="1" x14ac:dyDescent="0.3">
      <c r="B66" s="150" t="s">
        <v>586</v>
      </c>
      <c r="C66" s="75" t="s">
        <v>586</v>
      </c>
      <c r="D66" s="75" t="s">
        <v>586</v>
      </c>
      <c r="E66" s="75" t="s">
        <v>586</v>
      </c>
      <c r="F66" s="276" t="s">
        <v>586</v>
      </c>
      <c r="G66" s="75" t="s">
        <v>586</v>
      </c>
      <c r="H66" s="75" t="s">
        <v>586</v>
      </c>
      <c r="I66" s="75" t="s">
        <v>586</v>
      </c>
      <c r="J66" s="75" t="s">
        <v>586</v>
      </c>
      <c r="K66" s="75" t="s">
        <v>586</v>
      </c>
      <c r="L66" s="75" t="s">
        <v>586</v>
      </c>
      <c r="M66" s="75" t="s">
        <v>586</v>
      </c>
      <c r="N66" s="75" t="s">
        <v>586</v>
      </c>
      <c r="O66" s="75" t="s">
        <v>586</v>
      </c>
      <c r="P66" s="75" t="s">
        <v>586</v>
      </c>
      <c r="Q66" s="75" t="s">
        <v>586</v>
      </c>
      <c r="R66" s="75" t="s">
        <v>586</v>
      </c>
      <c r="S66" s="75" t="s">
        <v>586</v>
      </c>
      <c r="T66" s="75" t="s">
        <v>586</v>
      </c>
      <c r="U66" s="75" t="s">
        <v>586</v>
      </c>
      <c r="V66" s="75" t="s">
        <v>586</v>
      </c>
      <c r="W66" s="75" t="s">
        <v>586</v>
      </c>
      <c r="X66" s="75" t="s">
        <v>586</v>
      </c>
      <c r="Y66" s="75" t="s">
        <v>586</v>
      </c>
      <c r="Z66" s="75" t="s">
        <v>586</v>
      </c>
      <c r="AA66" s="75" t="s">
        <v>586</v>
      </c>
      <c r="AB66" s="75" t="s">
        <v>586</v>
      </c>
      <c r="AC66" s="75" t="s">
        <v>586</v>
      </c>
      <c r="AD66" s="75" t="s">
        <v>586</v>
      </c>
      <c r="AE66" s="189"/>
      <c r="AF66" s="189"/>
    </row>
    <row r="67" spans="1:33" ht="99.95" customHeight="1" x14ac:dyDescent="0.25">
      <c r="A67" s="622" t="s">
        <v>191</v>
      </c>
      <c r="B67" s="155" t="s">
        <v>13</v>
      </c>
      <c r="C67" s="20" t="s">
        <v>14</v>
      </c>
      <c r="D67" s="20" t="s">
        <v>15</v>
      </c>
      <c r="E67" s="21" t="s">
        <v>16</v>
      </c>
      <c r="F67" s="295" t="s">
        <v>17</v>
      </c>
      <c r="G67" s="20" t="s">
        <v>70</v>
      </c>
      <c r="H67" s="20" t="s">
        <v>113</v>
      </c>
      <c r="I67" s="20" t="s">
        <v>72</v>
      </c>
      <c r="J67" s="20" t="s">
        <v>153</v>
      </c>
      <c r="K67" s="20" t="s">
        <v>154</v>
      </c>
      <c r="L67" s="20" t="s">
        <v>155</v>
      </c>
      <c r="M67" s="20" t="s">
        <v>156</v>
      </c>
      <c r="N67" s="20" t="s">
        <v>157</v>
      </c>
      <c r="O67" s="20" t="s">
        <v>158</v>
      </c>
      <c r="P67" s="20" t="s">
        <v>159</v>
      </c>
      <c r="Q67" s="20" t="s">
        <v>160</v>
      </c>
      <c r="R67" s="20" t="s">
        <v>161</v>
      </c>
      <c r="S67" s="20" t="s">
        <v>162</v>
      </c>
      <c r="T67" s="20" t="s">
        <v>163</v>
      </c>
      <c r="U67" s="20" t="s">
        <v>164</v>
      </c>
      <c r="V67" s="20" t="s">
        <v>165</v>
      </c>
      <c r="W67" s="20" t="s">
        <v>166</v>
      </c>
      <c r="X67" s="20" t="s">
        <v>167</v>
      </c>
      <c r="Y67" s="20" t="s">
        <v>168</v>
      </c>
      <c r="Z67" s="20" t="s">
        <v>169</v>
      </c>
      <c r="AA67" s="20" t="s">
        <v>170</v>
      </c>
      <c r="AB67" s="20" t="s">
        <v>171</v>
      </c>
      <c r="AC67" s="20" t="s">
        <v>172</v>
      </c>
      <c r="AD67" s="22" t="s">
        <v>114</v>
      </c>
      <c r="AE67" s="189"/>
      <c r="AF67" s="189"/>
    </row>
    <row r="68" spans="1:33" ht="19.899999999999999" customHeight="1" x14ac:dyDescent="0.25">
      <c r="A68" s="615"/>
      <c r="B68" s="156">
        <v>1</v>
      </c>
      <c r="C68" s="90" t="s">
        <v>47</v>
      </c>
      <c r="D68" s="16">
        <v>11</v>
      </c>
      <c r="E68" s="91" t="s">
        <v>48</v>
      </c>
      <c r="F68" s="296" t="s">
        <v>49</v>
      </c>
      <c r="G68" s="92" t="s">
        <v>50</v>
      </c>
      <c r="H68" s="92">
        <v>36</v>
      </c>
      <c r="I68" s="92" t="s">
        <v>94</v>
      </c>
      <c r="J68" s="92" t="s">
        <v>173</v>
      </c>
      <c r="K68" s="92" t="s">
        <v>174</v>
      </c>
      <c r="L68" s="92" t="s">
        <v>175</v>
      </c>
      <c r="M68" s="92" t="s">
        <v>176</v>
      </c>
      <c r="N68" s="92" t="s">
        <v>177</v>
      </c>
      <c r="O68" s="92" t="s">
        <v>178</v>
      </c>
      <c r="P68" s="92" t="s">
        <v>179</v>
      </c>
      <c r="Q68" s="92" t="s">
        <v>180</v>
      </c>
      <c r="R68" s="92" t="s">
        <v>181</v>
      </c>
      <c r="S68" s="92" t="s">
        <v>939</v>
      </c>
      <c r="T68" s="92" t="s">
        <v>182</v>
      </c>
      <c r="U68" s="92">
        <v>100</v>
      </c>
      <c r="V68" s="92" t="s">
        <v>183</v>
      </c>
      <c r="W68" s="92" t="s">
        <v>184</v>
      </c>
      <c r="X68" s="92" t="s">
        <v>185</v>
      </c>
      <c r="Y68" s="92" t="s">
        <v>186</v>
      </c>
      <c r="Z68" s="92">
        <v>117</v>
      </c>
      <c r="AA68" s="92">
        <v>118</v>
      </c>
      <c r="AB68" s="92" t="s">
        <v>187</v>
      </c>
      <c r="AC68" s="92">
        <v>125</v>
      </c>
      <c r="AD68" s="93" t="s">
        <v>188</v>
      </c>
      <c r="AE68" s="189"/>
      <c r="AF68" s="189"/>
    </row>
    <row r="69" spans="1:33" ht="30" customHeight="1" outlineLevel="2" x14ac:dyDescent="0.25">
      <c r="A69" s="615"/>
      <c r="B69" s="156">
        <v>1</v>
      </c>
      <c r="C69" s="16">
        <v>9</v>
      </c>
      <c r="D69" s="16">
        <v>1</v>
      </c>
      <c r="E69" s="94">
        <v>13</v>
      </c>
      <c r="F69" s="297">
        <v>2</v>
      </c>
      <c r="G69" s="16">
        <v>9</v>
      </c>
      <c r="H69" s="16">
        <v>1</v>
      </c>
      <c r="I69" s="16">
        <v>2</v>
      </c>
      <c r="J69" s="16">
        <v>6</v>
      </c>
      <c r="K69" s="16">
        <v>4</v>
      </c>
      <c r="L69" s="16">
        <v>5</v>
      </c>
      <c r="M69" s="16">
        <v>9</v>
      </c>
      <c r="N69" s="16">
        <v>8</v>
      </c>
      <c r="O69" s="16">
        <v>3</v>
      </c>
      <c r="P69" s="16">
        <v>8</v>
      </c>
      <c r="Q69" s="16">
        <v>3</v>
      </c>
      <c r="R69" s="16">
        <v>6</v>
      </c>
      <c r="S69" s="16">
        <v>4</v>
      </c>
      <c r="T69" s="16">
        <v>5</v>
      </c>
      <c r="U69" s="16">
        <v>1</v>
      </c>
      <c r="V69" s="16">
        <v>2</v>
      </c>
      <c r="W69" s="16">
        <v>6</v>
      </c>
      <c r="X69" s="16">
        <v>4</v>
      </c>
      <c r="Y69" s="16">
        <v>4</v>
      </c>
      <c r="Z69" s="16">
        <v>1</v>
      </c>
      <c r="AA69" s="16">
        <v>1</v>
      </c>
      <c r="AB69" s="16">
        <v>6</v>
      </c>
      <c r="AC69" s="16">
        <v>1</v>
      </c>
      <c r="AD69" s="23">
        <v>3</v>
      </c>
      <c r="AE69" s="189"/>
      <c r="AF69" s="189"/>
    </row>
    <row r="70" spans="1:33" ht="30" customHeight="1" outlineLevel="2" x14ac:dyDescent="0.25">
      <c r="A70" s="615"/>
      <c r="B70" s="156" t="s">
        <v>1</v>
      </c>
      <c r="C70" s="16" t="s">
        <v>1</v>
      </c>
      <c r="D70" s="16" t="s">
        <v>69</v>
      </c>
      <c r="E70" s="94" t="s">
        <v>69</v>
      </c>
      <c r="F70" s="297" t="s">
        <v>1</v>
      </c>
      <c r="G70" s="16" t="s">
        <v>1</v>
      </c>
      <c r="H70" s="16" t="s">
        <v>69</v>
      </c>
      <c r="I70" s="16" t="s">
        <v>1</v>
      </c>
      <c r="J70" s="16" t="s">
        <v>1</v>
      </c>
      <c r="K70" s="16" t="s">
        <v>1</v>
      </c>
      <c r="L70" s="16" t="s">
        <v>1</v>
      </c>
      <c r="M70" s="143" t="s">
        <v>69</v>
      </c>
      <c r="N70" s="16" t="s">
        <v>69</v>
      </c>
      <c r="O70" s="16" t="s">
        <v>69</v>
      </c>
      <c r="P70" s="16" t="s">
        <v>69</v>
      </c>
      <c r="Q70" s="16" t="s">
        <v>69</v>
      </c>
      <c r="R70" s="16" t="s">
        <v>1</v>
      </c>
      <c r="S70" s="16" t="s">
        <v>1</v>
      </c>
      <c r="T70" s="16" t="s">
        <v>1</v>
      </c>
      <c r="U70" s="16" t="s">
        <v>1</v>
      </c>
      <c r="V70" s="16" t="s">
        <v>1</v>
      </c>
      <c r="W70" s="16" t="s">
        <v>1</v>
      </c>
      <c r="X70" s="16" t="s">
        <v>1</v>
      </c>
      <c r="Y70" s="16" t="s">
        <v>1</v>
      </c>
      <c r="Z70" s="16" t="s">
        <v>69</v>
      </c>
      <c r="AA70" s="16" t="s">
        <v>69</v>
      </c>
      <c r="AB70" s="16" t="s">
        <v>1</v>
      </c>
      <c r="AC70" s="16" t="s">
        <v>69</v>
      </c>
      <c r="AD70" s="227" t="s">
        <v>69</v>
      </c>
      <c r="AE70" s="189"/>
      <c r="AF70" s="189"/>
    </row>
    <row r="71" spans="1:33" ht="30" customHeight="1" outlineLevel="2" x14ac:dyDescent="0.25">
      <c r="A71" s="615"/>
      <c r="B71" s="156" t="s">
        <v>0</v>
      </c>
      <c r="C71" s="16" t="s">
        <v>0</v>
      </c>
      <c r="D71" s="16" t="s">
        <v>4</v>
      </c>
      <c r="E71" s="94" t="s">
        <v>0</v>
      </c>
      <c r="F71" s="297" t="s">
        <v>0</v>
      </c>
      <c r="G71" s="16" t="s">
        <v>0</v>
      </c>
      <c r="H71" s="16" t="s">
        <v>0</v>
      </c>
      <c r="I71" s="16" t="s">
        <v>0</v>
      </c>
      <c r="J71" s="16" t="s">
        <v>0</v>
      </c>
      <c r="K71" s="16" t="s">
        <v>189</v>
      </c>
      <c r="L71" s="16" t="s">
        <v>0</v>
      </c>
      <c r="M71" s="16" t="s">
        <v>0</v>
      </c>
      <c r="N71" s="16" t="s">
        <v>0</v>
      </c>
      <c r="O71" s="16" t="s">
        <v>0</v>
      </c>
      <c r="P71" s="16" t="s">
        <v>4</v>
      </c>
      <c r="Q71" s="16" t="s">
        <v>4</v>
      </c>
      <c r="R71" s="16" t="s">
        <v>0</v>
      </c>
      <c r="S71" s="16" t="s">
        <v>0</v>
      </c>
      <c r="T71" s="16" t="s">
        <v>0</v>
      </c>
      <c r="U71" s="16" t="s">
        <v>0</v>
      </c>
      <c r="V71" s="16" t="s">
        <v>4</v>
      </c>
      <c r="W71" s="16" t="s">
        <v>4</v>
      </c>
      <c r="X71" s="16" t="s">
        <v>4</v>
      </c>
      <c r="Y71" s="16" t="s">
        <v>0</v>
      </c>
      <c r="Z71" s="16" t="s">
        <v>4</v>
      </c>
      <c r="AA71" s="16" t="s">
        <v>4</v>
      </c>
      <c r="AB71" s="16" t="s">
        <v>4</v>
      </c>
      <c r="AC71" s="16" t="s">
        <v>4</v>
      </c>
      <c r="AD71" s="23" t="s">
        <v>4</v>
      </c>
      <c r="AE71" s="189"/>
      <c r="AF71" s="189"/>
    </row>
    <row r="72" spans="1:33" s="76" customFormat="1" ht="30" customHeight="1" thickBot="1" x14ac:dyDescent="0.3">
      <c r="A72" s="616"/>
      <c r="B72" s="149" t="s">
        <v>10</v>
      </c>
      <c r="C72" s="54" t="s">
        <v>544</v>
      </c>
      <c r="D72" s="55" t="s">
        <v>8</v>
      </c>
      <c r="E72" s="54" t="s">
        <v>198</v>
      </c>
      <c r="F72" s="288">
        <v>77</v>
      </c>
      <c r="G72" s="54">
        <v>250000001</v>
      </c>
      <c r="H72" s="55" t="s">
        <v>11</v>
      </c>
      <c r="I72" s="33" t="s">
        <v>749</v>
      </c>
      <c r="J72" s="54" t="s">
        <v>748</v>
      </c>
      <c r="K72" s="54" t="s">
        <v>582</v>
      </c>
      <c r="L72" s="54" t="s">
        <v>263</v>
      </c>
      <c r="M72" s="54" t="s">
        <v>542</v>
      </c>
      <c r="N72" s="54" t="s">
        <v>486</v>
      </c>
      <c r="O72" s="54" t="s">
        <v>487</v>
      </c>
      <c r="P72" s="54" t="s">
        <v>211</v>
      </c>
      <c r="Q72" s="54" t="s">
        <v>9</v>
      </c>
      <c r="R72" s="54" t="s">
        <v>748</v>
      </c>
      <c r="S72" s="54" t="s">
        <v>626</v>
      </c>
      <c r="T72" s="54" t="s">
        <v>262</v>
      </c>
      <c r="U72" s="54">
        <v>4</v>
      </c>
      <c r="V72" s="55" t="s">
        <v>5</v>
      </c>
      <c r="W72" s="55" t="s">
        <v>208</v>
      </c>
      <c r="X72" s="229" t="s">
        <v>203</v>
      </c>
      <c r="Y72" s="54" t="s">
        <v>627</v>
      </c>
      <c r="Z72" s="55" t="s">
        <v>8</v>
      </c>
      <c r="AA72" s="55" t="s">
        <v>8</v>
      </c>
      <c r="AB72" s="55" t="s">
        <v>208</v>
      </c>
      <c r="AC72" s="33" t="s">
        <v>8</v>
      </c>
      <c r="AD72" s="89" t="s">
        <v>9</v>
      </c>
      <c r="AE72" s="188" t="s">
        <v>589</v>
      </c>
      <c r="AF72" s="191"/>
    </row>
    <row r="73" spans="1:33" s="75" customFormat="1" ht="15.75" outlineLevel="1" thickBot="1" x14ac:dyDescent="0.3">
      <c r="B73" s="150" t="s">
        <v>586</v>
      </c>
      <c r="C73" s="75" t="s">
        <v>586</v>
      </c>
      <c r="D73" s="75" t="s">
        <v>586</v>
      </c>
      <c r="E73" s="75" t="s">
        <v>586</v>
      </c>
      <c r="F73" s="276" t="s">
        <v>586</v>
      </c>
      <c r="G73" s="75" t="s">
        <v>586</v>
      </c>
      <c r="H73" s="75" t="s">
        <v>586</v>
      </c>
      <c r="I73" s="75" t="s">
        <v>586</v>
      </c>
      <c r="J73" s="75" t="s">
        <v>586</v>
      </c>
      <c r="K73" s="75" t="s">
        <v>586</v>
      </c>
      <c r="L73" s="75" t="s">
        <v>586</v>
      </c>
      <c r="M73" s="75" t="s">
        <v>586</v>
      </c>
      <c r="N73" s="75" t="s">
        <v>586</v>
      </c>
      <c r="O73" s="75" t="s">
        <v>586</v>
      </c>
      <c r="P73" s="75" t="s">
        <v>586</v>
      </c>
      <c r="Q73" s="75" t="s">
        <v>586</v>
      </c>
      <c r="R73" s="75" t="s">
        <v>586</v>
      </c>
      <c r="S73" s="75" t="s">
        <v>586</v>
      </c>
      <c r="T73" s="75" t="s">
        <v>586</v>
      </c>
      <c r="U73" s="75" t="s">
        <v>586</v>
      </c>
      <c r="V73" s="75" t="s">
        <v>586</v>
      </c>
      <c r="W73" s="75" t="s">
        <v>586</v>
      </c>
      <c r="X73" s="75" t="s">
        <v>586</v>
      </c>
      <c r="Y73" s="75" t="s">
        <v>586</v>
      </c>
      <c r="Z73" s="75" t="s">
        <v>586</v>
      </c>
      <c r="AA73" s="75" t="s">
        <v>586</v>
      </c>
      <c r="AB73" s="75" t="s">
        <v>586</v>
      </c>
      <c r="AC73" s="75" t="s">
        <v>586</v>
      </c>
      <c r="AD73" s="75" t="s">
        <v>586</v>
      </c>
      <c r="AE73" s="189"/>
      <c r="AF73" s="189"/>
    </row>
    <row r="74" spans="1:33" ht="100.15" customHeight="1" x14ac:dyDescent="0.25">
      <c r="A74" s="620" t="s">
        <v>914</v>
      </c>
      <c r="B74" s="151" t="s">
        <v>13</v>
      </c>
      <c r="C74" s="40" t="s">
        <v>14</v>
      </c>
      <c r="D74" s="40" t="s">
        <v>15</v>
      </c>
      <c r="E74" s="41" t="s">
        <v>16</v>
      </c>
      <c r="F74" s="289" t="s">
        <v>17</v>
      </c>
      <c r="G74" s="40" t="s">
        <v>70</v>
      </c>
      <c r="H74" s="40" t="s">
        <v>71</v>
      </c>
      <c r="I74" s="40" t="s">
        <v>72</v>
      </c>
      <c r="J74" s="40" t="s">
        <v>2</v>
      </c>
      <c r="K74" s="40" t="s">
        <v>73</v>
      </c>
      <c r="L74" s="42" t="s">
        <v>74</v>
      </c>
      <c r="M74" s="42" t="s">
        <v>75</v>
      </c>
      <c r="N74" s="40" t="s">
        <v>76</v>
      </c>
      <c r="O74" s="40" t="s">
        <v>77</v>
      </c>
      <c r="P74" s="40" t="s">
        <v>78</v>
      </c>
      <c r="Q74" s="40" t="s">
        <v>79</v>
      </c>
      <c r="R74" s="40" t="s">
        <v>80</v>
      </c>
      <c r="S74" s="40" t="s">
        <v>81</v>
      </c>
      <c r="T74" s="40" t="s">
        <v>82</v>
      </c>
      <c r="U74" s="40" t="s">
        <v>83</v>
      </c>
      <c r="V74" s="40" t="s">
        <v>84</v>
      </c>
      <c r="W74" s="40" t="s">
        <v>3</v>
      </c>
      <c r="X74" s="40" t="s">
        <v>85</v>
      </c>
      <c r="Y74" s="40" t="s">
        <v>86</v>
      </c>
      <c r="Z74" s="40" t="s">
        <v>87</v>
      </c>
      <c r="AA74" s="40" t="s">
        <v>88</v>
      </c>
      <c r="AB74" s="40" t="s">
        <v>89</v>
      </c>
      <c r="AC74" s="40" t="s">
        <v>90</v>
      </c>
      <c r="AD74" s="40" t="s">
        <v>91</v>
      </c>
      <c r="AE74" s="40" t="s">
        <v>92</v>
      </c>
      <c r="AF74" s="43" t="s">
        <v>93</v>
      </c>
    </row>
    <row r="75" spans="1:33" ht="19.899999999999999" customHeight="1" x14ac:dyDescent="0.25">
      <c r="A75" s="615"/>
      <c r="B75" s="152">
        <v>1</v>
      </c>
      <c r="C75" s="44" t="s">
        <v>47</v>
      </c>
      <c r="D75" s="45">
        <v>11</v>
      </c>
      <c r="E75" s="46" t="s">
        <v>48</v>
      </c>
      <c r="F75" s="290" t="s">
        <v>49</v>
      </c>
      <c r="G75" s="47" t="s">
        <v>50</v>
      </c>
      <c r="H75" s="47">
        <v>36</v>
      </c>
      <c r="I75" s="47" t="s">
        <v>94</v>
      </c>
      <c r="J75" s="47" t="s">
        <v>95</v>
      </c>
      <c r="K75" s="47" t="s">
        <v>96</v>
      </c>
      <c r="L75" s="48" t="s">
        <v>97</v>
      </c>
      <c r="M75" s="48" t="s">
        <v>98</v>
      </c>
      <c r="N75" s="47" t="s">
        <v>99</v>
      </c>
      <c r="O75" s="47">
        <v>53</v>
      </c>
      <c r="P75" s="47">
        <v>54</v>
      </c>
      <c r="Q75" s="47" t="s">
        <v>913</v>
      </c>
      <c r="R75" s="47" t="s">
        <v>100</v>
      </c>
      <c r="S75" s="47" t="s">
        <v>101</v>
      </c>
      <c r="T75" s="47" t="s">
        <v>57</v>
      </c>
      <c r="U75" s="47" t="s">
        <v>102</v>
      </c>
      <c r="V75" s="47" t="s">
        <v>103</v>
      </c>
      <c r="W75" s="47" t="s">
        <v>104</v>
      </c>
      <c r="X75" s="47" t="s">
        <v>105</v>
      </c>
      <c r="Y75" s="47" t="s">
        <v>106</v>
      </c>
      <c r="Z75" s="47" t="s">
        <v>107</v>
      </c>
      <c r="AA75" s="47" t="s">
        <v>108</v>
      </c>
      <c r="AB75" s="45" t="s">
        <v>109</v>
      </c>
      <c r="AC75" s="47" t="s">
        <v>110</v>
      </c>
      <c r="AD75" s="45">
        <v>120</v>
      </c>
      <c r="AE75" s="45">
        <v>121</v>
      </c>
      <c r="AF75" s="49" t="s">
        <v>111</v>
      </c>
    </row>
    <row r="76" spans="1:33" ht="30" customHeight="1" outlineLevel="1" x14ac:dyDescent="0.25">
      <c r="A76" s="615"/>
      <c r="B76" s="152">
        <v>1</v>
      </c>
      <c r="C76" s="45">
        <v>9</v>
      </c>
      <c r="D76" s="45">
        <v>1</v>
      </c>
      <c r="E76" s="50">
        <v>13</v>
      </c>
      <c r="F76" s="291">
        <v>2</v>
      </c>
      <c r="G76" s="45">
        <v>9</v>
      </c>
      <c r="H76" s="45">
        <v>1</v>
      </c>
      <c r="I76" s="45">
        <v>2</v>
      </c>
      <c r="J76" s="45">
        <v>2</v>
      </c>
      <c r="K76" s="45">
        <v>3</v>
      </c>
      <c r="L76" s="51">
        <v>6</v>
      </c>
      <c r="M76" s="51">
        <v>1</v>
      </c>
      <c r="N76" s="45">
        <v>2</v>
      </c>
      <c r="O76" s="45">
        <v>1</v>
      </c>
      <c r="P76" s="45">
        <v>1</v>
      </c>
      <c r="Q76" s="45">
        <v>9</v>
      </c>
      <c r="R76" s="45">
        <v>2</v>
      </c>
      <c r="S76" s="45">
        <v>2</v>
      </c>
      <c r="T76" s="45">
        <v>6</v>
      </c>
      <c r="U76" s="45">
        <v>5</v>
      </c>
      <c r="V76" s="45">
        <v>2</v>
      </c>
      <c r="W76" s="45">
        <v>6</v>
      </c>
      <c r="X76" s="45">
        <v>2</v>
      </c>
      <c r="Y76" s="45">
        <v>7</v>
      </c>
      <c r="Z76" s="45">
        <v>7</v>
      </c>
      <c r="AA76" s="45">
        <v>3</v>
      </c>
      <c r="AB76" s="45">
        <v>7</v>
      </c>
      <c r="AC76" s="45">
        <v>7</v>
      </c>
      <c r="AD76" s="45">
        <v>1</v>
      </c>
      <c r="AE76" s="45">
        <v>1</v>
      </c>
      <c r="AF76" s="49">
        <v>7</v>
      </c>
    </row>
    <row r="77" spans="1:33" ht="30" customHeight="1" outlineLevel="1" x14ac:dyDescent="0.25">
      <c r="A77" s="615"/>
      <c r="B77" s="152" t="s">
        <v>1</v>
      </c>
      <c r="C77" s="45" t="s">
        <v>1</v>
      </c>
      <c r="D77" s="45" t="s">
        <v>69</v>
      </c>
      <c r="E77" s="50" t="s">
        <v>69</v>
      </c>
      <c r="F77" s="291" t="s">
        <v>1</v>
      </c>
      <c r="G77" s="45" t="s">
        <v>1</v>
      </c>
      <c r="H77" s="45" t="s">
        <v>69</v>
      </c>
      <c r="I77" s="45" t="s">
        <v>1</v>
      </c>
      <c r="J77" s="45" t="s">
        <v>1</v>
      </c>
      <c r="K77" s="45" t="s">
        <v>1</v>
      </c>
      <c r="L77" s="52" t="s">
        <v>1</v>
      </c>
      <c r="M77" s="52" t="s">
        <v>1</v>
      </c>
      <c r="N77" s="45" t="s">
        <v>69</v>
      </c>
      <c r="O77" s="45" t="s">
        <v>69</v>
      </c>
      <c r="P77" s="53" t="s">
        <v>69</v>
      </c>
      <c r="Q77" s="45" t="s">
        <v>1</v>
      </c>
      <c r="R77" s="45" t="s">
        <v>1</v>
      </c>
      <c r="S77" s="45" t="s">
        <v>1</v>
      </c>
      <c r="T77" s="45" t="s">
        <v>1</v>
      </c>
      <c r="U77" s="45" t="s">
        <v>69</v>
      </c>
      <c r="V77" s="45" t="s">
        <v>1</v>
      </c>
      <c r="W77" s="45" t="s">
        <v>1</v>
      </c>
      <c r="X77" s="45" t="s">
        <v>1</v>
      </c>
      <c r="Y77" s="45" t="s">
        <v>1</v>
      </c>
      <c r="Z77" s="45" t="s">
        <v>1</v>
      </c>
      <c r="AA77" s="45" t="s">
        <v>1</v>
      </c>
      <c r="AB77" s="45" t="s">
        <v>1</v>
      </c>
      <c r="AC77" s="45" t="s">
        <v>1</v>
      </c>
      <c r="AD77" s="45" t="s">
        <v>69</v>
      </c>
      <c r="AE77" s="45" t="s">
        <v>1</v>
      </c>
      <c r="AF77" s="49" t="s">
        <v>1</v>
      </c>
      <c r="AG77" s="2"/>
    </row>
    <row r="78" spans="1:33" ht="30" customHeight="1" outlineLevel="1" x14ac:dyDescent="0.25">
      <c r="A78" s="615"/>
      <c r="B78" s="152" t="s">
        <v>0</v>
      </c>
      <c r="C78" s="45" t="s">
        <v>0</v>
      </c>
      <c r="D78" s="45" t="s">
        <v>4</v>
      </c>
      <c r="E78" s="50" t="s">
        <v>0</v>
      </c>
      <c r="F78" s="291" t="s">
        <v>0</v>
      </c>
      <c r="G78" s="45" t="s">
        <v>0</v>
      </c>
      <c r="H78" s="45" t="s">
        <v>4</v>
      </c>
      <c r="I78" s="45" t="s">
        <v>4</v>
      </c>
      <c r="J78" s="45" t="s">
        <v>4</v>
      </c>
      <c r="K78" s="45" t="s">
        <v>4</v>
      </c>
      <c r="L78" s="52" t="s">
        <v>4</v>
      </c>
      <c r="M78" s="52" t="s">
        <v>0</v>
      </c>
      <c r="N78" s="45" t="s">
        <v>4</v>
      </c>
      <c r="O78" s="45" t="s">
        <v>4</v>
      </c>
      <c r="P78" s="45" t="s">
        <v>4</v>
      </c>
      <c r="Q78" s="45" t="s">
        <v>4</v>
      </c>
      <c r="R78" s="45" t="s">
        <v>4</v>
      </c>
      <c r="S78" s="45" t="s">
        <v>112</v>
      </c>
      <c r="T78" s="45" t="s">
        <v>0</v>
      </c>
      <c r="U78" s="45" t="s">
        <v>0</v>
      </c>
      <c r="V78" s="45" t="s">
        <v>0</v>
      </c>
      <c r="W78" s="45" t="s">
        <v>0</v>
      </c>
      <c r="X78" s="45" t="s">
        <v>0</v>
      </c>
      <c r="Y78" s="45" t="s">
        <v>0</v>
      </c>
      <c r="Z78" s="45" t="s">
        <v>0</v>
      </c>
      <c r="AA78" s="45" t="s">
        <v>0</v>
      </c>
      <c r="AB78" s="45" t="s">
        <v>0</v>
      </c>
      <c r="AC78" s="45" t="s">
        <v>0</v>
      </c>
      <c r="AD78" s="45" t="s">
        <v>4</v>
      </c>
      <c r="AE78" s="45" t="s">
        <v>4</v>
      </c>
      <c r="AF78" s="49" t="s">
        <v>4</v>
      </c>
    </row>
    <row r="79" spans="1:33" s="76" customFormat="1" ht="30" customHeight="1" thickBot="1" x14ac:dyDescent="0.3">
      <c r="A79" s="616"/>
      <c r="B79" s="149" t="s">
        <v>10</v>
      </c>
      <c r="C79" s="54" t="s">
        <v>544</v>
      </c>
      <c r="D79" s="55" t="s">
        <v>8</v>
      </c>
      <c r="E79" s="54" t="s">
        <v>198</v>
      </c>
      <c r="F79" s="288">
        <v>77</v>
      </c>
      <c r="G79" s="54">
        <v>250000001</v>
      </c>
      <c r="H79" s="193" t="s">
        <v>8</v>
      </c>
      <c r="I79" s="193" t="s">
        <v>5</v>
      </c>
      <c r="J79" s="55" t="s">
        <v>5</v>
      </c>
      <c r="K79" s="55" t="s">
        <v>6</v>
      </c>
      <c r="L79" s="55" t="s">
        <v>208</v>
      </c>
      <c r="M79" s="193" t="s">
        <v>397</v>
      </c>
      <c r="N79" s="55" t="s">
        <v>210</v>
      </c>
      <c r="O79" s="55" t="s">
        <v>8</v>
      </c>
      <c r="P79" s="55" t="s">
        <v>8</v>
      </c>
      <c r="Q79" s="54" t="s">
        <v>544</v>
      </c>
      <c r="R79" s="55" t="s">
        <v>5</v>
      </c>
      <c r="S79" s="55" t="s">
        <v>5</v>
      </c>
      <c r="T79" s="55" t="s">
        <v>581</v>
      </c>
      <c r="U79" s="228" t="s">
        <v>395</v>
      </c>
      <c r="V79" s="95" t="s">
        <v>202</v>
      </c>
      <c r="W79" s="54" t="s">
        <v>590</v>
      </c>
      <c r="X79" s="33" t="s">
        <v>749</v>
      </c>
      <c r="Y79" s="96" t="s">
        <v>777</v>
      </c>
      <c r="Z79" s="96" t="s">
        <v>777</v>
      </c>
      <c r="AA79" s="97" t="s">
        <v>592</v>
      </c>
      <c r="AB79" s="96" t="s">
        <v>778</v>
      </c>
      <c r="AC79" s="96" t="s">
        <v>777</v>
      </c>
      <c r="AD79" s="55" t="s">
        <v>8</v>
      </c>
      <c r="AE79" s="193" t="s">
        <v>200</v>
      </c>
      <c r="AF79" s="82" t="s">
        <v>864</v>
      </c>
      <c r="AG79" s="188" t="s">
        <v>589</v>
      </c>
    </row>
    <row r="80" spans="1:33" s="75" customFormat="1" ht="15.75" thickBot="1" x14ac:dyDescent="0.3">
      <c r="B80" s="150" t="s">
        <v>586</v>
      </c>
      <c r="C80" s="75" t="s">
        <v>586</v>
      </c>
      <c r="D80" s="75" t="s">
        <v>586</v>
      </c>
      <c r="E80" s="75" t="s">
        <v>586</v>
      </c>
      <c r="F80" s="276" t="s">
        <v>586</v>
      </c>
      <c r="G80" s="75" t="s">
        <v>586</v>
      </c>
      <c r="H80" s="75" t="s">
        <v>586</v>
      </c>
      <c r="I80" s="75" t="s">
        <v>586</v>
      </c>
      <c r="J80" s="75" t="s">
        <v>586</v>
      </c>
      <c r="K80" s="75" t="s">
        <v>586</v>
      </c>
      <c r="L80" s="75" t="s">
        <v>586</v>
      </c>
      <c r="M80" s="75" t="s">
        <v>586</v>
      </c>
      <c r="N80" s="75" t="s">
        <v>586</v>
      </c>
      <c r="O80" s="75" t="s">
        <v>586</v>
      </c>
      <c r="P80" s="75" t="s">
        <v>586</v>
      </c>
      <c r="Q80" s="75" t="s">
        <v>586</v>
      </c>
      <c r="R80" s="75" t="s">
        <v>586</v>
      </c>
      <c r="S80" s="75" t="s">
        <v>586</v>
      </c>
      <c r="T80" s="75" t="s">
        <v>586</v>
      </c>
      <c r="U80" s="75" t="s">
        <v>586</v>
      </c>
      <c r="V80" s="75" t="s">
        <v>586</v>
      </c>
      <c r="W80" s="75" t="s">
        <v>586</v>
      </c>
      <c r="X80" s="75" t="s">
        <v>586</v>
      </c>
      <c r="Y80" s="75" t="s">
        <v>586</v>
      </c>
      <c r="Z80" s="75" t="s">
        <v>586</v>
      </c>
      <c r="AA80" s="75" t="s">
        <v>586</v>
      </c>
      <c r="AB80" s="75" t="s">
        <v>586</v>
      </c>
      <c r="AC80" s="75" t="s">
        <v>586</v>
      </c>
      <c r="AD80" s="75" t="s">
        <v>586</v>
      </c>
      <c r="AE80" s="75" t="s">
        <v>586</v>
      </c>
      <c r="AF80" s="75" t="s">
        <v>586</v>
      </c>
    </row>
    <row r="81" spans="1:35" ht="100.15" customHeight="1" x14ac:dyDescent="0.25">
      <c r="A81" s="620" t="s">
        <v>915</v>
      </c>
      <c r="B81" s="151" t="s">
        <v>13</v>
      </c>
      <c r="C81" s="40" t="s">
        <v>14</v>
      </c>
      <c r="D81" s="40" t="s">
        <v>15</v>
      </c>
      <c r="E81" s="41" t="s">
        <v>16</v>
      </c>
      <c r="F81" s="289" t="s">
        <v>17</v>
      </c>
      <c r="G81" s="40" t="s">
        <v>70</v>
      </c>
      <c r="H81" s="40" t="s">
        <v>71</v>
      </c>
      <c r="I81" s="40" t="s">
        <v>72</v>
      </c>
      <c r="J81" s="40" t="s">
        <v>2</v>
      </c>
      <c r="K81" s="40" t="s">
        <v>73</v>
      </c>
      <c r="L81" s="42" t="s">
        <v>74</v>
      </c>
      <c r="M81" s="42" t="s">
        <v>75</v>
      </c>
      <c r="N81" s="40" t="s">
        <v>76</v>
      </c>
      <c r="O81" s="40" t="s">
        <v>77</v>
      </c>
      <c r="P81" s="40" t="s">
        <v>78</v>
      </c>
      <c r="Q81" s="40" t="s">
        <v>79</v>
      </c>
      <c r="R81" s="40" t="s">
        <v>80</v>
      </c>
      <c r="S81" s="40" t="s">
        <v>81</v>
      </c>
      <c r="T81" s="40" t="s">
        <v>82</v>
      </c>
      <c r="U81" s="40" t="s">
        <v>83</v>
      </c>
      <c r="V81" s="40" t="s">
        <v>84</v>
      </c>
      <c r="W81" s="40" t="s">
        <v>3</v>
      </c>
      <c r="X81" s="40" t="s">
        <v>85</v>
      </c>
      <c r="Y81" s="40" t="s">
        <v>86</v>
      </c>
      <c r="Z81" s="40" t="s">
        <v>87</v>
      </c>
      <c r="AA81" s="40" t="s">
        <v>88</v>
      </c>
      <c r="AB81" s="40" t="s">
        <v>89</v>
      </c>
      <c r="AC81" s="40" t="s">
        <v>90</v>
      </c>
      <c r="AD81" s="40" t="s">
        <v>91</v>
      </c>
      <c r="AE81" s="40" t="s">
        <v>92</v>
      </c>
      <c r="AF81" s="43" t="s">
        <v>93</v>
      </c>
    </row>
    <row r="82" spans="1:35" ht="19.899999999999999" customHeight="1" x14ac:dyDescent="0.25">
      <c r="A82" s="615"/>
      <c r="B82" s="152">
        <v>1</v>
      </c>
      <c r="C82" s="44" t="s">
        <v>47</v>
      </c>
      <c r="D82" s="45">
        <v>11</v>
      </c>
      <c r="E82" s="46" t="s">
        <v>48</v>
      </c>
      <c r="F82" s="290" t="s">
        <v>49</v>
      </c>
      <c r="G82" s="47" t="s">
        <v>50</v>
      </c>
      <c r="H82" s="47">
        <v>36</v>
      </c>
      <c r="I82" s="47" t="s">
        <v>94</v>
      </c>
      <c r="J82" s="47" t="s">
        <v>95</v>
      </c>
      <c r="K82" s="47" t="s">
        <v>96</v>
      </c>
      <c r="L82" s="48" t="s">
        <v>97</v>
      </c>
      <c r="M82" s="48" t="s">
        <v>98</v>
      </c>
      <c r="N82" s="47" t="s">
        <v>99</v>
      </c>
      <c r="O82" s="47">
        <v>53</v>
      </c>
      <c r="P82" s="47">
        <v>54</v>
      </c>
      <c r="Q82" s="47" t="s">
        <v>913</v>
      </c>
      <c r="R82" s="47" t="s">
        <v>100</v>
      </c>
      <c r="S82" s="47" t="s">
        <v>101</v>
      </c>
      <c r="T82" s="47" t="s">
        <v>57</v>
      </c>
      <c r="U82" s="47" t="s">
        <v>102</v>
      </c>
      <c r="V82" s="47" t="s">
        <v>103</v>
      </c>
      <c r="W82" s="47" t="s">
        <v>104</v>
      </c>
      <c r="X82" s="47" t="s">
        <v>105</v>
      </c>
      <c r="Y82" s="47" t="s">
        <v>106</v>
      </c>
      <c r="Z82" s="47" t="s">
        <v>107</v>
      </c>
      <c r="AA82" s="47" t="s">
        <v>108</v>
      </c>
      <c r="AB82" s="45" t="s">
        <v>109</v>
      </c>
      <c r="AC82" s="47" t="s">
        <v>110</v>
      </c>
      <c r="AD82" s="45">
        <v>120</v>
      </c>
      <c r="AE82" s="45">
        <v>121</v>
      </c>
      <c r="AF82" s="49" t="s">
        <v>111</v>
      </c>
    </row>
    <row r="83" spans="1:35" outlineLevel="1" x14ac:dyDescent="0.25">
      <c r="A83" s="615"/>
      <c r="B83" s="152">
        <v>1</v>
      </c>
      <c r="C83" s="45">
        <v>9</v>
      </c>
      <c r="D83" s="45">
        <v>1</v>
      </c>
      <c r="E83" s="50">
        <v>13</v>
      </c>
      <c r="F83" s="291">
        <v>2</v>
      </c>
      <c r="G83" s="45">
        <v>9</v>
      </c>
      <c r="H83" s="45">
        <v>1</v>
      </c>
      <c r="I83" s="45">
        <v>2</v>
      </c>
      <c r="J83" s="45">
        <v>2</v>
      </c>
      <c r="K83" s="45">
        <v>3</v>
      </c>
      <c r="L83" s="51">
        <v>6</v>
      </c>
      <c r="M83" s="51">
        <v>1</v>
      </c>
      <c r="N83" s="45">
        <v>2</v>
      </c>
      <c r="O83" s="45">
        <v>1</v>
      </c>
      <c r="P83" s="45">
        <v>1</v>
      </c>
      <c r="Q83" s="45">
        <v>9</v>
      </c>
      <c r="R83" s="45">
        <v>2</v>
      </c>
      <c r="S83" s="45">
        <v>2</v>
      </c>
      <c r="T83" s="45">
        <v>6</v>
      </c>
      <c r="U83" s="45">
        <v>5</v>
      </c>
      <c r="V83" s="45">
        <v>2</v>
      </c>
      <c r="W83" s="45">
        <v>6</v>
      </c>
      <c r="X83" s="45">
        <v>2</v>
      </c>
      <c r="Y83" s="45">
        <v>7</v>
      </c>
      <c r="Z83" s="45">
        <v>7</v>
      </c>
      <c r="AA83" s="45">
        <v>3</v>
      </c>
      <c r="AB83" s="45">
        <v>7</v>
      </c>
      <c r="AC83" s="45">
        <v>7</v>
      </c>
      <c r="AD83" s="45">
        <v>1</v>
      </c>
      <c r="AE83" s="45">
        <v>1</v>
      </c>
      <c r="AF83" s="49">
        <v>7</v>
      </c>
    </row>
    <row r="84" spans="1:35" outlineLevel="1" x14ac:dyDescent="0.25">
      <c r="A84" s="615"/>
      <c r="B84" s="152" t="s">
        <v>1</v>
      </c>
      <c r="C84" s="45" t="s">
        <v>1</v>
      </c>
      <c r="D84" s="45" t="s">
        <v>69</v>
      </c>
      <c r="E84" s="50" t="s">
        <v>69</v>
      </c>
      <c r="F84" s="291" t="s">
        <v>1</v>
      </c>
      <c r="G84" s="45" t="s">
        <v>1</v>
      </c>
      <c r="H84" s="45" t="s">
        <v>69</v>
      </c>
      <c r="I84" s="45" t="s">
        <v>1</v>
      </c>
      <c r="J84" s="45" t="s">
        <v>1</v>
      </c>
      <c r="K84" s="45" t="s">
        <v>1</v>
      </c>
      <c r="L84" s="52" t="s">
        <v>1</v>
      </c>
      <c r="M84" s="52" t="s">
        <v>1</v>
      </c>
      <c r="N84" s="45" t="s">
        <v>69</v>
      </c>
      <c r="O84" s="45" t="s">
        <v>69</v>
      </c>
      <c r="P84" s="53" t="s">
        <v>69</v>
      </c>
      <c r="Q84" s="45" t="s">
        <v>1</v>
      </c>
      <c r="R84" s="45" t="s">
        <v>1</v>
      </c>
      <c r="S84" s="45" t="s">
        <v>1</v>
      </c>
      <c r="T84" s="45" t="s">
        <v>1</v>
      </c>
      <c r="U84" s="45" t="s">
        <v>69</v>
      </c>
      <c r="V84" s="45" t="s">
        <v>1</v>
      </c>
      <c r="W84" s="45" t="s">
        <v>1</v>
      </c>
      <c r="X84" s="45" t="s">
        <v>1</v>
      </c>
      <c r="Y84" s="45" t="s">
        <v>1</v>
      </c>
      <c r="Z84" s="45" t="s">
        <v>1</v>
      </c>
      <c r="AA84" s="45" t="s">
        <v>1</v>
      </c>
      <c r="AB84" s="45" t="s">
        <v>1</v>
      </c>
      <c r="AC84" s="45" t="s">
        <v>1</v>
      </c>
      <c r="AD84" s="45" t="s">
        <v>69</v>
      </c>
      <c r="AE84" s="45" t="s">
        <v>1</v>
      </c>
      <c r="AF84" s="49" t="s">
        <v>1</v>
      </c>
      <c r="AG84" s="2"/>
    </row>
    <row r="85" spans="1:35" outlineLevel="1" x14ac:dyDescent="0.25">
      <c r="A85" s="615"/>
      <c r="B85" s="152" t="s">
        <v>0</v>
      </c>
      <c r="C85" s="45" t="s">
        <v>0</v>
      </c>
      <c r="D85" s="45" t="s">
        <v>4</v>
      </c>
      <c r="E85" s="50" t="s">
        <v>0</v>
      </c>
      <c r="F85" s="291" t="s">
        <v>0</v>
      </c>
      <c r="G85" s="45" t="s">
        <v>0</v>
      </c>
      <c r="H85" s="45" t="s">
        <v>4</v>
      </c>
      <c r="I85" s="45" t="s">
        <v>4</v>
      </c>
      <c r="J85" s="45" t="s">
        <v>4</v>
      </c>
      <c r="K85" s="45" t="s">
        <v>4</v>
      </c>
      <c r="L85" s="52" t="s">
        <v>4</v>
      </c>
      <c r="M85" s="52" t="s">
        <v>0</v>
      </c>
      <c r="N85" s="45" t="s">
        <v>4</v>
      </c>
      <c r="O85" s="45" t="s">
        <v>4</v>
      </c>
      <c r="P85" s="45" t="s">
        <v>4</v>
      </c>
      <c r="Q85" s="45" t="s">
        <v>4</v>
      </c>
      <c r="R85" s="45" t="s">
        <v>4</v>
      </c>
      <c r="S85" s="45" t="s">
        <v>112</v>
      </c>
      <c r="T85" s="45" t="s">
        <v>0</v>
      </c>
      <c r="U85" s="45" t="s">
        <v>0</v>
      </c>
      <c r="V85" s="45" t="s">
        <v>0</v>
      </c>
      <c r="W85" s="45" t="s">
        <v>0</v>
      </c>
      <c r="X85" s="45" t="s">
        <v>0</v>
      </c>
      <c r="Y85" s="45" t="s">
        <v>0</v>
      </c>
      <c r="Z85" s="45" t="s">
        <v>0</v>
      </c>
      <c r="AA85" s="45" t="s">
        <v>0</v>
      </c>
      <c r="AB85" s="45" t="s">
        <v>0</v>
      </c>
      <c r="AC85" s="45" t="s">
        <v>0</v>
      </c>
      <c r="AD85" s="45" t="s">
        <v>4</v>
      </c>
      <c r="AE85" s="45" t="s">
        <v>4</v>
      </c>
      <c r="AF85" s="49" t="s">
        <v>4</v>
      </c>
    </row>
    <row r="86" spans="1:35" ht="30" customHeight="1" thickBot="1" x14ac:dyDescent="0.3">
      <c r="A86" s="616"/>
      <c r="B86" s="149" t="s">
        <v>10</v>
      </c>
      <c r="C86" s="54" t="s">
        <v>544</v>
      </c>
      <c r="D86" s="55" t="s">
        <v>8</v>
      </c>
      <c r="E86" s="54" t="s">
        <v>198</v>
      </c>
      <c r="F86" s="288">
        <v>77</v>
      </c>
      <c r="G86" s="54">
        <v>250000001</v>
      </c>
      <c r="H86" s="193" t="s">
        <v>8</v>
      </c>
      <c r="I86" s="193" t="s">
        <v>5</v>
      </c>
      <c r="J86" s="55" t="s">
        <v>5</v>
      </c>
      <c r="K86" s="55" t="s">
        <v>6</v>
      </c>
      <c r="L86" s="55" t="s">
        <v>208</v>
      </c>
      <c r="M86" s="193" t="s">
        <v>397</v>
      </c>
      <c r="N86" s="55" t="s">
        <v>210</v>
      </c>
      <c r="O86" s="55" t="s">
        <v>8</v>
      </c>
      <c r="P86" s="55" t="s">
        <v>8</v>
      </c>
      <c r="Q86" s="54" t="s">
        <v>544</v>
      </c>
      <c r="R86" s="55" t="s">
        <v>5</v>
      </c>
      <c r="S86" s="55" t="s">
        <v>5</v>
      </c>
      <c r="T86" s="33" t="s">
        <v>581</v>
      </c>
      <c r="U86" s="228" t="s">
        <v>243</v>
      </c>
      <c r="V86" s="55" t="s">
        <v>202</v>
      </c>
      <c r="W86" s="54" t="s">
        <v>590</v>
      </c>
      <c r="X86" s="33" t="s">
        <v>749</v>
      </c>
      <c r="Y86" s="54" t="s">
        <v>779</v>
      </c>
      <c r="Z86" s="96" t="s">
        <v>779</v>
      </c>
      <c r="AA86" s="54" t="s">
        <v>592</v>
      </c>
      <c r="AB86" s="54" t="s">
        <v>780</v>
      </c>
      <c r="AC86" s="54" t="s">
        <v>779</v>
      </c>
      <c r="AD86" s="55" t="s">
        <v>8</v>
      </c>
      <c r="AE86" s="193" t="s">
        <v>200</v>
      </c>
      <c r="AF86" s="82" t="s">
        <v>711</v>
      </c>
      <c r="AG86" s="188" t="s">
        <v>589</v>
      </c>
      <c r="AH86" s="76"/>
      <c r="AI86" s="76"/>
    </row>
    <row r="87" spans="1:35" s="75" customFormat="1" ht="15.75" thickBot="1" x14ac:dyDescent="0.3">
      <c r="B87" s="150" t="s">
        <v>586</v>
      </c>
      <c r="C87" s="75" t="s">
        <v>586</v>
      </c>
      <c r="D87" s="75" t="s">
        <v>586</v>
      </c>
      <c r="E87" s="75" t="s">
        <v>586</v>
      </c>
      <c r="F87" s="276" t="s">
        <v>586</v>
      </c>
      <c r="G87" s="75" t="s">
        <v>586</v>
      </c>
      <c r="H87" s="75" t="s">
        <v>586</v>
      </c>
      <c r="I87" s="75" t="s">
        <v>586</v>
      </c>
      <c r="J87" s="75" t="s">
        <v>586</v>
      </c>
      <c r="K87" s="75" t="s">
        <v>586</v>
      </c>
      <c r="L87" s="75" t="s">
        <v>586</v>
      </c>
      <c r="M87" s="75" t="s">
        <v>586</v>
      </c>
      <c r="N87" s="75" t="s">
        <v>586</v>
      </c>
      <c r="O87" s="75" t="s">
        <v>586</v>
      </c>
      <c r="P87" s="75" t="s">
        <v>586</v>
      </c>
      <c r="Q87" s="75" t="s">
        <v>586</v>
      </c>
      <c r="R87" s="75" t="s">
        <v>586</v>
      </c>
      <c r="S87" s="75" t="s">
        <v>586</v>
      </c>
      <c r="T87" s="75" t="s">
        <v>586</v>
      </c>
      <c r="U87" s="75" t="s">
        <v>586</v>
      </c>
      <c r="V87" s="75" t="s">
        <v>586</v>
      </c>
      <c r="W87" s="75" t="s">
        <v>586</v>
      </c>
      <c r="X87" s="75" t="s">
        <v>586</v>
      </c>
      <c r="Y87" s="75" t="s">
        <v>586</v>
      </c>
      <c r="Z87" s="75" t="s">
        <v>586</v>
      </c>
      <c r="AA87" s="75" t="s">
        <v>586</v>
      </c>
      <c r="AB87" s="75" t="s">
        <v>586</v>
      </c>
      <c r="AC87" s="75" t="s">
        <v>586</v>
      </c>
      <c r="AD87" s="75" t="s">
        <v>586</v>
      </c>
      <c r="AE87" s="75" t="s">
        <v>586</v>
      </c>
      <c r="AF87" s="75" t="s">
        <v>586</v>
      </c>
    </row>
    <row r="88" spans="1:35" ht="100.15" customHeight="1" x14ac:dyDescent="0.25">
      <c r="A88" s="620" t="s">
        <v>916</v>
      </c>
      <c r="B88" s="151" t="s">
        <v>13</v>
      </c>
      <c r="C88" s="40" t="s">
        <v>14</v>
      </c>
      <c r="D88" s="40" t="s">
        <v>15</v>
      </c>
      <c r="E88" s="41" t="s">
        <v>16</v>
      </c>
      <c r="F88" s="289" t="s">
        <v>17</v>
      </c>
      <c r="G88" s="40" t="s">
        <v>70</v>
      </c>
      <c r="H88" s="40" t="s">
        <v>71</v>
      </c>
      <c r="I88" s="40" t="s">
        <v>72</v>
      </c>
      <c r="J88" s="40" t="s">
        <v>2</v>
      </c>
      <c r="K88" s="40" t="s">
        <v>73</v>
      </c>
      <c r="L88" s="42" t="s">
        <v>74</v>
      </c>
      <c r="M88" s="42" t="s">
        <v>75</v>
      </c>
      <c r="N88" s="40" t="s">
        <v>76</v>
      </c>
      <c r="O88" s="40" t="s">
        <v>77</v>
      </c>
      <c r="P88" s="40" t="s">
        <v>78</v>
      </c>
      <c r="Q88" s="40" t="s">
        <v>79</v>
      </c>
      <c r="R88" s="40" t="s">
        <v>80</v>
      </c>
      <c r="S88" s="40" t="s">
        <v>81</v>
      </c>
      <c r="T88" s="40" t="s">
        <v>82</v>
      </c>
      <c r="U88" s="40" t="s">
        <v>83</v>
      </c>
      <c r="V88" s="40" t="s">
        <v>84</v>
      </c>
      <c r="W88" s="40" t="s">
        <v>3</v>
      </c>
      <c r="X88" s="40" t="s">
        <v>85</v>
      </c>
      <c r="Y88" s="40" t="s">
        <v>86</v>
      </c>
      <c r="Z88" s="40" t="s">
        <v>87</v>
      </c>
      <c r="AA88" s="40" t="s">
        <v>88</v>
      </c>
      <c r="AB88" s="40" t="s">
        <v>89</v>
      </c>
      <c r="AC88" s="40" t="s">
        <v>90</v>
      </c>
      <c r="AD88" s="40" t="s">
        <v>91</v>
      </c>
      <c r="AE88" s="40" t="s">
        <v>92</v>
      </c>
      <c r="AF88" s="43" t="s">
        <v>93</v>
      </c>
    </row>
    <row r="89" spans="1:35" ht="19.899999999999999" customHeight="1" x14ac:dyDescent="0.25">
      <c r="A89" s="615"/>
      <c r="B89" s="152">
        <v>1</v>
      </c>
      <c r="C89" s="44" t="s">
        <v>47</v>
      </c>
      <c r="D89" s="45">
        <v>11</v>
      </c>
      <c r="E89" s="46" t="s">
        <v>48</v>
      </c>
      <c r="F89" s="290" t="s">
        <v>49</v>
      </c>
      <c r="G89" s="47" t="s">
        <v>50</v>
      </c>
      <c r="H89" s="47">
        <v>36</v>
      </c>
      <c r="I89" s="47" t="s">
        <v>94</v>
      </c>
      <c r="J89" s="47" t="s">
        <v>95</v>
      </c>
      <c r="K89" s="47" t="s">
        <v>96</v>
      </c>
      <c r="L89" s="48" t="s">
        <v>97</v>
      </c>
      <c r="M89" s="48" t="s">
        <v>98</v>
      </c>
      <c r="N89" s="47" t="s">
        <v>99</v>
      </c>
      <c r="O89" s="47">
        <v>53</v>
      </c>
      <c r="P89" s="47">
        <v>54</v>
      </c>
      <c r="Q89" s="47" t="s">
        <v>913</v>
      </c>
      <c r="R89" s="47" t="s">
        <v>100</v>
      </c>
      <c r="S89" s="47" t="s">
        <v>101</v>
      </c>
      <c r="T89" s="47" t="s">
        <v>57</v>
      </c>
      <c r="U89" s="47" t="s">
        <v>102</v>
      </c>
      <c r="V89" s="47" t="s">
        <v>103</v>
      </c>
      <c r="W89" s="47" t="s">
        <v>104</v>
      </c>
      <c r="X89" s="47" t="s">
        <v>105</v>
      </c>
      <c r="Y89" s="47" t="s">
        <v>106</v>
      </c>
      <c r="Z89" s="47" t="s">
        <v>107</v>
      </c>
      <c r="AA89" s="47" t="s">
        <v>108</v>
      </c>
      <c r="AB89" s="45" t="s">
        <v>109</v>
      </c>
      <c r="AC89" s="47" t="s">
        <v>110</v>
      </c>
      <c r="AD89" s="45">
        <v>120</v>
      </c>
      <c r="AE89" s="45">
        <v>121</v>
      </c>
      <c r="AF89" s="49" t="s">
        <v>111</v>
      </c>
    </row>
    <row r="90" spans="1:35" outlineLevel="1" x14ac:dyDescent="0.25">
      <c r="A90" s="615"/>
      <c r="B90" s="152">
        <v>1</v>
      </c>
      <c r="C90" s="45">
        <v>9</v>
      </c>
      <c r="D90" s="45">
        <v>1</v>
      </c>
      <c r="E90" s="50">
        <v>13</v>
      </c>
      <c r="F90" s="291">
        <v>2</v>
      </c>
      <c r="G90" s="45">
        <v>9</v>
      </c>
      <c r="H90" s="45">
        <v>1</v>
      </c>
      <c r="I90" s="45">
        <v>2</v>
      </c>
      <c r="J90" s="45">
        <v>2</v>
      </c>
      <c r="K90" s="45">
        <v>3</v>
      </c>
      <c r="L90" s="51">
        <v>6</v>
      </c>
      <c r="M90" s="51">
        <v>1</v>
      </c>
      <c r="N90" s="45">
        <v>2</v>
      </c>
      <c r="O90" s="45">
        <v>1</v>
      </c>
      <c r="P90" s="45">
        <v>1</v>
      </c>
      <c r="Q90" s="45">
        <v>9</v>
      </c>
      <c r="R90" s="45">
        <v>2</v>
      </c>
      <c r="S90" s="45">
        <v>2</v>
      </c>
      <c r="T90" s="45">
        <v>6</v>
      </c>
      <c r="U90" s="45">
        <v>5</v>
      </c>
      <c r="V90" s="45">
        <v>2</v>
      </c>
      <c r="W90" s="45">
        <v>6</v>
      </c>
      <c r="X90" s="45">
        <v>2</v>
      </c>
      <c r="Y90" s="45">
        <v>7</v>
      </c>
      <c r="Z90" s="45">
        <v>7</v>
      </c>
      <c r="AA90" s="45">
        <v>3</v>
      </c>
      <c r="AB90" s="45">
        <v>7</v>
      </c>
      <c r="AC90" s="45">
        <v>7</v>
      </c>
      <c r="AD90" s="45">
        <v>1</v>
      </c>
      <c r="AE90" s="45">
        <v>1</v>
      </c>
      <c r="AF90" s="49">
        <v>7</v>
      </c>
      <c r="AG90" s="2"/>
    </row>
    <row r="91" spans="1:35" outlineLevel="1" x14ac:dyDescent="0.25">
      <c r="A91" s="615"/>
      <c r="B91" s="152" t="s">
        <v>1</v>
      </c>
      <c r="C91" s="45" t="s">
        <v>1</v>
      </c>
      <c r="D91" s="45" t="s">
        <v>69</v>
      </c>
      <c r="E91" s="50" t="s">
        <v>69</v>
      </c>
      <c r="F91" s="291" t="s">
        <v>1</v>
      </c>
      <c r="G91" s="45" t="s">
        <v>1</v>
      </c>
      <c r="H91" s="45" t="s">
        <v>69</v>
      </c>
      <c r="I91" s="45" t="s">
        <v>1</v>
      </c>
      <c r="J91" s="45" t="s">
        <v>1</v>
      </c>
      <c r="K91" s="45" t="s">
        <v>1</v>
      </c>
      <c r="L91" s="52" t="s">
        <v>1</v>
      </c>
      <c r="M91" s="52" t="s">
        <v>1</v>
      </c>
      <c r="N91" s="45" t="s">
        <v>69</v>
      </c>
      <c r="O91" s="45" t="s">
        <v>69</v>
      </c>
      <c r="P91" s="53" t="s">
        <v>69</v>
      </c>
      <c r="Q91" s="45" t="s">
        <v>1</v>
      </c>
      <c r="R91" s="45" t="s">
        <v>1</v>
      </c>
      <c r="S91" s="45" t="s">
        <v>1</v>
      </c>
      <c r="T91" s="45" t="s">
        <v>1</v>
      </c>
      <c r="U91" s="45" t="s">
        <v>69</v>
      </c>
      <c r="V91" s="45" t="s">
        <v>1</v>
      </c>
      <c r="W91" s="45" t="s">
        <v>1</v>
      </c>
      <c r="X91" s="45" t="s">
        <v>1</v>
      </c>
      <c r="Y91" s="45" t="s">
        <v>1</v>
      </c>
      <c r="Z91" s="45" t="s">
        <v>1</v>
      </c>
      <c r="AA91" s="45" t="s">
        <v>1</v>
      </c>
      <c r="AB91" s="45" t="s">
        <v>1</v>
      </c>
      <c r="AC91" s="45" t="s">
        <v>1</v>
      </c>
      <c r="AD91" s="45" t="s">
        <v>69</v>
      </c>
      <c r="AE91" s="45" t="s">
        <v>1</v>
      </c>
      <c r="AF91" s="49" t="s">
        <v>1</v>
      </c>
    </row>
    <row r="92" spans="1:35" outlineLevel="1" x14ac:dyDescent="0.25">
      <c r="A92" s="615"/>
      <c r="B92" s="152" t="s">
        <v>0</v>
      </c>
      <c r="C92" s="45" t="s">
        <v>0</v>
      </c>
      <c r="D92" s="45" t="s">
        <v>4</v>
      </c>
      <c r="E92" s="50" t="s">
        <v>0</v>
      </c>
      <c r="F92" s="291" t="s">
        <v>0</v>
      </c>
      <c r="G92" s="45" t="s">
        <v>0</v>
      </c>
      <c r="H92" s="45" t="s">
        <v>4</v>
      </c>
      <c r="I92" s="45" t="s">
        <v>4</v>
      </c>
      <c r="J92" s="45" t="s">
        <v>4</v>
      </c>
      <c r="K92" s="45" t="s">
        <v>4</v>
      </c>
      <c r="L92" s="52" t="s">
        <v>4</v>
      </c>
      <c r="M92" s="52" t="s">
        <v>0</v>
      </c>
      <c r="N92" s="45" t="s">
        <v>4</v>
      </c>
      <c r="O92" s="45" t="s">
        <v>4</v>
      </c>
      <c r="P92" s="45" t="s">
        <v>4</v>
      </c>
      <c r="Q92" s="45" t="s">
        <v>4</v>
      </c>
      <c r="R92" s="45" t="s">
        <v>4</v>
      </c>
      <c r="S92" s="45" t="s">
        <v>112</v>
      </c>
      <c r="T92" s="45" t="s">
        <v>0</v>
      </c>
      <c r="U92" s="45" t="s">
        <v>0</v>
      </c>
      <c r="V92" s="45" t="s">
        <v>0</v>
      </c>
      <c r="W92" s="45" t="s">
        <v>0</v>
      </c>
      <c r="X92" s="45" t="s">
        <v>0</v>
      </c>
      <c r="Y92" s="45" t="s">
        <v>0</v>
      </c>
      <c r="Z92" s="45" t="s">
        <v>0</v>
      </c>
      <c r="AA92" s="45" t="s">
        <v>0</v>
      </c>
      <c r="AB92" s="45" t="s">
        <v>0</v>
      </c>
      <c r="AC92" s="45" t="s">
        <v>0</v>
      </c>
      <c r="AD92" s="45" t="s">
        <v>4</v>
      </c>
      <c r="AE92" s="45" t="s">
        <v>4</v>
      </c>
      <c r="AF92" s="49" t="s">
        <v>4</v>
      </c>
    </row>
    <row r="93" spans="1:35" ht="30" customHeight="1" thickBot="1" x14ac:dyDescent="0.3">
      <c r="A93" s="616"/>
      <c r="B93" s="149" t="s">
        <v>10</v>
      </c>
      <c r="C93" s="54" t="s">
        <v>544</v>
      </c>
      <c r="D93" s="55" t="s">
        <v>8</v>
      </c>
      <c r="E93" s="54" t="s">
        <v>198</v>
      </c>
      <c r="F93" s="288">
        <v>77</v>
      </c>
      <c r="G93" s="54">
        <v>250000001</v>
      </c>
      <c r="H93" s="193" t="s">
        <v>8</v>
      </c>
      <c r="I93" s="193" t="s">
        <v>5</v>
      </c>
      <c r="J93" s="55" t="s">
        <v>5</v>
      </c>
      <c r="K93" s="55" t="s">
        <v>6</v>
      </c>
      <c r="L93" s="55" t="s">
        <v>208</v>
      </c>
      <c r="M93" s="193" t="s">
        <v>397</v>
      </c>
      <c r="N93" s="55" t="s">
        <v>210</v>
      </c>
      <c r="O93" s="55" t="s">
        <v>8</v>
      </c>
      <c r="P93" s="55" t="s">
        <v>8</v>
      </c>
      <c r="Q93" s="54" t="s">
        <v>544</v>
      </c>
      <c r="R93" s="55" t="s">
        <v>5</v>
      </c>
      <c r="S93" s="55" t="s">
        <v>5</v>
      </c>
      <c r="T93" s="33" t="s">
        <v>581</v>
      </c>
      <c r="U93" s="228" t="s">
        <v>279</v>
      </c>
      <c r="V93" s="33" t="s">
        <v>749</v>
      </c>
      <c r="W93" s="54" t="s">
        <v>590</v>
      </c>
      <c r="X93" s="33" t="s">
        <v>749</v>
      </c>
      <c r="Y93" s="54" t="s">
        <v>594</v>
      </c>
      <c r="Z93" s="96" t="s">
        <v>750</v>
      </c>
      <c r="AA93" s="54" t="s">
        <v>592</v>
      </c>
      <c r="AB93" s="54" t="s">
        <v>751</v>
      </c>
      <c r="AC93" s="54" t="s">
        <v>750</v>
      </c>
      <c r="AD93" s="55" t="s">
        <v>8</v>
      </c>
      <c r="AE93" s="193" t="s">
        <v>200</v>
      </c>
      <c r="AF93" s="82" t="s">
        <v>212</v>
      </c>
      <c r="AG93" s="188" t="s">
        <v>589</v>
      </c>
      <c r="AH93" s="76"/>
      <c r="AI93" s="76"/>
    </row>
    <row r="94" spans="1:35" s="75" customFormat="1" ht="15.75" thickBot="1" x14ac:dyDescent="0.3">
      <c r="B94" s="150" t="s">
        <v>586</v>
      </c>
      <c r="C94" s="75" t="s">
        <v>586</v>
      </c>
      <c r="D94" s="75" t="s">
        <v>586</v>
      </c>
      <c r="E94" s="75" t="s">
        <v>586</v>
      </c>
      <c r="F94" s="276" t="s">
        <v>586</v>
      </c>
      <c r="G94" s="75" t="s">
        <v>586</v>
      </c>
      <c r="H94" s="75" t="s">
        <v>586</v>
      </c>
      <c r="I94" s="75" t="s">
        <v>586</v>
      </c>
      <c r="J94" s="75" t="s">
        <v>586</v>
      </c>
      <c r="K94" s="75" t="s">
        <v>586</v>
      </c>
      <c r="L94" s="75" t="s">
        <v>586</v>
      </c>
      <c r="M94" s="75" t="s">
        <v>586</v>
      </c>
      <c r="N94" s="75" t="s">
        <v>586</v>
      </c>
      <c r="O94" s="75" t="s">
        <v>586</v>
      </c>
      <c r="P94" s="75" t="s">
        <v>586</v>
      </c>
      <c r="Q94" s="75" t="s">
        <v>586</v>
      </c>
      <c r="R94" s="75" t="s">
        <v>586</v>
      </c>
      <c r="S94" s="75" t="s">
        <v>586</v>
      </c>
      <c r="T94" s="75" t="s">
        <v>586</v>
      </c>
      <c r="U94" s="75" t="s">
        <v>586</v>
      </c>
      <c r="V94" s="75" t="s">
        <v>586</v>
      </c>
      <c r="W94" s="75" t="s">
        <v>586</v>
      </c>
      <c r="X94" s="75" t="s">
        <v>586</v>
      </c>
      <c r="Y94" s="75" t="s">
        <v>586</v>
      </c>
      <c r="Z94" s="75" t="s">
        <v>586</v>
      </c>
      <c r="AA94" s="75" t="s">
        <v>586</v>
      </c>
      <c r="AB94" s="75" t="s">
        <v>586</v>
      </c>
      <c r="AC94" s="75" t="s">
        <v>586</v>
      </c>
      <c r="AD94" s="75" t="s">
        <v>586</v>
      </c>
      <c r="AE94" s="75" t="s">
        <v>586</v>
      </c>
      <c r="AF94" s="75" t="s">
        <v>586</v>
      </c>
    </row>
    <row r="95" spans="1:35" ht="100.15" customHeight="1" x14ac:dyDescent="0.25">
      <c r="A95" s="620" t="s">
        <v>917</v>
      </c>
      <c r="B95" s="151" t="s">
        <v>13</v>
      </c>
      <c r="C95" s="40" t="s">
        <v>14</v>
      </c>
      <c r="D95" s="40" t="s">
        <v>15</v>
      </c>
      <c r="E95" s="41" t="s">
        <v>16</v>
      </c>
      <c r="F95" s="289" t="s">
        <v>17</v>
      </c>
      <c r="G95" s="40" t="s">
        <v>70</v>
      </c>
      <c r="H95" s="40" t="s">
        <v>71</v>
      </c>
      <c r="I95" s="40" t="s">
        <v>72</v>
      </c>
      <c r="J95" s="40" t="s">
        <v>2</v>
      </c>
      <c r="K95" s="40" t="s">
        <v>73</v>
      </c>
      <c r="L95" s="42" t="s">
        <v>74</v>
      </c>
      <c r="M95" s="42" t="s">
        <v>75</v>
      </c>
      <c r="N95" s="40" t="s">
        <v>76</v>
      </c>
      <c r="O95" s="40" t="s">
        <v>77</v>
      </c>
      <c r="P95" s="40" t="s">
        <v>78</v>
      </c>
      <c r="Q95" s="40" t="s">
        <v>79</v>
      </c>
      <c r="R95" s="40" t="s">
        <v>80</v>
      </c>
      <c r="S95" s="40" t="s">
        <v>81</v>
      </c>
      <c r="T95" s="40" t="s">
        <v>82</v>
      </c>
      <c r="U95" s="40" t="s">
        <v>83</v>
      </c>
      <c r="V95" s="40" t="s">
        <v>84</v>
      </c>
      <c r="W95" s="40" t="s">
        <v>3</v>
      </c>
      <c r="X95" s="40" t="s">
        <v>85</v>
      </c>
      <c r="Y95" s="40" t="s">
        <v>86</v>
      </c>
      <c r="Z95" s="40" t="s">
        <v>87</v>
      </c>
      <c r="AA95" s="40" t="s">
        <v>88</v>
      </c>
      <c r="AB95" s="40" t="s">
        <v>89</v>
      </c>
      <c r="AC95" s="40" t="s">
        <v>90</v>
      </c>
      <c r="AD95" s="40" t="s">
        <v>91</v>
      </c>
      <c r="AE95" s="40" t="s">
        <v>92</v>
      </c>
      <c r="AF95" s="43" t="s">
        <v>93</v>
      </c>
      <c r="AG95" s="2"/>
    </row>
    <row r="96" spans="1:35" ht="19.899999999999999" customHeight="1" x14ac:dyDescent="0.25">
      <c r="A96" s="615"/>
      <c r="B96" s="152">
        <v>1</v>
      </c>
      <c r="C96" s="44" t="s">
        <v>47</v>
      </c>
      <c r="D96" s="45">
        <v>11</v>
      </c>
      <c r="E96" s="46" t="s">
        <v>48</v>
      </c>
      <c r="F96" s="290" t="s">
        <v>49</v>
      </c>
      <c r="G96" s="47" t="s">
        <v>50</v>
      </c>
      <c r="H96" s="47">
        <v>36</v>
      </c>
      <c r="I96" s="47" t="s">
        <v>94</v>
      </c>
      <c r="J96" s="47" t="s">
        <v>95</v>
      </c>
      <c r="K96" s="47" t="s">
        <v>96</v>
      </c>
      <c r="L96" s="48" t="s">
        <v>97</v>
      </c>
      <c r="M96" s="48" t="s">
        <v>98</v>
      </c>
      <c r="N96" s="47" t="s">
        <v>99</v>
      </c>
      <c r="O96" s="47">
        <v>53</v>
      </c>
      <c r="P96" s="47">
        <v>54</v>
      </c>
      <c r="Q96" s="47" t="s">
        <v>913</v>
      </c>
      <c r="R96" s="47" t="s">
        <v>100</v>
      </c>
      <c r="S96" s="47" t="s">
        <v>101</v>
      </c>
      <c r="T96" s="47" t="s">
        <v>57</v>
      </c>
      <c r="U96" s="47" t="s">
        <v>102</v>
      </c>
      <c r="V96" s="47" t="s">
        <v>103</v>
      </c>
      <c r="W96" s="47" t="s">
        <v>104</v>
      </c>
      <c r="X96" s="47" t="s">
        <v>105</v>
      </c>
      <c r="Y96" s="47" t="s">
        <v>106</v>
      </c>
      <c r="Z96" s="47" t="s">
        <v>107</v>
      </c>
      <c r="AA96" s="47" t="s">
        <v>108</v>
      </c>
      <c r="AB96" s="45" t="s">
        <v>109</v>
      </c>
      <c r="AC96" s="47" t="s">
        <v>110</v>
      </c>
      <c r="AD96" s="45">
        <v>120</v>
      </c>
      <c r="AE96" s="45">
        <v>121</v>
      </c>
      <c r="AF96" s="49" t="s">
        <v>111</v>
      </c>
    </row>
    <row r="97" spans="1:35" outlineLevel="1" x14ac:dyDescent="0.25">
      <c r="A97" s="615"/>
      <c r="B97" s="152">
        <v>1</v>
      </c>
      <c r="C97" s="45">
        <v>9</v>
      </c>
      <c r="D97" s="45">
        <v>1</v>
      </c>
      <c r="E97" s="50">
        <v>13</v>
      </c>
      <c r="F97" s="291">
        <v>2</v>
      </c>
      <c r="G97" s="45">
        <v>9</v>
      </c>
      <c r="H97" s="45">
        <v>1</v>
      </c>
      <c r="I97" s="45">
        <v>2</v>
      </c>
      <c r="J97" s="45">
        <v>2</v>
      </c>
      <c r="K97" s="45">
        <v>3</v>
      </c>
      <c r="L97" s="51">
        <v>6</v>
      </c>
      <c r="M97" s="51">
        <v>1</v>
      </c>
      <c r="N97" s="45">
        <v>2</v>
      </c>
      <c r="O97" s="45">
        <v>1</v>
      </c>
      <c r="P97" s="45">
        <v>1</v>
      </c>
      <c r="Q97" s="45">
        <v>9</v>
      </c>
      <c r="R97" s="45">
        <v>2</v>
      </c>
      <c r="S97" s="45">
        <v>2</v>
      </c>
      <c r="T97" s="45">
        <v>6</v>
      </c>
      <c r="U97" s="45">
        <v>5</v>
      </c>
      <c r="V97" s="45">
        <v>2</v>
      </c>
      <c r="W97" s="45">
        <v>6</v>
      </c>
      <c r="X97" s="45">
        <v>2</v>
      </c>
      <c r="Y97" s="45">
        <v>7</v>
      </c>
      <c r="Z97" s="45">
        <v>7</v>
      </c>
      <c r="AA97" s="45">
        <v>3</v>
      </c>
      <c r="AB97" s="45">
        <v>7</v>
      </c>
      <c r="AC97" s="45">
        <v>7</v>
      </c>
      <c r="AD97" s="45">
        <v>1</v>
      </c>
      <c r="AE97" s="45">
        <v>1</v>
      </c>
      <c r="AF97" s="49">
        <v>7</v>
      </c>
    </row>
    <row r="98" spans="1:35" outlineLevel="1" x14ac:dyDescent="0.25">
      <c r="A98" s="615"/>
      <c r="B98" s="152" t="s">
        <v>1</v>
      </c>
      <c r="C98" s="45" t="s">
        <v>1</v>
      </c>
      <c r="D98" s="45" t="s">
        <v>69</v>
      </c>
      <c r="E98" s="50" t="s">
        <v>69</v>
      </c>
      <c r="F98" s="291" t="s">
        <v>1</v>
      </c>
      <c r="G98" s="45" t="s">
        <v>1</v>
      </c>
      <c r="H98" s="45" t="s">
        <v>69</v>
      </c>
      <c r="I98" s="45" t="s">
        <v>1</v>
      </c>
      <c r="J98" s="45" t="s">
        <v>1</v>
      </c>
      <c r="K98" s="45" t="s">
        <v>1</v>
      </c>
      <c r="L98" s="52" t="s">
        <v>1</v>
      </c>
      <c r="M98" s="52" t="s">
        <v>1</v>
      </c>
      <c r="N98" s="45" t="s">
        <v>69</v>
      </c>
      <c r="O98" s="45" t="s">
        <v>69</v>
      </c>
      <c r="P98" s="53" t="s">
        <v>69</v>
      </c>
      <c r="Q98" s="45" t="s">
        <v>1</v>
      </c>
      <c r="R98" s="45" t="s">
        <v>1</v>
      </c>
      <c r="S98" s="45" t="s">
        <v>1</v>
      </c>
      <c r="T98" s="45" t="s">
        <v>1</v>
      </c>
      <c r="U98" s="45" t="s">
        <v>69</v>
      </c>
      <c r="V98" s="45" t="s">
        <v>1</v>
      </c>
      <c r="W98" s="45" t="s">
        <v>1</v>
      </c>
      <c r="X98" s="45" t="s">
        <v>1</v>
      </c>
      <c r="Y98" s="45" t="s">
        <v>1</v>
      </c>
      <c r="Z98" s="45" t="s">
        <v>1</v>
      </c>
      <c r="AA98" s="45" t="s">
        <v>1</v>
      </c>
      <c r="AB98" s="45" t="s">
        <v>1</v>
      </c>
      <c r="AC98" s="45" t="s">
        <v>1</v>
      </c>
      <c r="AD98" s="45" t="s">
        <v>69</v>
      </c>
      <c r="AE98" s="45" t="s">
        <v>1</v>
      </c>
      <c r="AF98" s="49" t="s">
        <v>1</v>
      </c>
    </row>
    <row r="99" spans="1:35" outlineLevel="1" x14ac:dyDescent="0.25">
      <c r="A99" s="615"/>
      <c r="B99" s="152" t="s">
        <v>0</v>
      </c>
      <c r="C99" s="45" t="s">
        <v>0</v>
      </c>
      <c r="D99" s="45" t="s">
        <v>4</v>
      </c>
      <c r="E99" s="50" t="s">
        <v>0</v>
      </c>
      <c r="F99" s="291" t="s">
        <v>0</v>
      </c>
      <c r="G99" s="45" t="s">
        <v>0</v>
      </c>
      <c r="H99" s="45" t="s">
        <v>4</v>
      </c>
      <c r="I99" s="45" t="s">
        <v>4</v>
      </c>
      <c r="J99" s="45" t="s">
        <v>4</v>
      </c>
      <c r="K99" s="45" t="s">
        <v>4</v>
      </c>
      <c r="L99" s="52" t="s">
        <v>4</v>
      </c>
      <c r="M99" s="52" t="s">
        <v>0</v>
      </c>
      <c r="N99" s="45" t="s">
        <v>4</v>
      </c>
      <c r="O99" s="45" t="s">
        <v>4</v>
      </c>
      <c r="P99" s="45" t="s">
        <v>4</v>
      </c>
      <c r="Q99" s="45" t="s">
        <v>4</v>
      </c>
      <c r="R99" s="45" t="s">
        <v>4</v>
      </c>
      <c r="S99" s="45" t="s">
        <v>112</v>
      </c>
      <c r="T99" s="45" t="s">
        <v>0</v>
      </c>
      <c r="U99" s="45" t="s">
        <v>0</v>
      </c>
      <c r="V99" s="45" t="s">
        <v>0</v>
      </c>
      <c r="W99" s="45" t="s">
        <v>0</v>
      </c>
      <c r="X99" s="45" t="s">
        <v>0</v>
      </c>
      <c r="Y99" s="45" t="s">
        <v>0</v>
      </c>
      <c r="Z99" s="45" t="s">
        <v>0</v>
      </c>
      <c r="AA99" s="45" t="s">
        <v>0</v>
      </c>
      <c r="AB99" s="45" t="s">
        <v>0</v>
      </c>
      <c r="AC99" s="45" t="s">
        <v>0</v>
      </c>
      <c r="AD99" s="45" t="s">
        <v>4</v>
      </c>
      <c r="AE99" s="45" t="s">
        <v>4</v>
      </c>
      <c r="AF99" s="49" t="s">
        <v>4</v>
      </c>
    </row>
    <row r="100" spans="1:35" ht="30" customHeight="1" thickBot="1" x14ac:dyDescent="0.3">
      <c r="A100" s="616"/>
      <c r="B100" s="149" t="s">
        <v>10</v>
      </c>
      <c r="C100" s="54" t="s">
        <v>544</v>
      </c>
      <c r="D100" s="55" t="s">
        <v>8</v>
      </c>
      <c r="E100" s="54" t="s">
        <v>198</v>
      </c>
      <c r="F100" s="288">
        <v>77</v>
      </c>
      <c r="G100" s="54">
        <v>250000001</v>
      </c>
      <c r="H100" s="193" t="s">
        <v>8</v>
      </c>
      <c r="I100" s="193" t="s">
        <v>5</v>
      </c>
      <c r="J100" s="55" t="s">
        <v>5</v>
      </c>
      <c r="K100" s="55" t="s">
        <v>6</v>
      </c>
      <c r="L100" s="55" t="s">
        <v>208</v>
      </c>
      <c r="M100" s="193" t="s">
        <v>397</v>
      </c>
      <c r="N100" s="55" t="s">
        <v>210</v>
      </c>
      <c r="O100" s="55" t="s">
        <v>8</v>
      </c>
      <c r="P100" s="55" t="s">
        <v>8</v>
      </c>
      <c r="Q100" s="54" t="s">
        <v>544</v>
      </c>
      <c r="R100" s="55" t="s">
        <v>5</v>
      </c>
      <c r="S100" s="55" t="s">
        <v>5</v>
      </c>
      <c r="T100" s="33" t="s">
        <v>581</v>
      </c>
      <c r="U100" s="228" t="s">
        <v>244</v>
      </c>
      <c r="V100" s="33" t="s">
        <v>202</v>
      </c>
      <c r="W100" s="54" t="s">
        <v>590</v>
      </c>
      <c r="X100" s="33" t="s">
        <v>749</v>
      </c>
      <c r="Y100" s="54" t="s">
        <v>595</v>
      </c>
      <c r="Z100" s="96" t="s">
        <v>595</v>
      </c>
      <c r="AA100" s="54" t="s">
        <v>6</v>
      </c>
      <c r="AB100" s="54" t="s">
        <v>212</v>
      </c>
      <c r="AC100" s="54" t="s">
        <v>212</v>
      </c>
      <c r="AD100" s="193" t="s">
        <v>498</v>
      </c>
      <c r="AE100" s="193" t="s">
        <v>200</v>
      </c>
      <c r="AF100" s="54" t="s">
        <v>212</v>
      </c>
      <c r="AG100" s="188" t="s">
        <v>589</v>
      </c>
      <c r="AH100" s="76"/>
      <c r="AI100" s="76"/>
    </row>
    <row r="101" spans="1:35" s="75" customFormat="1" ht="15.75" thickBot="1" x14ac:dyDescent="0.3">
      <c r="B101" s="150" t="s">
        <v>586</v>
      </c>
      <c r="C101" s="75" t="s">
        <v>586</v>
      </c>
      <c r="D101" s="75" t="s">
        <v>586</v>
      </c>
      <c r="E101" s="75" t="s">
        <v>586</v>
      </c>
      <c r="F101" s="276" t="s">
        <v>586</v>
      </c>
      <c r="G101" s="75" t="s">
        <v>586</v>
      </c>
      <c r="H101" s="75" t="s">
        <v>586</v>
      </c>
      <c r="I101" s="75" t="s">
        <v>586</v>
      </c>
      <c r="J101" s="75" t="s">
        <v>586</v>
      </c>
      <c r="K101" s="75" t="s">
        <v>586</v>
      </c>
      <c r="L101" s="75" t="s">
        <v>586</v>
      </c>
      <c r="M101" s="75" t="s">
        <v>586</v>
      </c>
      <c r="N101" s="75" t="s">
        <v>586</v>
      </c>
      <c r="O101" s="75" t="s">
        <v>586</v>
      </c>
      <c r="P101" s="75" t="s">
        <v>586</v>
      </c>
      <c r="Q101" s="75" t="s">
        <v>586</v>
      </c>
      <c r="R101" s="75" t="s">
        <v>586</v>
      </c>
      <c r="S101" s="75" t="s">
        <v>586</v>
      </c>
      <c r="T101" s="75" t="s">
        <v>586</v>
      </c>
      <c r="U101" s="75" t="s">
        <v>586</v>
      </c>
      <c r="V101" s="75" t="s">
        <v>586</v>
      </c>
      <c r="W101" s="75" t="s">
        <v>586</v>
      </c>
      <c r="X101" s="75" t="s">
        <v>586</v>
      </c>
      <c r="Y101" s="75" t="s">
        <v>586</v>
      </c>
      <c r="Z101" s="75" t="s">
        <v>586</v>
      </c>
      <c r="AA101" s="75" t="s">
        <v>586</v>
      </c>
      <c r="AB101" s="75" t="s">
        <v>586</v>
      </c>
      <c r="AC101" s="75" t="s">
        <v>586</v>
      </c>
      <c r="AD101" s="75" t="s">
        <v>586</v>
      </c>
      <c r="AE101" s="75" t="s">
        <v>586</v>
      </c>
      <c r="AF101" s="75" t="s">
        <v>586</v>
      </c>
    </row>
    <row r="102" spans="1:35" ht="100.15" customHeight="1" x14ac:dyDescent="0.25">
      <c r="A102" s="620" t="s">
        <v>918</v>
      </c>
      <c r="B102" s="151" t="s">
        <v>13</v>
      </c>
      <c r="C102" s="40" t="s">
        <v>14</v>
      </c>
      <c r="D102" s="40" t="s">
        <v>15</v>
      </c>
      <c r="E102" s="41" t="s">
        <v>16</v>
      </c>
      <c r="F102" s="289" t="s">
        <v>17</v>
      </c>
      <c r="G102" s="40" t="s">
        <v>70</v>
      </c>
      <c r="H102" s="40" t="s">
        <v>71</v>
      </c>
      <c r="I102" s="40" t="s">
        <v>72</v>
      </c>
      <c r="J102" s="40" t="s">
        <v>2</v>
      </c>
      <c r="K102" s="40" t="s">
        <v>73</v>
      </c>
      <c r="L102" s="42" t="s">
        <v>74</v>
      </c>
      <c r="M102" s="42" t="s">
        <v>75</v>
      </c>
      <c r="N102" s="40" t="s">
        <v>76</v>
      </c>
      <c r="O102" s="40" t="s">
        <v>77</v>
      </c>
      <c r="P102" s="40" t="s">
        <v>78</v>
      </c>
      <c r="Q102" s="40" t="s">
        <v>79</v>
      </c>
      <c r="R102" s="40" t="s">
        <v>80</v>
      </c>
      <c r="S102" s="40" t="s">
        <v>81</v>
      </c>
      <c r="T102" s="40" t="s">
        <v>82</v>
      </c>
      <c r="U102" s="40" t="s">
        <v>83</v>
      </c>
      <c r="V102" s="40" t="s">
        <v>84</v>
      </c>
      <c r="W102" s="40" t="s">
        <v>3</v>
      </c>
      <c r="X102" s="40" t="s">
        <v>85</v>
      </c>
      <c r="Y102" s="40" t="s">
        <v>86</v>
      </c>
      <c r="Z102" s="40" t="s">
        <v>87</v>
      </c>
      <c r="AA102" s="40" t="s">
        <v>88</v>
      </c>
      <c r="AB102" s="40" t="s">
        <v>89</v>
      </c>
      <c r="AC102" s="40" t="s">
        <v>90</v>
      </c>
      <c r="AD102" s="40" t="s">
        <v>91</v>
      </c>
      <c r="AE102" s="40" t="s">
        <v>92</v>
      </c>
      <c r="AF102" s="43" t="s">
        <v>93</v>
      </c>
      <c r="AG102" s="2"/>
    </row>
    <row r="103" spans="1:35" ht="19.899999999999999" customHeight="1" x14ac:dyDescent="0.25">
      <c r="A103" s="615"/>
      <c r="B103" s="152">
        <v>1</v>
      </c>
      <c r="C103" s="44" t="s">
        <v>47</v>
      </c>
      <c r="D103" s="45">
        <v>11</v>
      </c>
      <c r="E103" s="46" t="s">
        <v>48</v>
      </c>
      <c r="F103" s="290" t="s">
        <v>49</v>
      </c>
      <c r="G103" s="47" t="s">
        <v>50</v>
      </c>
      <c r="H103" s="47">
        <v>36</v>
      </c>
      <c r="I103" s="47" t="s">
        <v>94</v>
      </c>
      <c r="J103" s="47" t="s">
        <v>95</v>
      </c>
      <c r="K103" s="47" t="s">
        <v>96</v>
      </c>
      <c r="L103" s="48" t="s">
        <v>97</v>
      </c>
      <c r="M103" s="48" t="s">
        <v>98</v>
      </c>
      <c r="N103" s="47" t="s">
        <v>99</v>
      </c>
      <c r="O103" s="47">
        <v>53</v>
      </c>
      <c r="P103" s="47">
        <v>54</v>
      </c>
      <c r="Q103" s="47" t="s">
        <v>913</v>
      </c>
      <c r="R103" s="47" t="s">
        <v>100</v>
      </c>
      <c r="S103" s="47" t="s">
        <v>101</v>
      </c>
      <c r="T103" s="47" t="s">
        <v>57</v>
      </c>
      <c r="U103" s="47" t="s">
        <v>102</v>
      </c>
      <c r="V103" s="47" t="s">
        <v>103</v>
      </c>
      <c r="W103" s="47" t="s">
        <v>104</v>
      </c>
      <c r="X103" s="47" t="s">
        <v>105</v>
      </c>
      <c r="Y103" s="47" t="s">
        <v>106</v>
      </c>
      <c r="Z103" s="47" t="s">
        <v>107</v>
      </c>
      <c r="AA103" s="47" t="s">
        <v>108</v>
      </c>
      <c r="AB103" s="45" t="s">
        <v>109</v>
      </c>
      <c r="AC103" s="47" t="s">
        <v>110</v>
      </c>
      <c r="AD103" s="45">
        <v>120</v>
      </c>
      <c r="AE103" s="45">
        <v>121</v>
      </c>
      <c r="AF103" s="49" t="s">
        <v>111</v>
      </c>
    </row>
    <row r="104" spans="1:35" outlineLevel="1" x14ac:dyDescent="0.25">
      <c r="A104" s="615"/>
      <c r="B104" s="152">
        <v>1</v>
      </c>
      <c r="C104" s="45">
        <v>9</v>
      </c>
      <c r="D104" s="45">
        <v>1</v>
      </c>
      <c r="E104" s="50">
        <v>13</v>
      </c>
      <c r="F104" s="291">
        <v>2</v>
      </c>
      <c r="G104" s="45">
        <v>9</v>
      </c>
      <c r="H104" s="45">
        <v>1</v>
      </c>
      <c r="I104" s="45">
        <v>2</v>
      </c>
      <c r="J104" s="45">
        <v>2</v>
      </c>
      <c r="K104" s="45">
        <v>3</v>
      </c>
      <c r="L104" s="51">
        <v>6</v>
      </c>
      <c r="M104" s="51">
        <v>1</v>
      </c>
      <c r="N104" s="45">
        <v>2</v>
      </c>
      <c r="O104" s="45">
        <v>1</v>
      </c>
      <c r="P104" s="45">
        <v>1</v>
      </c>
      <c r="Q104" s="45">
        <v>9</v>
      </c>
      <c r="R104" s="45">
        <v>2</v>
      </c>
      <c r="S104" s="45">
        <v>2</v>
      </c>
      <c r="T104" s="45">
        <v>6</v>
      </c>
      <c r="U104" s="45">
        <v>5</v>
      </c>
      <c r="V104" s="45">
        <v>2</v>
      </c>
      <c r="W104" s="45">
        <v>6</v>
      </c>
      <c r="X104" s="45">
        <v>2</v>
      </c>
      <c r="Y104" s="45">
        <v>7</v>
      </c>
      <c r="Z104" s="45">
        <v>7</v>
      </c>
      <c r="AA104" s="45">
        <v>3</v>
      </c>
      <c r="AB104" s="45">
        <v>7</v>
      </c>
      <c r="AC104" s="45">
        <v>7</v>
      </c>
      <c r="AD104" s="45">
        <v>1</v>
      </c>
      <c r="AE104" s="45">
        <v>1</v>
      </c>
      <c r="AF104" s="49">
        <v>7</v>
      </c>
    </row>
    <row r="105" spans="1:35" outlineLevel="1" x14ac:dyDescent="0.25">
      <c r="A105" s="615"/>
      <c r="B105" s="152" t="s">
        <v>1</v>
      </c>
      <c r="C105" s="45" t="s">
        <v>1</v>
      </c>
      <c r="D105" s="45" t="s">
        <v>69</v>
      </c>
      <c r="E105" s="50" t="s">
        <v>69</v>
      </c>
      <c r="F105" s="291" t="s">
        <v>1</v>
      </c>
      <c r="G105" s="45" t="s">
        <v>1</v>
      </c>
      <c r="H105" s="45" t="s">
        <v>69</v>
      </c>
      <c r="I105" s="45" t="s">
        <v>1</v>
      </c>
      <c r="J105" s="45" t="s">
        <v>1</v>
      </c>
      <c r="K105" s="45" t="s">
        <v>1</v>
      </c>
      <c r="L105" s="52" t="s">
        <v>1</v>
      </c>
      <c r="M105" s="52" t="s">
        <v>1</v>
      </c>
      <c r="N105" s="45" t="s">
        <v>69</v>
      </c>
      <c r="O105" s="45" t="s">
        <v>69</v>
      </c>
      <c r="P105" s="53" t="s">
        <v>69</v>
      </c>
      <c r="Q105" s="45" t="s">
        <v>1</v>
      </c>
      <c r="R105" s="45" t="s">
        <v>1</v>
      </c>
      <c r="S105" s="45" t="s">
        <v>1</v>
      </c>
      <c r="T105" s="45" t="s">
        <v>1</v>
      </c>
      <c r="U105" s="45" t="s">
        <v>69</v>
      </c>
      <c r="V105" s="45" t="s">
        <v>1</v>
      </c>
      <c r="W105" s="45" t="s">
        <v>1</v>
      </c>
      <c r="X105" s="45" t="s">
        <v>1</v>
      </c>
      <c r="Y105" s="45" t="s">
        <v>1</v>
      </c>
      <c r="Z105" s="45" t="s">
        <v>1</v>
      </c>
      <c r="AA105" s="45" t="s">
        <v>1</v>
      </c>
      <c r="AB105" s="45" t="s">
        <v>1</v>
      </c>
      <c r="AC105" s="45" t="s">
        <v>1</v>
      </c>
      <c r="AD105" s="45" t="s">
        <v>69</v>
      </c>
      <c r="AE105" s="45" t="s">
        <v>1</v>
      </c>
      <c r="AF105" s="49" t="s">
        <v>1</v>
      </c>
    </row>
    <row r="106" spans="1:35" outlineLevel="1" x14ac:dyDescent="0.25">
      <c r="A106" s="615"/>
      <c r="B106" s="152" t="s">
        <v>0</v>
      </c>
      <c r="C106" s="45" t="s">
        <v>0</v>
      </c>
      <c r="D106" s="45" t="s">
        <v>4</v>
      </c>
      <c r="E106" s="50" t="s">
        <v>0</v>
      </c>
      <c r="F106" s="291" t="s">
        <v>0</v>
      </c>
      <c r="G106" s="45" t="s">
        <v>0</v>
      </c>
      <c r="H106" s="45" t="s">
        <v>4</v>
      </c>
      <c r="I106" s="45" t="s">
        <v>4</v>
      </c>
      <c r="J106" s="45" t="s">
        <v>4</v>
      </c>
      <c r="K106" s="45" t="s">
        <v>4</v>
      </c>
      <c r="L106" s="52" t="s">
        <v>4</v>
      </c>
      <c r="M106" s="52" t="s">
        <v>0</v>
      </c>
      <c r="N106" s="45" t="s">
        <v>4</v>
      </c>
      <c r="O106" s="45" t="s">
        <v>4</v>
      </c>
      <c r="P106" s="45" t="s">
        <v>4</v>
      </c>
      <c r="Q106" s="45" t="s">
        <v>4</v>
      </c>
      <c r="R106" s="45" t="s">
        <v>4</v>
      </c>
      <c r="S106" s="45" t="s">
        <v>112</v>
      </c>
      <c r="T106" s="45" t="s">
        <v>0</v>
      </c>
      <c r="U106" s="45" t="s">
        <v>0</v>
      </c>
      <c r="V106" s="45" t="s">
        <v>0</v>
      </c>
      <c r="W106" s="45" t="s">
        <v>0</v>
      </c>
      <c r="X106" s="45" t="s">
        <v>0</v>
      </c>
      <c r="Y106" s="45" t="s">
        <v>0</v>
      </c>
      <c r="Z106" s="45" t="s">
        <v>0</v>
      </c>
      <c r="AA106" s="45" t="s">
        <v>0</v>
      </c>
      <c r="AB106" s="45" t="s">
        <v>0</v>
      </c>
      <c r="AC106" s="45" t="s">
        <v>0</v>
      </c>
      <c r="AD106" s="45" t="s">
        <v>4</v>
      </c>
      <c r="AE106" s="45" t="s">
        <v>4</v>
      </c>
      <c r="AF106" s="49" t="s">
        <v>4</v>
      </c>
    </row>
    <row r="107" spans="1:35" ht="30" customHeight="1" thickBot="1" x14ac:dyDescent="0.3">
      <c r="A107" s="616"/>
      <c r="B107" s="149" t="s">
        <v>10</v>
      </c>
      <c r="C107" s="54" t="s">
        <v>544</v>
      </c>
      <c r="D107" s="55" t="s">
        <v>8</v>
      </c>
      <c r="E107" s="54" t="s">
        <v>198</v>
      </c>
      <c r="F107" s="288">
        <v>77</v>
      </c>
      <c r="G107" s="54">
        <v>250000001</v>
      </c>
      <c r="H107" s="193" t="s">
        <v>8</v>
      </c>
      <c r="I107" s="193" t="s">
        <v>5</v>
      </c>
      <c r="J107" s="55" t="s">
        <v>5</v>
      </c>
      <c r="K107" s="55" t="s">
        <v>6</v>
      </c>
      <c r="L107" s="55" t="s">
        <v>208</v>
      </c>
      <c r="M107" s="193" t="s">
        <v>397</v>
      </c>
      <c r="N107" s="55" t="s">
        <v>210</v>
      </c>
      <c r="O107" s="55" t="s">
        <v>8</v>
      </c>
      <c r="P107" s="55" t="s">
        <v>8</v>
      </c>
      <c r="Q107" s="54" t="s">
        <v>544</v>
      </c>
      <c r="R107" s="55" t="s">
        <v>5</v>
      </c>
      <c r="S107" s="55" t="s">
        <v>5</v>
      </c>
      <c r="T107" s="33" t="s">
        <v>581</v>
      </c>
      <c r="U107" s="228" t="s">
        <v>245</v>
      </c>
      <c r="V107" s="33" t="s">
        <v>202</v>
      </c>
      <c r="W107" s="54" t="s">
        <v>590</v>
      </c>
      <c r="X107" s="33" t="s">
        <v>749</v>
      </c>
      <c r="Y107" s="54" t="s">
        <v>595</v>
      </c>
      <c r="Z107" s="96" t="s">
        <v>595</v>
      </c>
      <c r="AA107" s="54" t="s">
        <v>6</v>
      </c>
      <c r="AB107" s="54" t="s">
        <v>212</v>
      </c>
      <c r="AC107" s="54" t="s">
        <v>212</v>
      </c>
      <c r="AD107" s="193" t="s">
        <v>498</v>
      </c>
      <c r="AE107" s="193" t="s">
        <v>200</v>
      </c>
      <c r="AF107" s="54" t="s">
        <v>212</v>
      </c>
      <c r="AG107" s="188" t="s">
        <v>589</v>
      </c>
      <c r="AH107" s="76"/>
      <c r="AI107" s="76"/>
    </row>
    <row r="108" spans="1:35" s="75" customFormat="1" ht="15.75" thickBot="1" x14ac:dyDescent="0.3">
      <c r="B108" s="150" t="s">
        <v>586</v>
      </c>
      <c r="C108" s="75" t="s">
        <v>586</v>
      </c>
      <c r="D108" s="75" t="s">
        <v>586</v>
      </c>
      <c r="E108" s="75" t="s">
        <v>586</v>
      </c>
      <c r="F108" s="276" t="s">
        <v>586</v>
      </c>
      <c r="G108" s="75" t="s">
        <v>586</v>
      </c>
      <c r="H108" s="75" t="s">
        <v>586</v>
      </c>
      <c r="I108" s="75" t="s">
        <v>586</v>
      </c>
      <c r="J108" s="75" t="s">
        <v>586</v>
      </c>
      <c r="K108" s="75" t="s">
        <v>586</v>
      </c>
      <c r="L108" s="75" t="s">
        <v>586</v>
      </c>
      <c r="M108" s="75" t="s">
        <v>586</v>
      </c>
      <c r="N108" s="75" t="s">
        <v>586</v>
      </c>
      <c r="O108" s="75" t="s">
        <v>586</v>
      </c>
      <c r="P108" s="75" t="s">
        <v>586</v>
      </c>
      <c r="Q108" s="75" t="s">
        <v>586</v>
      </c>
      <c r="R108" s="75" t="s">
        <v>586</v>
      </c>
      <c r="S108" s="75" t="s">
        <v>586</v>
      </c>
      <c r="T108" s="75" t="s">
        <v>586</v>
      </c>
      <c r="U108" s="75" t="s">
        <v>586</v>
      </c>
      <c r="V108" s="75" t="s">
        <v>586</v>
      </c>
      <c r="W108" s="75" t="s">
        <v>586</v>
      </c>
      <c r="X108" s="75" t="s">
        <v>586</v>
      </c>
      <c r="Y108" s="75" t="s">
        <v>586</v>
      </c>
      <c r="Z108" s="75" t="s">
        <v>586</v>
      </c>
      <c r="AA108" s="75" t="s">
        <v>586</v>
      </c>
      <c r="AB108" s="75" t="s">
        <v>586</v>
      </c>
      <c r="AC108" s="75" t="s">
        <v>586</v>
      </c>
      <c r="AD108" s="75" t="s">
        <v>586</v>
      </c>
      <c r="AE108" s="75" t="s">
        <v>586</v>
      </c>
      <c r="AF108" s="75" t="s">
        <v>586</v>
      </c>
    </row>
    <row r="109" spans="1:35" ht="100.15" customHeight="1" x14ac:dyDescent="0.25">
      <c r="A109" s="620" t="s">
        <v>923</v>
      </c>
      <c r="B109" s="151" t="s">
        <v>13</v>
      </c>
      <c r="C109" s="40" t="s">
        <v>14</v>
      </c>
      <c r="D109" s="40" t="s">
        <v>15</v>
      </c>
      <c r="E109" s="41" t="s">
        <v>16</v>
      </c>
      <c r="F109" s="289" t="s">
        <v>17</v>
      </c>
      <c r="G109" s="40" t="s">
        <v>70</v>
      </c>
      <c r="H109" s="40" t="s">
        <v>71</v>
      </c>
      <c r="I109" s="40" t="s">
        <v>72</v>
      </c>
      <c r="J109" s="40" t="s">
        <v>2</v>
      </c>
      <c r="K109" s="40" t="s">
        <v>73</v>
      </c>
      <c r="L109" s="42" t="s">
        <v>74</v>
      </c>
      <c r="M109" s="42" t="s">
        <v>75</v>
      </c>
      <c r="N109" s="40" t="s">
        <v>76</v>
      </c>
      <c r="O109" s="40" t="s">
        <v>77</v>
      </c>
      <c r="P109" s="40" t="s">
        <v>78</v>
      </c>
      <c r="Q109" s="40" t="s">
        <v>79</v>
      </c>
      <c r="R109" s="40" t="s">
        <v>80</v>
      </c>
      <c r="S109" s="40" t="s">
        <v>81</v>
      </c>
      <c r="T109" s="40" t="s">
        <v>82</v>
      </c>
      <c r="U109" s="40" t="s">
        <v>83</v>
      </c>
      <c r="V109" s="40" t="s">
        <v>84</v>
      </c>
      <c r="W109" s="40" t="s">
        <v>3</v>
      </c>
      <c r="X109" s="40" t="s">
        <v>85</v>
      </c>
      <c r="Y109" s="40" t="s">
        <v>86</v>
      </c>
      <c r="Z109" s="40" t="s">
        <v>87</v>
      </c>
      <c r="AA109" s="40" t="s">
        <v>88</v>
      </c>
      <c r="AB109" s="40" t="s">
        <v>89</v>
      </c>
      <c r="AC109" s="40" t="s">
        <v>90</v>
      </c>
      <c r="AD109" s="40" t="s">
        <v>91</v>
      </c>
      <c r="AE109" s="40" t="s">
        <v>92</v>
      </c>
      <c r="AF109" s="43" t="s">
        <v>93</v>
      </c>
      <c r="AG109" s="2"/>
    </row>
    <row r="110" spans="1:35" ht="19.899999999999999" customHeight="1" x14ac:dyDescent="0.25">
      <c r="A110" s="615"/>
      <c r="B110" s="152">
        <v>1</v>
      </c>
      <c r="C110" s="44" t="s">
        <v>47</v>
      </c>
      <c r="D110" s="45">
        <v>11</v>
      </c>
      <c r="E110" s="46" t="s">
        <v>48</v>
      </c>
      <c r="F110" s="290" t="s">
        <v>49</v>
      </c>
      <c r="G110" s="47" t="s">
        <v>50</v>
      </c>
      <c r="H110" s="47">
        <v>36</v>
      </c>
      <c r="I110" s="47" t="s">
        <v>94</v>
      </c>
      <c r="J110" s="47" t="s">
        <v>95</v>
      </c>
      <c r="K110" s="47" t="s">
        <v>96</v>
      </c>
      <c r="L110" s="48" t="s">
        <v>97</v>
      </c>
      <c r="M110" s="48" t="s">
        <v>98</v>
      </c>
      <c r="N110" s="47" t="s">
        <v>99</v>
      </c>
      <c r="O110" s="47">
        <v>53</v>
      </c>
      <c r="P110" s="47">
        <v>54</v>
      </c>
      <c r="Q110" s="47" t="s">
        <v>913</v>
      </c>
      <c r="R110" s="47" t="s">
        <v>100</v>
      </c>
      <c r="S110" s="47" t="s">
        <v>101</v>
      </c>
      <c r="T110" s="47" t="s">
        <v>57</v>
      </c>
      <c r="U110" s="47" t="s">
        <v>102</v>
      </c>
      <c r="V110" s="47" t="s">
        <v>103</v>
      </c>
      <c r="W110" s="47" t="s">
        <v>104</v>
      </c>
      <c r="X110" s="47" t="s">
        <v>105</v>
      </c>
      <c r="Y110" s="47" t="s">
        <v>106</v>
      </c>
      <c r="Z110" s="47" t="s">
        <v>107</v>
      </c>
      <c r="AA110" s="47" t="s">
        <v>108</v>
      </c>
      <c r="AB110" s="45" t="s">
        <v>109</v>
      </c>
      <c r="AC110" s="47" t="s">
        <v>110</v>
      </c>
      <c r="AD110" s="45">
        <v>120</v>
      </c>
      <c r="AE110" s="45">
        <v>121</v>
      </c>
      <c r="AF110" s="49" t="s">
        <v>111</v>
      </c>
    </row>
    <row r="111" spans="1:35" outlineLevel="1" x14ac:dyDescent="0.25">
      <c r="A111" s="615"/>
      <c r="B111" s="152">
        <v>1</v>
      </c>
      <c r="C111" s="45">
        <v>9</v>
      </c>
      <c r="D111" s="45">
        <v>1</v>
      </c>
      <c r="E111" s="50">
        <v>13</v>
      </c>
      <c r="F111" s="291">
        <v>2</v>
      </c>
      <c r="G111" s="45">
        <v>9</v>
      </c>
      <c r="H111" s="45">
        <v>1</v>
      </c>
      <c r="I111" s="45">
        <v>2</v>
      </c>
      <c r="J111" s="45">
        <v>2</v>
      </c>
      <c r="K111" s="45">
        <v>3</v>
      </c>
      <c r="L111" s="51">
        <v>6</v>
      </c>
      <c r="M111" s="51">
        <v>1</v>
      </c>
      <c r="N111" s="45">
        <v>2</v>
      </c>
      <c r="O111" s="45">
        <v>1</v>
      </c>
      <c r="P111" s="45">
        <v>1</v>
      </c>
      <c r="Q111" s="45">
        <v>9</v>
      </c>
      <c r="R111" s="45">
        <v>2</v>
      </c>
      <c r="S111" s="45">
        <v>2</v>
      </c>
      <c r="T111" s="45">
        <v>6</v>
      </c>
      <c r="U111" s="45">
        <v>5</v>
      </c>
      <c r="V111" s="45">
        <v>2</v>
      </c>
      <c r="W111" s="45">
        <v>6</v>
      </c>
      <c r="X111" s="45">
        <v>2</v>
      </c>
      <c r="Y111" s="45">
        <v>7</v>
      </c>
      <c r="Z111" s="45">
        <v>7</v>
      </c>
      <c r="AA111" s="45">
        <v>3</v>
      </c>
      <c r="AB111" s="45">
        <v>7</v>
      </c>
      <c r="AC111" s="45">
        <v>7</v>
      </c>
      <c r="AD111" s="45">
        <v>1</v>
      </c>
      <c r="AE111" s="45">
        <v>1</v>
      </c>
      <c r="AF111" s="49">
        <v>7</v>
      </c>
    </row>
    <row r="112" spans="1:35" outlineLevel="1" x14ac:dyDescent="0.25">
      <c r="A112" s="615"/>
      <c r="B112" s="152" t="s">
        <v>1</v>
      </c>
      <c r="C112" s="45" t="s">
        <v>1</v>
      </c>
      <c r="D112" s="45" t="s">
        <v>69</v>
      </c>
      <c r="E112" s="50" t="s">
        <v>69</v>
      </c>
      <c r="F112" s="291" t="s">
        <v>1</v>
      </c>
      <c r="G112" s="45" t="s">
        <v>1</v>
      </c>
      <c r="H112" s="45" t="s">
        <v>69</v>
      </c>
      <c r="I112" s="45" t="s">
        <v>1</v>
      </c>
      <c r="J112" s="45" t="s">
        <v>1</v>
      </c>
      <c r="K112" s="45" t="s">
        <v>1</v>
      </c>
      <c r="L112" s="52" t="s">
        <v>1</v>
      </c>
      <c r="M112" s="52" t="s">
        <v>1</v>
      </c>
      <c r="N112" s="45" t="s">
        <v>69</v>
      </c>
      <c r="O112" s="45" t="s">
        <v>69</v>
      </c>
      <c r="P112" s="53" t="s">
        <v>69</v>
      </c>
      <c r="Q112" s="45" t="s">
        <v>1</v>
      </c>
      <c r="R112" s="45" t="s">
        <v>1</v>
      </c>
      <c r="S112" s="45" t="s">
        <v>1</v>
      </c>
      <c r="T112" s="45" t="s">
        <v>1</v>
      </c>
      <c r="U112" s="45" t="s">
        <v>69</v>
      </c>
      <c r="V112" s="45" t="s">
        <v>1</v>
      </c>
      <c r="W112" s="45" t="s">
        <v>1</v>
      </c>
      <c r="X112" s="45" t="s">
        <v>1</v>
      </c>
      <c r="Y112" s="45" t="s">
        <v>1</v>
      </c>
      <c r="Z112" s="45" t="s">
        <v>1</v>
      </c>
      <c r="AA112" s="45" t="s">
        <v>1</v>
      </c>
      <c r="AB112" s="45" t="s">
        <v>1</v>
      </c>
      <c r="AC112" s="45" t="s">
        <v>1</v>
      </c>
      <c r="AD112" s="45" t="s">
        <v>69</v>
      </c>
      <c r="AE112" s="45" t="s">
        <v>1</v>
      </c>
      <c r="AF112" s="49" t="s">
        <v>1</v>
      </c>
    </row>
    <row r="113" spans="1:35" outlineLevel="1" x14ac:dyDescent="0.25">
      <c r="A113" s="615"/>
      <c r="B113" s="152" t="s">
        <v>0</v>
      </c>
      <c r="C113" s="45" t="s">
        <v>0</v>
      </c>
      <c r="D113" s="45" t="s">
        <v>4</v>
      </c>
      <c r="E113" s="50" t="s">
        <v>0</v>
      </c>
      <c r="F113" s="291" t="s">
        <v>0</v>
      </c>
      <c r="G113" s="45" t="s">
        <v>0</v>
      </c>
      <c r="H113" s="45" t="s">
        <v>4</v>
      </c>
      <c r="I113" s="45" t="s">
        <v>4</v>
      </c>
      <c r="J113" s="45" t="s">
        <v>4</v>
      </c>
      <c r="K113" s="45" t="s">
        <v>4</v>
      </c>
      <c r="L113" s="52" t="s">
        <v>4</v>
      </c>
      <c r="M113" s="52" t="s">
        <v>0</v>
      </c>
      <c r="N113" s="45" t="s">
        <v>4</v>
      </c>
      <c r="O113" s="45" t="s">
        <v>4</v>
      </c>
      <c r="P113" s="45" t="s">
        <v>4</v>
      </c>
      <c r="Q113" s="45" t="s">
        <v>4</v>
      </c>
      <c r="R113" s="45" t="s">
        <v>4</v>
      </c>
      <c r="S113" s="45" t="s">
        <v>112</v>
      </c>
      <c r="T113" s="45" t="s">
        <v>0</v>
      </c>
      <c r="U113" s="45" t="s">
        <v>0</v>
      </c>
      <c r="V113" s="45" t="s">
        <v>0</v>
      </c>
      <c r="W113" s="45" t="s">
        <v>0</v>
      </c>
      <c r="X113" s="45" t="s">
        <v>0</v>
      </c>
      <c r="Y113" s="45" t="s">
        <v>0</v>
      </c>
      <c r="Z113" s="45" t="s">
        <v>0</v>
      </c>
      <c r="AA113" s="45" t="s">
        <v>0</v>
      </c>
      <c r="AB113" s="45" t="s">
        <v>0</v>
      </c>
      <c r="AC113" s="45" t="s">
        <v>0</v>
      </c>
      <c r="AD113" s="45" t="s">
        <v>4</v>
      </c>
      <c r="AE113" s="45" t="s">
        <v>4</v>
      </c>
      <c r="AF113" s="49" t="s">
        <v>4</v>
      </c>
    </row>
    <row r="114" spans="1:35" ht="30" customHeight="1" thickBot="1" x14ac:dyDescent="0.3">
      <c r="A114" s="616"/>
      <c r="B114" s="149" t="s">
        <v>10</v>
      </c>
      <c r="C114" s="54" t="s">
        <v>544</v>
      </c>
      <c r="D114" s="55" t="s">
        <v>8</v>
      </c>
      <c r="E114" s="54" t="s">
        <v>198</v>
      </c>
      <c r="F114" s="288">
        <v>77</v>
      </c>
      <c r="G114" s="54">
        <v>250000001</v>
      </c>
      <c r="H114" s="193" t="s">
        <v>8</v>
      </c>
      <c r="I114" s="193" t="s">
        <v>5</v>
      </c>
      <c r="J114" s="55" t="s">
        <v>5</v>
      </c>
      <c r="K114" s="55" t="s">
        <v>6</v>
      </c>
      <c r="L114" s="55" t="s">
        <v>208</v>
      </c>
      <c r="M114" s="193" t="s">
        <v>397</v>
      </c>
      <c r="N114" s="55" t="s">
        <v>210</v>
      </c>
      <c r="O114" s="55" t="s">
        <v>8</v>
      </c>
      <c r="P114" s="55" t="s">
        <v>8</v>
      </c>
      <c r="Q114" s="54" t="s">
        <v>544</v>
      </c>
      <c r="R114" s="55" t="s">
        <v>5</v>
      </c>
      <c r="S114" s="55" t="s">
        <v>5</v>
      </c>
      <c r="T114" s="33" t="s">
        <v>581</v>
      </c>
      <c r="U114" s="228" t="s">
        <v>240</v>
      </c>
      <c r="V114" s="33" t="s">
        <v>202</v>
      </c>
      <c r="W114" s="54" t="s">
        <v>590</v>
      </c>
      <c r="X114" s="33" t="s">
        <v>749</v>
      </c>
      <c r="Y114" s="54" t="s">
        <v>595</v>
      </c>
      <c r="Z114" s="96" t="s">
        <v>595</v>
      </c>
      <c r="AA114" s="54" t="s">
        <v>6</v>
      </c>
      <c r="AB114" s="54" t="s">
        <v>212</v>
      </c>
      <c r="AC114" s="54" t="s">
        <v>212</v>
      </c>
      <c r="AD114" s="193" t="s">
        <v>498</v>
      </c>
      <c r="AE114" s="193" t="s">
        <v>200</v>
      </c>
      <c r="AF114" s="54" t="s">
        <v>212</v>
      </c>
      <c r="AG114" s="188" t="s">
        <v>589</v>
      </c>
      <c r="AH114" s="76"/>
      <c r="AI114" s="76"/>
    </row>
    <row r="115" spans="1:35" s="75" customFormat="1" ht="15.75" thickBot="1" x14ac:dyDescent="0.3">
      <c r="B115" s="150" t="s">
        <v>586</v>
      </c>
      <c r="C115" s="75" t="s">
        <v>586</v>
      </c>
      <c r="D115" s="75" t="s">
        <v>586</v>
      </c>
      <c r="E115" s="75" t="s">
        <v>586</v>
      </c>
      <c r="F115" s="276" t="s">
        <v>586</v>
      </c>
      <c r="G115" s="75" t="s">
        <v>586</v>
      </c>
      <c r="H115" s="75" t="s">
        <v>586</v>
      </c>
      <c r="I115" s="75" t="s">
        <v>586</v>
      </c>
      <c r="J115" s="75" t="s">
        <v>586</v>
      </c>
      <c r="K115" s="75" t="s">
        <v>586</v>
      </c>
      <c r="L115" s="75" t="s">
        <v>586</v>
      </c>
      <c r="M115" s="75" t="s">
        <v>586</v>
      </c>
      <c r="N115" s="75" t="s">
        <v>586</v>
      </c>
      <c r="O115" s="75" t="s">
        <v>586</v>
      </c>
      <c r="P115" s="75" t="s">
        <v>586</v>
      </c>
      <c r="Q115" s="75" t="s">
        <v>586</v>
      </c>
      <c r="R115" s="75" t="s">
        <v>586</v>
      </c>
      <c r="S115" s="75" t="s">
        <v>586</v>
      </c>
      <c r="T115" s="75" t="s">
        <v>586</v>
      </c>
      <c r="U115" s="75" t="s">
        <v>586</v>
      </c>
      <c r="V115" s="75" t="s">
        <v>586</v>
      </c>
      <c r="W115" s="75" t="s">
        <v>586</v>
      </c>
      <c r="X115" s="75" t="s">
        <v>586</v>
      </c>
      <c r="Y115" s="75" t="s">
        <v>586</v>
      </c>
      <c r="Z115" s="75" t="s">
        <v>586</v>
      </c>
      <c r="AA115" s="75" t="s">
        <v>586</v>
      </c>
      <c r="AB115" s="75" t="s">
        <v>586</v>
      </c>
      <c r="AC115" s="75" t="s">
        <v>586</v>
      </c>
      <c r="AD115" s="75" t="s">
        <v>586</v>
      </c>
      <c r="AE115" s="75" t="s">
        <v>586</v>
      </c>
      <c r="AF115" s="75" t="s">
        <v>586</v>
      </c>
    </row>
    <row r="116" spans="1:35" ht="100.15" customHeight="1" x14ac:dyDescent="0.25">
      <c r="A116" s="620" t="s">
        <v>924</v>
      </c>
      <c r="B116" s="151" t="s">
        <v>13</v>
      </c>
      <c r="C116" s="40" t="s">
        <v>14</v>
      </c>
      <c r="D116" s="40" t="s">
        <v>15</v>
      </c>
      <c r="E116" s="41" t="s">
        <v>16</v>
      </c>
      <c r="F116" s="289" t="s">
        <v>17</v>
      </c>
      <c r="G116" s="40" t="s">
        <v>70</v>
      </c>
      <c r="H116" s="40" t="s">
        <v>71</v>
      </c>
      <c r="I116" s="40" t="s">
        <v>72</v>
      </c>
      <c r="J116" s="40" t="s">
        <v>2</v>
      </c>
      <c r="K116" s="40" t="s">
        <v>73</v>
      </c>
      <c r="L116" s="42" t="s">
        <v>74</v>
      </c>
      <c r="M116" s="42" t="s">
        <v>75</v>
      </c>
      <c r="N116" s="40" t="s">
        <v>76</v>
      </c>
      <c r="O116" s="40" t="s">
        <v>77</v>
      </c>
      <c r="P116" s="40" t="s">
        <v>78</v>
      </c>
      <c r="Q116" s="40" t="s">
        <v>79</v>
      </c>
      <c r="R116" s="40" t="s">
        <v>80</v>
      </c>
      <c r="S116" s="40" t="s">
        <v>81</v>
      </c>
      <c r="T116" s="40" t="s">
        <v>82</v>
      </c>
      <c r="U116" s="40" t="s">
        <v>83</v>
      </c>
      <c r="V116" s="40" t="s">
        <v>84</v>
      </c>
      <c r="W116" s="40" t="s">
        <v>3</v>
      </c>
      <c r="X116" s="40" t="s">
        <v>85</v>
      </c>
      <c r="Y116" s="40" t="s">
        <v>86</v>
      </c>
      <c r="Z116" s="40" t="s">
        <v>87</v>
      </c>
      <c r="AA116" s="40" t="s">
        <v>88</v>
      </c>
      <c r="AB116" s="40" t="s">
        <v>89</v>
      </c>
      <c r="AC116" s="40" t="s">
        <v>90</v>
      </c>
      <c r="AD116" s="40" t="s">
        <v>91</v>
      </c>
      <c r="AE116" s="40" t="s">
        <v>92</v>
      </c>
      <c r="AF116" s="43" t="s">
        <v>93</v>
      </c>
      <c r="AG116" s="2"/>
    </row>
    <row r="117" spans="1:35" ht="19.899999999999999" customHeight="1" x14ac:dyDescent="0.25">
      <c r="A117" s="615"/>
      <c r="B117" s="152">
        <v>1</v>
      </c>
      <c r="C117" s="44" t="s">
        <v>47</v>
      </c>
      <c r="D117" s="45">
        <v>11</v>
      </c>
      <c r="E117" s="46" t="s">
        <v>48</v>
      </c>
      <c r="F117" s="290" t="s">
        <v>49</v>
      </c>
      <c r="G117" s="47" t="s">
        <v>50</v>
      </c>
      <c r="H117" s="47">
        <v>36</v>
      </c>
      <c r="I117" s="47" t="s">
        <v>94</v>
      </c>
      <c r="J117" s="47" t="s">
        <v>95</v>
      </c>
      <c r="K117" s="47" t="s">
        <v>96</v>
      </c>
      <c r="L117" s="48" t="s">
        <v>97</v>
      </c>
      <c r="M117" s="48" t="s">
        <v>98</v>
      </c>
      <c r="N117" s="47" t="s">
        <v>99</v>
      </c>
      <c r="O117" s="47">
        <v>53</v>
      </c>
      <c r="P117" s="47">
        <v>54</v>
      </c>
      <c r="Q117" s="47" t="s">
        <v>913</v>
      </c>
      <c r="R117" s="47" t="s">
        <v>100</v>
      </c>
      <c r="S117" s="47" t="s">
        <v>101</v>
      </c>
      <c r="T117" s="47" t="s">
        <v>57</v>
      </c>
      <c r="U117" s="47" t="s">
        <v>102</v>
      </c>
      <c r="V117" s="47" t="s">
        <v>103</v>
      </c>
      <c r="W117" s="47" t="s">
        <v>104</v>
      </c>
      <c r="X117" s="47" t="s">
        <v>105</v>
      </c>
      <c r="Y117" s="47" t="s">
        <v>106</v>
      </c>
      <c r="Z117" s="47" t="s">
        <v>107</v>
      </c>
      <c r="AA117" s="47" t="s">
        <v>108</v>
      </c>
      <c r="AB117" s="45" t="s">
        <v>109</v>
      </c>
      <c r="AC117" s="47" t="s">
        <v>110</v>
      </c>
      <c r="AD117" s="45">
        <v>120</v>
      </c>
      <c r="AE117" s="45">
        <v>121</v>
      </c>
      <c r="AF117" s="49" t="s">
        <v>111</v>
      </c>
    </row>
    <row r="118" spans="1:35" outlineLevel="1" x14ac:dyDescent="0.25">
      <c r="A118" s="615"/>
      <c r="B118" s="152">
        <v>1</v>
      </c>
      <c r="C118" s="45">
        <v>9</v>
      </c>
      <c r="D118" s="45">
        <v>1</v>
      </c>
      <c r="E118" s="50">
        <v>13</v>
      </c>
      <c r="F118" s="291">
        <v>2</v>
      </c>
      <c r="G118" s="45">
        <v>9</v>
      </c>
      <c r="H118" s="45">
        <v>1</v>
      </c>
      <c r="I118" s="45">
        <v>2</v>
      </c>
      <c r="J118" s="45">
        <v>2</v>
      </c>
      <c r="K118" s="45">
        <v>3</v>
      </c>
      <c r="L118" s="51">
        <v>6</v>
      </c>
      <c r="M118" s="51">
        <v>1</v>
      </c>
      <c r="N118" s="45">
        <v>2</v>
      </c>
      <c r="O118" s="45">
        <v>1</v>
      </c>
      <c r="P118" s="45">
        <v>1</v>
      </c>
      <c r="Q118" s="45">
        <v>9</v>
      </c>
      <c r="R118" s="45">
        <v>2</v>
      </c>
      <c r="S118" s="45">
        <v>2</v>
      </c>
      <c r="T118" s="45">
        <v>6</v>
      </c>
      <c r="U118" s="45">
        <v>5</v>
      </c>
      <c r="V118" s="45">
        <v>2</v>
      </c>
      <c r="W118" s="45">
        <v>6</v>
      </c>
      <c r="X118" s="45">
        <v>2</v>
      </c>
      <c r="Y118" s="45">
        <v>7</v>
      </c>
      <c r="Z118" s="45">
        <v>7</v>
      </c>
      <c r="AA118" s="45">
        <v>3</v>
      </c>
      <c r="AB118" s="45">
        <v>7</v>
      </c>
      <c r="AC118" s="45">
        <v>7</v>
      </c>
      <c r="AD118" s="45">
        <v>1</v>
      </c>
      <c r="AE118" s="45">
        <v>1</v>
      </c>
      <c r="AF118" s="49">
        <v>7</v>
      </c>
    </row>
    <row r="119" spans="1:35" outlineLevel="1" x14ac:dyDescent="0.25">
      <c r="A119" s="615"/>
      <c r="B119" s="152" t="s">
        <v>1</v>
      </c>
      <c r="C119" s="45" t="s">
        <v>1</v>
      </c>
      <c r="D119" s="45" t="s">
        <v>69</v>
      </c>
      <c r="E119" s="50" t="s">
        <v>69</v>
      </c>
      <c r="F119" s="291" t="s">
        <v>1</v>
      </c>
      <c r="G119" s="45" t="s">
        <v>1</v>
      </c>
      <c r="H119" s="45" t="s">
        <v>69</v>
      </c>
      <c r="I119" s="45" t="s">
        <v>1</v>
      </c>
      <c r="J119" s="45" t="s">
        <v>1</v>
      </c>
      <c r="K119" s="45" t="s">
        <v>1</v>
      </c>
      <c r="L119" s="52" t="s">
        <v>1</v>
      </c>
      <c r="M119" s="52" t="s">
        <v>1</v>
      </c>
      <c r="N119" s="45" t="s">
        <v>69</v>
      </c>
      <c r="O119" s="45" t="s">
        <v>69</v>
      </c>
      <c r="P119" s="53" t="s">
        <v>69</v>
      </c>
      <c r="Q119" s="45" t="s">
        <v>1</v>
      </c>
      <c r="R119" s="45" t="s">
        <v>1</v>
      </c>
      <c r="S119" s="45" t="s">
        <v>1</v>
      </c>
      <c r="T119" s="45" t="s">
        <v>1</v>
      </c>
      <c r="U119" s="45" t="s">
        <v>69</v>
      </c>
      <c r="V119" s="45" t="s">
        <v>1</v>
      </c>
      <c r="W119" s="45" t="s">
        <v>1</v>
      </c>
      <c r="X119" s="45" t="s">
        <v>1</v>
      </c>
      <c r="Y119" s="45" t="s">
        <v>1</v>
      </c>
      <c r="Z119" s="45" t="s">
        <v>1</v>
      </c>
      <c r="AA119" s="45" t="s">
        <v>1</v>
      </c>
      <c r="AB119" s="45" t="s">
        <v>1</v>
      </c>
      <c r="AC119" s="45" t="s">
        <v>1</v>
      </c>
      <c r="AD119" s="45" t="s">
        <v>69</v>
      </c>
      <c r="AE119" s="45" t="s">
        <v>1</v>
      </c>
      <c r="AF119" s="49" t="s">
        <v>1</v>
      </c>
    </row>
    <row r="120" spans="1:35" ht="13.5" customHeight="1" outlineLevel="1" x14ac:dyDescent="0.25">
      <c r="A120" s="615"/>
      <c r="B120" s="152" t="s">
        <v>0</v>
      </c>
      <c r="C120" s="45" t="s">
        <v>0</v>
      </c>
      <c r="D120" s="45" t="s">
        <v>4</v>
      </c>
      <c r="E120" s="50" t="s">
        <v>0</v>
      </c>
      <c r="F120" s="291" t="s">
        <v>0</v>
      </c>
      <c r="G120" s="45" t="s">
        <v>0</v>
      </c>
      <c r="H120" s="45" t="s">
        <v>4</v>
      </c>
      <c r="I120" s="45" t="s">
        <v>4</v>
      </c>
      <c r="J120" s="45" t="s">
        <v>4</v>
      </c>
      <c r="K120" s="45" t="s">
        <v>4</v>
      </c>
      <c r="L120" s="52" t="s">
        <v>4</v>
      </c>
      <c r="M120" s="52" t="s">
        <v>0</v>
      </c>
      <c r="N120" s="45" t="s">
        <v>4</v>
      </c>
      <c r="O120" s="45" t="s">
        <v>4</v>
      </c>
      <c r="P120" s="45" t="s">
        <v>4</v>
      </c>
      <c r="Q120" s="45" t="s">
        <v>4</v>
      </c>
      <c r="R120" s="45" t="s">
        <v>4</v>
      </c>
      <c r="S120" s="45" t="s">
        <v>112</v>
      </c>
      <c r="T120" s="45" t="s">
        <v>0</v>
      </c>
      <c r="U120" s="45" t="s">
        <v>0</v>
      </c>
      <c r="V120" s="45" t="s">
        <v>0</v>
      </c>
      <c r="W120" s="45" t="s">
        <v>0</v>
      </c>
      <c r="X120" s="45" t="s">
        <v>0</v>
      </c>
      <c r="Y120" s="45" t="s">
        <v>0</v>
      </c>
      <c r="Z120" s="45" t="s">
        <v>0</v>
      </c>
      <c r="AA120" s="45" t="s">
        <v>0</v>
      </c>
      <c r="AB120" s="45" t="s">
        <v>0</v>
      </c>
      <c r="AC120" s="45" t="s">
        <v>0</v>
      </c>
      <c r="AD120" s="45" t="s">
        <v>4</v>
      </c>
      <c r="AE120" s="45" t="s">
        <v>4</v>
      </c>
      <c r="AF120" s="49" t="s">
        <v>4</v>
      </c>
    </row>
    <row r="121" spans="1:35" ht="30" customHeight="1" thickBot="1" x14ac:dyDescent="0.3">
      <c r="A121" s="616"/>
      <c r="B121" s="149" t="s">
        <v>10</v>
      </c>
      <c r="C121" s="54" t="s">
        <v>544</v>
      </c>
      <c r="D121" s="55" t="s">
        <v>8</v>
      </c>
      <c r="E121" s="54" t="s">
        <v>198</v>
      </c>
      <c r="F121" s="288">
        <v>77</v>
      </c>
      <c r="G121" s="54">
        <v>250000001</v>
      </c>
      <c r="H121" s="193" t="s">
        <v>8</v>
      </c>
      <c r="I121" s="193" t="s">
        <v>5</v>
      </c>
      <c r="J121" s="55" t="s">
        <v>5</v>
      </c>
      <c r="K121" s="55" t="s">
        <v>6</v>
      </c>
      <c r="L121" s="55" t="s">
        <v>208</v>
      </c>
      <c r="M121" s="193" t="s">
        <v>397</v>
      </c>
      <c r="N121" s="55" t="s">
        <v>210</v>
      </c>
      <c r="O121" s="55" t="s">
        <v>8</v>
      </c>
      <c r="P121" s="55" t="s">
        <v>8</v>
      </c>
      <c r="Q121" s="54" t="s">
        <v>544</v>
      </c>
      <c r="R121" s="55" t="s">
        <v>5</v>
      </c>
      <c r="S121" s="55" t="s">
        <v>5</v>
      </c>
      <c r="T121" s="33" t="s">
        <v>581</v>
      </c>
      <c r="U121" s="228" t="s">
        <v>241</v>
      </c>
      <c r="V121" s="33" t="s">
        <v>202</v>
      </c>
      <c r="W121" s="54" t="s">
        <v>590</v>
      </c>
      <c r="X121" s="33" t="s">
        <v>749</v>
      </c>
      <c r="Y121" s="54" t="s">
        <v>595</v>
      </c>
      <c r="Z121" s="96" t="s">
        <v>595</v>
      </c>
      <c r="AA121" s="54" t="s">
        <v>6</v>
      </c>
      <c r="AB121" s="54" t="s">
        <v>212</v>
      </c>
      <c r="AC121" s="54" t="s">
        <v>212</v>
      </c>
      <c r="AD121" s="193" t="s">
        <v>498</v>
      </c>
      <c r="AE121" s="193" t="s">
        <v>200</v>
      </c>
      <c r="AF121" s="54" t="s">
        <v>212</v>
      </c>
      <c r="AG121" s="188" t="s">
        <v>589</v>
      </c>
      <c r="AH121" s="76"/>
      <c r="AI121" s="76"/>
    </row>
    <row r="122" spans="1:35" s="75" customFormat="1" ht="15.75" thickBot="1" x14ac:dyDescent="0.3">
      <c r="B122" s="150" t="s">
        <v>586</v>
      </c>
      <c r="C122" s="75" t="s">
        <v>586</v>
      </c>
      <c r="D122" s="75" t="s">
        <v>586</v>
      </c>
      <c r="E122" s="75" t="s">
        <v>586</v>
      </c>
      <c r="F122" s="276" t="s">
        <v>586</v>
      </c>
      <c r="G122" s="75" t="s">
        <v>586</v>
      </c>
      <c r="H122" s="75" t="s">
        <v>586</v>
      </c>
      <c r="I122" s="75" t="s">
        <v>586</v>
      </c>
      <c r="J122" s="75" t="s">
        <v>586</v>
      </c>
      <c r="K122" s="75" t="s">
        <v>586</v>
      </c>
      <c r="L122" s="75" t="s">
        <v>586</v>
      </c>
      <c r="M122" s="75" t="s">
        <v>586</v>
      </c>
      <c r="N122" s="75" t="s">
        <v>586</v>
      </c>
      <c r="O122" s="75" t="s">
        <v>586</v>
      </c>
      <c r="P122" s="75" t="s">
        <v>586</v>
      </c>
      <c r="Q122" s="75" t="s">
        <v>586</v>
      </c>
      <c r="R122" s="75" t="s">
        <v>586</v>
      </c>
      <c r="S122" s="75" t="s">
        <v>586</v>
      </c>
      <c r="T122" s="75" t="s">
        <v>586</v>
      </c>
      <c r="U122" s="75" t="s">
        <v>586</v>
      </c>
      <c r="V122" s="75" t="s">
        <v>586</v>
      </c>
      <c r="W122" s="75" t="s">
        <v>586</v>
      </c>
      <c r="X122" s="75" t="s">
        <v>586</v>
      </c>
      <c r="Y122" s="75" t="s">
        <v>586</v>
      </c>
      <c r="Z122" s="75" t="s">
        <v>586</v>
      </c>
      <c r="AA122" s="75" t="s">
        <v>586</v>
      </c>
      <c r="AB122" s="75" t="s">
        <v>586</v>
      </c>
      <c r="AC122" s="75" t="s">
        <v>586</v>
      </c>
      <c r="AD122" s="75" t="s">
        <v>586</v>
      </c>
      <c r="AE122" s="75" t="s">
        <v>586</v>
      </c>
      <c r="AF122" s="75" t="s">
        <v>586</v>
      </c>
    </row>
    <row r="123" spans="1:35" ht="100.15" customHeight="1" x14ac:dyDescent="0.25">
      <c r="A123" s="620" t="s">
        <v>919</v>
      </c>
      <c r="B123" s="151" t="s">
        <v>13</v>
      </c>
      <c r="C123" s="40" t="s">
        <v>14</v>
      </c>
      <c r="D123" s="40" t="s">
        <v>15</v>
      </c>
      <c r="E123" s="41" t="s">
        <v>16</v>
      </c>
      <c r="F123" s="289" t="s">
        <v>17</v>
      </c>
      <c r="G123" s="40" t="s">
        <v>70</v>
      </c>
      <c r="H123" s="40" t="s">
        <v>71</v>
      </c>
      <c r="I123" s="40" t="s">
        <v>72</v>
      </c>
      <c r="J123" s="40" t="s">
        <v>2</v>
      </c>
      <c r="K123" s="40" t="s">
        <v>73</v>
      </c>
      <c r="L123" s="42" t="s">
        <v>74</v>
      </c>
      <c r="M123" s="42" t="s">
        <v>75</v>
      </c>
      <c r="N123" s="40" t="s">
        <v>76</v>
      </c>
      <c r="O123" s="40" t="s">
        <v>77</v>
      </c>
      <c r="P123" s="40" t="s">
        <v>78</v>
      </c>
      <c r="Q123" s="40" t="s">
        <v>79</v>
      </c>
      <c r="R123" s="40" t="s">
        <v>80</v>
      </c>
      <c r="S123" s="40" t="s">
        <v>81</v>
      </c>
      <c r="T123" s="40" t="s">
        <v>82</v>
      </c>
      <c r="U123" s="40" t="s">
        <v>83</v>
      </c>
      <c r="V123" s="40" t="s">
        <v>84</v>
      </c>
      <c r="W123" s="40" t="s">
        <v>3</v>
      </c>
      <c r="X123" s="40" t="s">
        <v>85</v>
      </c>
      <c r="Y123" s="40" t="s">
        <v>86</v>
      </c>
      <c r="Z123" s="40" t="s">
        <v>87</v>
      </c>
      <c r="AA123" s="40" t="s">
        <v>88</v>
      </c>
      <c r="AB123" s="40" t="s">
        <v>89</v>
      </c>
      <c r="AC123" s="40" t="s">
        <v>90</v>
      </c>
      <c r="AD123" s="40" t="s">
        <v>91</v>
      </c>
      <c r="AE123" s="40" t="s">
        <v>92</v>
      </c>
      <c r="AF123" s="43" t="s">
        <v>93</v>
      </c>
      <c r="AG123" s="2"/>
    </row>
    <row r="124" spans="1:35" ht="19.899999999999999" customHeight="1" x14ac:dyDescent="0.25">
      <c r="A124" s="615"/>
      <c r="B124" s="152">
        <v>1</v>
      </c>
      <c r="C124" s="44" t="s">
        <v>47</v>
      </c>
      <c r="D124" s="45">
        <v>11</v>
      </c>
      <c r="E124" s="46" t="s">
        <v>48</v>
      </c>
      <c r="F124" s="290" t="s">
        <v>49</v>
      </c>
      <c r="G124" s="47" t="s">
        <v>50</v>
      </c>
      <c r="H124" s="47">
        <v>36</v>
      </c>
      <c r="I124" s="47" t="s">
        <v>94</v>
      </c>
      <c r="J124" s="47" t="s">
        <v>95</v>
      </c>
      <c r="K124" s="47" t="s">
        <v>96</v>
      </c>
      <c r="L124" s="48" t="s">
        <v>97</v>
      </c>
      <c r="M124" s="48" t="s">
        <v>98</v>
      </c>
      <c r="N124" s="47" t="s">
        <v>99</v>
      </c>
      <c r="O124" s="47">
        <v>53</v>
      </c>
      <c r="P124" s="47">
        <v>54</v>
      </c>
      <c r="Q124" s="47" t="s">
        <v>913</v>
      </c>
      <c r="R124" s="47" t="s">
        <v>100</v>
      </c>
      <c r="S124" s="47" t="s">
        <v>101</v>
      </c>
      <c r="T124" s="47" t="s">
        <v>57</v>
      </c>
      <c r="U124" s="47" t="s">
        <v>102</v>
      </c>
      <c r="V124" s="47" t="s">
        <v>103</v>
      </c>
      <c r="W124" s="47" t="s">
        <v>104</v>
      </c>
      <c r="X124" s="47" t="s">
        <v>105</v>
      </c>
      <c r="Y124" s="47" t="s">
        <v>106</v>
      </c>
      <c r="Z124" s="47" t="s">
        <v>107</v>
      </c>
      <c r="AA124" s="47" t="s">
        <v>108</v>
      </c>
      <c r="AB124" s="45" t="s">
        <v>109</v>
      </c>
      <c r="AC124" s="47" t="s">
        <v>110</v>
      </c>
      <c r="AD124" s="45">
        <v>120</v>
      </c>
      <c r="AE124" s="45">
        <v>121</v>
      </c>
      <c r="AF124" s="49" t="s">
        <v>111</v>
      </c>
    </row>
    <row r="125" spans="1:35" outlineLevel="1" x14ac:dyDescent="0.25">
      <c r="A125" s="615"/>
      <c r="B125" s="152">
        <v>1</v>
      </c>
      <c r="C125" s="45">
        <v>9</v>
      </c>
      <c r="D125" s="45">
        <v>1</v>
      </c>
      <c r="E125" s="50">
        <v>13</v>
      </c>
      <c r="F125" s="291">
        <v>2</v>
      </c>
      <c r="G125" s="45">
        <v>9</v>
      </c>
      <c r="H125" s="45">
        <v>1</v>
      </c>
      <c r="I125" s="45">
        <v>2</v>
      </c>
      <c r="J125" s="45">
        <v>2</v>
      </c>
      <c r="K125" s="45">
        <v>3</v>
      </c>
      <c r="L125" s="51">
        <v>6</v>
      </c>
      <c r="M125" s="51">
        <v>1</v>
      </c>
      <c r="N125" s="45">
        <v>2</v>
      </c>
      <c r="O125" s="45">
        <v>1</v>
      </c>
      <c r="P125" s="45">
        <v>1</v>
      </c>
      <c r="Q125" s="45">
        <v>9</v>
      </c>
      <c r="R125" s="45">
        <v>2</v>
      </c>
      <c r="S125" s="45">
        <v>2</v>
      </c>
      <c r="T125" s="45">
        <v>6</v>
      </c>
      <c r="U125" s="45">
        <v>5</v>
      </c>
      <c r="V125" s="45">
        <v>2</v>
      </c>
      <c r="W125" s="45">
        <v>6</v>
      </c>
      <c r="X125" s="45">
        <v>2</v>
      </c>
      <c r="Y125" s="45">
        <v>7</v>
      </c>
      <c r="Z125" s="45">
        <v>7</v>
      </c>
      <c r="AA125" s="45">
        <v>3</v>
      </c>
      <c r="AB125" s="45">
        <v>7</v>
      </c>
      <c r="AC125" s="45">
        <v>7</v>
      </c>
      <c r="AD125" s="45">
        <v>1</v>
      </c>
      <c r="AE125" s="45">
        <v>1</v>
      </c>
      <c r="AF125" s="49">
        <v>7</v>
      </c>
    </row>
    <row r="126" spans="1:35" outlineLevel="1" x14ac:dyDescent="0.25">
      <c r="A126" s="615"/>
      <c r="B126" s="152" t="s">
        <v>1</v>
      </c>
      <c r="C126" s="45" t="s">
        <v>1</v>
      </c>
      <c r="D126" s="45" t="s">
        <v>69</v>
      </c>
      <c r="E126" s="50" t="s">
        <v>69</v>
      </c>
      <c r="F126" s="291" t="s">
        <v>1</v>
      </c>
      <c r="G126" s="45" t="s">
        <v>1</v>
      </c>
      <c r="H126" s="45" t="s">
        <v>69</v>
      </c>
      <c r="I126" s="45" t="s">
        <v>1</v>
      </c>
      <c r="J126" s="45" t="s">
        <v>1</v>
      </c>
      <c r="K126" s="45" t="s">
        <v>1</v>
      </c>
      <c r="L126" s="52" t="s">
        <v>1</v>
      </c>
      <c r="M126" s="52" t="s">
        <v>1</v>
      </c>
      <c r="N126" s="45" t="s">
        <v>69</v>
      </c>
      <c r="O126" s="45" t="s">
        <v>69</v>
      </c>
      <c r="P126" s="53" t="s">
        <v>69</v>
      </c>
      <c r="Q126" s="45" t="s">
        <v>1</v>
      </c>
      <c r="R126" s="45" t="s">
        <v>1</v>
      </c>
      <c r="S126" s="45" t="s">
        <v>1</v>
      </c>
      <c r="T126" s="45" t="s">
        <v>1</v>
      </c>
      <c r="U126" s="45" t="s">
        <v>69</v>
      </c>
      <c r="V126" s="45" t="s">
        <v>1</v>
      </c>
      <c r="W126" s="45" t="s">
        <v>1</v>
      </c>
      <c r="X126" s="45" t="s">
        <v>1</v>
      </c>
      <c r="Y126" s="45" t="s">
        <v>1</v>
      </c>
      <c r="Z126" s="45" t="s">
        <v>1</v>
      </c>
      <c r="AA126" s="45" t="s">
        <v>1</v>
      </c>
      <c r="AB126" s="45" t="s">
        <v>1</v>
      </c>
      <c r="AC126" s="45" t="s">
        <v>1</v>
      </c>
      <c r="AD126" s="45" t="s">
        <v>69</v>
      </c>
      <c r="AE126" s="45" t="s">
        <v>1</v>
      </c>
      <c r="AF126" s="49" t="s">
        <v>1</v>
      </c>
    </row>
    <row r="127" spans="1:35" ht="13.5" customHeight="1" outlineLevel="1" x14ac:dyDescent="0.25">
      <c r="A127" s="615"/>
      <c r="B127" s="152" t="s">
        <v>0</v>
      </c>
      <c r="C127" s="45" t="s">
        <v>0</v>
      </c>
      <c r="D127" s="45" t="s">
        <v>4</v>
      </c>
      <c r="E127" s="50" t="s">
        <v>0</v>
      </c>
      <c r="F127" s="291" t="s">
        <v>0</v>
      </c>
      <c r="G127" s="45" t="s">
        <v>0</v>
      </c>
      <c r="H127" s="45" t="s">
        <v>4</v>
      </c>
      <c r="I127" s="45" t="s">
        <v>4</v>
      </c>
      <c r="J127" s="45" t="s">
        <v>4</v>
      </c>
      <c r="K127" s="45" t="s">
        <v>4</v>
      </c>
      <c r="L127" s="52" t="s">
        <v>4</v>
      </c>
      <c r="M127" s="52" t="s">
        <v>0</v>
      </c>
      <c r="N127" s="45" t="s">
        <v>4</v>
      </c>
      <c r="O127" s="45" t="s">
        <v>4</v>
      </c>
      <c r="P127" s="45" t="s">
        <v>4</v>
      </c>
      <c r="Q127" s="45" t="s">
        <v>4</v>
      </c>
      <c r="R127" s="45" t="s">
        <v>4</v>
      </c>
      <c r="S127" s="45" t="s">
        <v>112</v>
      </c>
      <c r="T127" s="45" t="s">
        <v>0</v>
      </c>
      <c r="U127" s="45" t="s">
        <v>0</v>
      </c>
      <c r="V127" s="45" t="s">
        <v>0</v>
      </c>
      <c r="W127" s="45" t="s">
        <v>0</v>
      </c>
      <c r="X127" s="45" t="s">
        <v>0</v>
      </c>
      <c r="Y127" s="45" t="s">
        <v>0</v>
      </c>
      <c r="Z127" s="45" t="s">
        <v>0</v>
      </c>
      <c r="AA127" s="45" t="s">
        <v>0</v>
      </c>
      <c r="AB127" s="45" t="s">
        <v>0</v>
      </c>
      <c r="AC127" s="45" t="s">
        <v>0</v>
      </c>
      <c r="AD127" s="45" t="s">
        <v>4</v>
      </c>
      <c r="AE127" s="45" t="s">
        <v>4</v>
      </c>
      <c r="AF127" s="49" t="s">
        <v>4</v>
      </c>
    </row>
    <row r="128" spans="1:35" ht="30" customHeight="1" thickBot="1" x14ac:dyDescent="0.3">
      <c r="A128" s="616"/>
      <c r="B128" s="149" t="s">
        <v>10</v>
      </c>
      <c r="C128" s="54" t="s">
        <v>544</v>
      </c>
      <c r="D128" s="55" t="s">
        <v>8</v>
      </c>
      <c r="E128" s="54" t="s">
        <v>198</v>
      </c>
      <c r="F128" s="288">
        <v>77</v>
      </c>
      <c r="G128" s="54">
        <v>250000001</v>
      </c>
      <c r="H128" s="193" t="s">
        <v>8</v>
      </c>
      <c r="I128" s="193" t="s">
        <v>5</v>
      </c>
      <c r="J128" s="55" t="s">
        <v>5</v>
      </c>
      <c r="K128" s="55" t="s">
        <v>6</v>
      </c>
      <c r="L128" s="55" t="s">
        <v>208</v>
      </c>
      <c r="M128" s="193" t="s">
        <v>397</v>
      </c>
      <c r="N128" s="55" t="s">
        <v>210</v>
      </c>
      <c r="O128" s="55" t="s">
        <v>8</v>
      </c>
      <c r="P128" s="55" t="s">
        <v>8</v>
      </c>
      <c r="Q128" s="54" t="s">
        <v>544</v>
      </c>
      <c r="R128" s="55" t="s">
        <v>5</v>
      </c>
      <c r="S128" s="55" t="s">
        <v>5</v>
      </c>
      <c r="T128" s="33" t="s">
        <v>581</v>
      </c>
      <c r="U128" s="228" t="s">
        <v>280</v>
      </c>
      <c r="V128" s="33" t="s">
        <v>202</v>
      </c>
      <c r="W128" s="54" t="s">
        <v>590</v>
      </c>
      <c r="X128" s="33" t="s">
        <v>749</v>
      </c>
      <c r="Y128" s="54" t="s">
        <v>595</v>
      </c>
      <c r="Z128" s="96" t="s">
        <v>595</v>
      </c>
      <c r="AA128" s="54" t="s">
        <v>6</v>
      </c>
      <c r="AB128" s="54" t="s">
        <v>212</v>
      </c>
      <c r="AC128" s="54" t="s">
        <v>212</v>
      </c>
      <c r="AD128" s="193" t="s">
        <v>498</v>
      </c>
      <c r="AE128" s="193" t="s">
        <v>200</v>
      </c>
      <c r="AF128" s="54" t="s">
        <v>212</v>
      </c>
      <c r="AG128" s="188" t="s">
        <v>589</v>
      </c>
      <c r="AH128" s="76"/>
      <c r="AI128" s="76"/>
    </row>
    <row r="129" spans="1:35" s="75" customFormat="1" ht="15.75" thickBot="1" x14ac:dyDescent="0.3">
      <c r="A129" s="77"/>
      <c r="B129" s="144"/>
      <c r="C129" s="77"/>
      <c r="D129" s="77"/>
      <c r="E129" s="77"/>
      <c r="F129" s="271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</row>
    <row r="130" spans="1:35" ht="100.15" customHeight="1" x14ac:dyDescent="0.25">
      <c r="A130" s="614" t="s">
        <v>360</v>
      </c>
      <c r="B130" s="147" t="s">
        <v>13</v>
      </c>
      <c r="C130" s="24" t="s">
        <v>14</v>
      </c>
      <c r="D130" s="24" t="s">
        <v>15</v>
      </c>
      <c r="E130" s="25" t="s">
        <v>16</v>
      </c>
      <c r="F130" s="282" t="s">
        <v>17</v>
      </c>
      <c r="G130" s="24" t="s">
        <v>70</v>
      </c>
      <c r="H130" s="24" t="s">
        <v>15</v>
      </c>
      <c r="I130" s="24" t="s">
        <v>220</v>
      </c>
      <c r="J130" s="24" t="s">
        <v>221</v>
      </c>
      <c r="K130" s="26" t="s">
        <v>222</v>
      </c>
      <c r="L130" s="26" t="s">
        <v>223</v>
      </c>
      <c r="M130" s="24" t="s">
        <v>224</v>
      </c>
      <c r="N130" s="24" t="s">
        <v>225</v>
      </c>
      <c r="O130" s="24" t="s">
        <v>226</v>
      </c>
      <c r="P130" s="24" t="s">
        <v>221</v>
      </c>
      <c r="Q130" s="24" t="s">
        <v>227</v>
      </c>
      <c r="R130" s="24" t="s">
        <v>15</v>
      </c>
      <c r="S130" s="27" t="s">
        <v>228</v>
      </c>
    </row>
    <row r="131" spans="1:35" ht="19.899999999999999" customHeight="1" x14ac:dyDescent="0.25">
      <c r="A131" s="615"/>
      <c r="B131" s="148">
        <v>1</v>
      </c>
      <c r="C131" s="5" t="s">
        <v>47</v>
      </c>
      <c r="D131" s="4">
        <v>11</v>
      </c>
      <c r="E131" s="6" t="s">
        <v>48</v>
      </c>
      <c r="F131" s="283" t="s">
        <v>49</v>
      </c>
      <c r="G131" s="7" t="s">
        <v>50</v>
      </c>
      <c r="H131" s="7" t="s">
        <v>229</v>
      </c>
      <c r="I131" s="7" t="s">
        <v>216</v>
      </c>
      <c r="J131" s="7" t="s">
        <v>230</v>
      </c>
      <c r="K131" s="8" t="s">
        <v>217</v>
      </c>
      <c r="L131" s="8" t="s">
        <v>218</v>
      </c>
      <c r="M131" s="7" t="s">
        <v>179</v>
      </c>
      <c r="N131" s="7" t="s">
        <v>219</v>
      </c>
      <c r="O131" s="7">
        <v>90</v>
      </c>
      <c r="P131" s="7" t="s">
        <v>231</v>
      </c>
      <c r="Q131" s="7">
        <v>94</v>
      </c>
      <c r="R131" s="7" t="s">
        <v>232</v>
      </c>
      <c r="S131" s="28" t="s">
        <v>233</v>
      </c>
    </row>
    <row r="132" spans="1:35" outlineLevel="1" x14ac:dyDescent="0.25">
      <c r="A132" s="615"/>
      <c r="B132" s="148">
        <v>1</v>
      </c>
      <c r="C132" s="4">
        <v>9</v>
      </c>
      <c r="D132" s="4">
        <v>1</v>
      </c>
      <c r="E132" s="9">
        <v>13</v>
      </c>
      <c r="F132" s="284">
        <v>2</v>
      </c>
      <c r="G132" s="4">
        <v>9</v>
      </c>
      <c r="H132" s="4">
        <v>3</v>
      </c>
      <c r="I132" s="4">
        <v>3</v>
      </c>
      <c r="J132" s="4">
        <v>16</v>
      </c>
      <c r="K132" s="10">
        <v>8</v>
      </c>
      <c r="L132" s="10">
        <v>8</v>
      </c>
      <c r="M132" s="4">
        <v>8</v>
      </c>
      <c r="N132" s="4">
        <v>8</v>
      </c>
      <c r="O132" s="4">
        <v>1</v>
      </c>
      <c r="P132" s="4">
        <v>3</v>
      </c>
      <c r="Q132" s="4">
        <v>1</v>
      </c>
      <c r="R132" s="4">
        <v>2</v>
      </c>
      <c r="S132" s="29">
        <v>32</v>
      </c>
    </row>
    <row r="133" spans="1:35" ht="13.5" customHeight="1" outlineLevel="1" x14ac:dyDescent="0.25">
      <c r="A133" s="615"/>
      <c r="B133" s="148" t="s">
        <v>1</v>
      </c>
      <c r="C133" s="4" t="s">
        <v>1</v>
      </c>
      <c r="D133" s="4" t="s">
        <v>69</v>
      </c>
      <c r="E133" s="9" t="s">
        <v>69</v>
      </c>
      <c r="F133" s="284" t="s">
        <v>1</v>
      </c>
      <c r="G133" s="4" t="s">
        <v>1</v>
      </c>
      <c r="H133" s="4" t="s">
        <v>69</v>
      </c>
      <c r="I133" s="4" t="s">
        <v>1</v>
      </c>
      <c r="J133" s="4" t="s">
        <v>69</v>
      </c>
      <c r="K133" s="12" t="s">
        <v>1</v>
      </c>
      <c r="L133" s="12" t="s">
        <v>1</v>
      </c>
      <c r="M133" s="4" t="s">
        <v>1</v>
      </c>
      <c r="N133" s="4" t="s">
        <v>1</v>
      </c>
      <c r="O133" s="4" t="s">
        <v>69</v>
      </c>
      <c r="P133" s="4" t="s">
        <v>69</v>
      </c>
      <c r="Q133" s="4" t="s">
        <v>69</v>
      </c>
      <c r="R133" s="4" t="s">
        <v>69</v>
      </c>
      <c r="S133" s="29" t="s">
        <v>69</v>
      </c>
    </row>
    <row r="134" spans="1:35" outlineLevel="1" x14ac:dyDescent="0.25">
      <c r="A134" s="615"/>
      <c r="B134" s="148" t="s">
        <v>0</v>
      </c>
      <c r="C134" s="4" t="s">
        <v>0</v>
      </c>
      <c r="D134" s="4" t="s">
        <v>4</v>
      </c>
      <c r="E134" s="9" t="s">
        <v>0</v>
      </c>
      <c r="F134" s="284" t="s">
        <v>0</v>
      </c>
      <c r="G134" s="4" t="s">
        <v>0</v>
      </c>
      <c r="H134" s="4" t="s">
        <v>4</v>
      </c>
      <c r="I134" s="4" t="s">
        <v>0</v>
      </c>
      <c r="J134" s="4" t="s">
        <v>0</v>
      </c>
      <c r="K134" s="12" t="s">
        <v>0</v>
      </c>
      <c r="L134" s="12" t="s">
        <v>0</v>
      </c>
      <c r="M134" s="4" t="s">
        <v>0</v>
      </c>
      <c r="N134" s="4" t="s">
        <v>4</v>
      </c>
      <c r="O134" s="4" t="s">
        <v>4</v>
      </c>
      <c r="P134" s="4" t="s">
        <v>0</v>
      </c>
      <c r="Q134" s="4" t="s">
        <v>0</v>
      </c>
      <c r="R134" s="4" t="s">
        <v>4</v>
      </c>
      <c r="S134" s="29" t="s">
        <v>4</v>
      </c>
    </row>
    <row r="135" spans="1:35" s="163" customFormat="1" ht="30" customHeight="1" thickBot="1" x14ac:dyDescent="0.3">
      <c r="A135" s="616"/>
      <c r="B135" s="157">
        <v>5</v>
      </c>
      <c r="C135" s="54" t="s">
        <v>544</v>
      </c>
      <c r="D135" s="55" t="s">
        <v>8</v>
      </c>
      <c r="E135" s="55" t="s">
        <v>198</v>
      </c>
      <c r="F135" s="270">
        <v>77</v>
      </c>
      <c r="G135" s="55">
        <v>250000001</v>
      </c>
      <c r="H135" s="98" t="s">
        <v>9</v>
      </c>
      <c r="I135" s="496" t="s">
        <v>906</v>
      </c>
      <c r="J135" s="98" t="s">
        <v>234</v>
      </c>
      <c r="K135" s="56" t="s">
        <v>781</v>
      </c>
      <c r="L135" s="56" t="s">
        <v>782</v>
      </c>
      <c r="M135" s="56" t="s">
        <v>783</v>
      </c>
      <c r="N135" s="56" t="s">
        <v>783</v>
      </c>
      <c r="O135" s="56" t="s">
        <v>8</v>
      </c>
      <c r="P135" s="56" t="s">
        <v>9</v>
      </c>
      <c r="Q135" s="56" t="s">
        <v>8</v>
      </c>
      <c r="R135" s="56" t="s">
        <v>210</v>
      </c>
      <c r="S135" s="99" t="s">
        <v>235</v>
      </c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</row>
    <row r="136" spans="1:35" ht="15.75" thickBot="1" x14ac:dyDescent="0.3">
      <c r="A136" s="75"/>
      <c r="B136" s="150" t="s">
        <v>586</v>
      </c>
      <c r="C136" s="75" t="s">
        <v>586</v>
      </c>
      <c r="D136" s="75" t="s">
        <v>586</v>
      </c>
      <c r="E136" s="75" t="s">
        <v>586</v>
      </c>
      <c r="F136" s="276" t="s">
        <v>586</v>
      </c>
      <c r="G136" s="75" t="s">
        <v>586</v>
      </c>
      <c r="H136" s="75" t="s">
        <v>586</v>
      </c>
      <c r="I136" s="75" t="s">
        <v>586</v>
      </c>
      <c r="J136" s="75" t="s">
        <v>586</v>
      </c>
      <c r="K136" s="75" t="s">
        <v>586</v>
      </c>
      <c r="L136" s="75" t="s">
        <v>586</v>
      </c>
      <c r="M136" s="75" t="s">
        <v>586</v>
      </c>
      <c r="N136" s="75" t="s">
        <v>586</v>
      </c>
      <c r="O136" s="75" t="s">
        <v>586</v>
      </c>
      <c r="P136" s="75" t="s">
        <v>586</v>
      </c>
      <c r="Q136" s="75" t="s">
        <v>586</v>
      </c>
      <c r="R136" s="75" t="s">
        <v>586</v>
      </c>
      <c r="S136" s="75" t="s">
        <v>586</v>
      </c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</row>
    <row r="137" spans="1:35" ht="100.15" customHeight="1" x14ac:dyDescent="0.25">
      <c r="A137" s="608" t="s">
        <v>361</v>
      </c>
      <c r="B137" s="327" t="s">
        <v>13</v>
      </c>
      <c r="C137" s="328" t="s">
        <v>14</v>
      </c>
      <c r="D137" s="328" t="s">
        <v>339</v>
      </c>
      <c r="E137" s="329" t="s">
        <v>469</v>
      </c>
      <c r="F137" s="330" t="s">
        <v>470</v>
      </c>
      <c r="G137" s="328" t="s">
        <v>471</v>
      </c>
      <c r="H137" s="328" t="s">
        <v>340</v>
      </c>
      <c r="I137" s="328" t="s">
        <v>473</v>
      </c>
      <c r="J137" s="328" t="s">
        <v>472</v>
      </c>
      <c r="K137" s="331" t="s">
        <v>312</v>
      </c>
      <c r="L137" s="331" t="s">
        <v>341</v>
      </c>
      <c r="M137" s="328" t="s">
        <v>25</v>
      </c>
      <c r="N137" s="328" t="s">
        <v>15</v>
      </c>
      <c r="O137" s="328" t="s">
        <v>474</v>
      </c>
      <c r="P137" s="328" t="s">
        <v>342</v>
      </c>
      <c r="Q137" s="328" t="s">
        <v>15</v>
      </c>
      <c r="R137" s="328" t="s">
        <v>343</v>
      </c>
      <c r="S137" s="332" t="s">
        <v>228</v>
      </c>
    </row>
    <row r="138" spans="1:35" ht="19.899999999999999" customHeight="1" x14ac:dyDescent="0.25">
      <c r="A138" s="609"/>
      <c r="B138" s="158">
        <v>1</v>
      </c>
      <c r="C138" s="102" t="s">
        <v>47</v>
      </c>
      <c r="D138" s="103" t="s">
        <v>344</v>
      </c>
      <c r="E138" s="104" t="s">
        <v>345</v>
      </c>
      <c r="F138" s="298" t="s">
        <v>346</v>
      </c>
      <c r="G138" s="103" t="s">
        <v>347</v>
      </c>
      <c r="H138" s="103" t="s">
        <v>348</v>
      </c>
      <c r="I138" s="103" t="s">
        <v>349</v>
      </c>
      <c r="J138" s="103" t="s">
        <v>350</v>
      </c>
      <c r="K138" s="105" t="s">
        <v>351</v>
      </c>
      <c r="L138" s="105" t="s">
        <v>352</v>
      </c>
      <c r="M138" s="103" t="s">
        <v>353</v>
      </c>
      <c r="N138" s="103" t="s">
        <v>354</v>
      </c>
      <c r="O138" s="103" t="s">
        <v>355</v>
      </c>
      <c r="P138" s="103" t="s">
        <v>356</v>
      </c>
      <c r="Q138" s="103" t="s">
        <v>357</v>
      </c>
      <c r="R138" s="103" t="s">
        <v>358</v>
      </c>
      <c r="S138" s="333" t="s">
        <v>233</v>
      </c>
    </row>
    <row r="139" spans="1:35" outlineLevel="1" x14ac:dyDescent="0.25">
      <c r="A139" s="609"/>
      <c r="B139" s="158">
        <v>1</v>
      </c>
      <c r="C139" s="101">
        <v>9</v>
      </c>
      <c r="D139" s="101">
        <v>3</v>
      </c>
      <c r="E139" s="101">
        <v>4</v>
      </c>
      <c r="F139" s="299">
        <v>4</v>
      </c>
      <c r="G139" s="101">
        <v>3</v>
      </c>
      <c r="H139" s="101">
        <v>9</v>
      </c>
      <c r="I139" s="101">
        <v>9</v>
      </c>
      <c r="J139" s="101">
        <v>9</v>
      </c>
      <c r="K139" s="107">
        <v>3</v>
      </c>
      <c r="L139" s="107">
        <v>1</v>
      </c>
      <c r="M139" s="101">
        <v>1</v>
      </c>
      <c r="N139" s="101">
        <v>4</v>
      </c>
      <c r="O139" s="101">
        <v>12</v>
      </c>
      <c r="P139" s="101">
        <v>12</v>
      </c>
      <c r="Q139" s="103">
        <v>3</v>
      </c>
      <c r="R139" s="101">
        <v>9</v>
      </c>
      <c r="S139" s="334">
        <v>32</v>
      </c>
    </row>
    <row r="140" spans="1:35" outlineLevel="1" x14ac:dyDescent="0.25">
      <c r="A140" s="609"/>
      <c r="B140" s="158" t="s">
        <v>1</v>
      </c>
      <c r="C140" s="101" t="s">
        <v>1</v>
      </c>
      <c r="D140" s="197" t="s">
        <v>1</v>
      </c>
      <c r="E140" s="106" t="s">
        <v>1</v>
      </c>
      <c r="F140" s="299" t="s">
        <v>1</v>
      </c>
      <c r="G140" s="101" t="s">
        <v>1</v>
      </c>
      <c r="H140" s="101" t="s">
        <v>1</v>
      </c>
      <c r="I140" s="101" t="s">
        <v>1</v>
      </c>
      <c r="J140" s="101" t="s">
        <v>1</v>
      </c>
      <c r="K140" s="108" t="s">
        <v>1</v>
      </c>
      <c r="L140" s="108" t="s">
        <v>69</v>
      </c>
      <c r="M140" s="101" t="s">
        <v>69</v>
      </c>
      <c r="N140" s="101" t="s">
        <v>69</v>
      </c>
      <c r="O140" s="101" t="s">
        <v>69</v>
      </c>
      <c r="P140" s="101" t="s">
        <v>1</v>
      </c>
      <c r="Q140" s="101" t="s">
        <v>69</v>
      </c>
      <c r="R140" s="101" t="s">
        <v>1</v>
      </c>
      <c r="S140" s="334" t="s">
        <v>1</v>
      </c>
    </row>
    <row r="141" spans="1:35" outlineLevel="1" x14ac:dyDescent="0.25">
      <c r="A141" s="609"/>
      <c r="B141" s="158" t="s">
        <v>0</v>
      </c>
      <c r="C141" s="101" t="s">
        <v>0</v>
      </c>
      <c r="D141" s="101" t="s">
        <v>0</v>
      </c>
      <c r="E141" s="106" t="s">
        <v>0</v>
      </c>
      <c r="F141" s="299" t="s">
        <v>0</v>
      </c>
      <c r="G141" s="101" t="s">
        <v>0</v>
      </c>
      <c r="H141" s="101" t="s">
        <v>0</v>
      </c>
      <c r="I141" s="101" t="s">
        <v>0</v>
      </c>
      <c r="J141" s="101" t="s">
        <v>0</v>
      </c>
      <c r="K141" s="108" t="s">
        <v>0</v>
      </c>
      <c r="L141" s="108" t="s">
        <v>4</v>
      </c>
      <c r="M141" s="101" t="s">
        <v>4</v>
      </c>
      <c r="N141" s="101" t="s">
        <v>4</v>
      </c>
      <c r="O141" s="101" t="s">
        <v>4</v>
      </c>
      <c r="P141" s="101" t="s">
        <v>4</v>
      </c>
      <c r="Q141" s="101" t="s">
        <v>4</v>
      </c>
      <c r="R141" s="101" t="s">
        <v>4</v>
      </c>
      <c r="S141" s="334" t="s">
        <v>0</v>
      </c>
    </row>
    <row r="142" spans="1:35" s="163" customFormat="1" ht="30" customHeight="1" thickBot="1" x14ac:dyDescent="0.3">
      <c r="A142" s="610"/>
      <c r="B142" s="183">
        <v>6</v>
      </c>
      <c r="C142" s="335" t="s">
        <v>544</v>
      </c>
      <c r="D142" s="185" t="s">
        <v>195</v>
      </c>
      <c r="E142" s="336" t="s">
        <v>753</v>
      </c>
      <c r="F142" s="337" t="s">
        <v>521</v>
      </c>
      <c r="G142" s="185" t="s">
        <v>195</v>
      </c>
      <c r="H142" s="184" t="s">
        <v>784</v>
      </c>
      <c r="I142" s="184" t="s">
        <v>785</v>
      </c>
      <c r="J142" s="184" t="s">
        <v>865</v>
      </c>
      <c r="K142" s="184" t="s">
        <v>195</v>
      </c>
      <c r="L142" s="186" t="s">
        <v>8</v>
      </c>
      <c r="M142" s="186" t="s">
        <v>8</v>
      </c>
      <c r="N142" s="186" t="s">
        <v>387</v>
      </c>
      <c r="O142" s="186" t="s">
        <v>941</v>
      </c>
      <c r="P142" s="186" t="s">
        <v>388</v>
      </c>
      <c r="Q142" s="186" t="s">
        <v>9</v>
      </c>
      <c r="R142" s="186" t="s">
        <v>389</v>
      </c>
      <c r="S142" s="187" t="s">
        <v>235</v>
      </c>
    </row>
    <row r="143" spans="1:35" ht="9.75" customHeight="1" thickBot="1" x14ac:dyDescent="0.3">
      <c r="B143" s="150" t="s">
        <v>586</v>
      </c>
      <c r="C143" s="150" t="s">
        <v>586</v>
      </c>
      <c r="D143" s="150" t="s">
        <v>586</v>
      </c>
      <c r="E143" s="150" t="s">
        <v>586</v>
      </c>
      <c r="F143" s="276" t="s">
        <v>586</v>
      </c>
      <c r="G143" s="150" t="s">
        <v>586</v>
      </c>
      <c r="H143" s="150" t="s">
        <v>586</v>
      </c>
      <c r="I143" s="150" t="s">
        <v>586</v>
      </c>
      <c r="J143" s="150" t="s">
        <v>586</v>
      </c>
      <c r="K143" s="150" t="s">
        <v>586</v>
      </c>
      <c r="L143" s="150" t="s">
        <v>586</v>
      </c>
      <c r="M143" s="150" t="s">
        <v>586</v>
      </c>
      <c r="N143" s="150" t="s">
        <v>586</v>
      </c>
      <c r="O143" s="150" t="s">
        <v>586</v>
      </c>
      <c r="P143" s="150" t="s">
        <v>586</v>
      </c>
      <c r="Q143" s="150" t="s">
        <v>586</v>
      </c>
      <c r="R143" s="150" t="s">
        <v>586</v>
      </c>
      <c r="S143" s="150" t="s">
        <v>586</v>
      </c>
    </row>
    <row r="144" spans="1:35" ht="100.15" customHeight="1" x14ac:dyDescent="0.25">
      <c r="A144" s="611" t="s">
        <v>371</v>
      </c>
      <c r="B144" s="159" t="s">
        <v>13</v>
      </c>
      <c r="C144" s="117" t="s">
        <v>363</v>
      </c>
      <c r="D144" s="117" t="s">
        <v>364</v>
      </c>
      <c r="E144" s="118" t="s">
        <v>15</v>
      </c>
      <c r="F144" s="300" t="s">
        <v>283</v>
      </c>
      <c r="G144" s="117" t="s">
        <v>365</v>
      </c>
      <c r="H144" s="117" t="s">
        <v>15</v>
      </c>
      <c r="I144" s="117" t="s">
        <v>286</v>
      </c>
      <c r="J144" s="117" t="s">
        <v>287</v>
      </c>
      <c r="K144" s="119" t="s">
        <v>366</v>
      </c>
      <c r="L144" s="119" t="s">
        <v>15</v>
      </c>
      <c r="M144" s="117" t="s">
        <v>367</v>
      </c>
      <c r="N144" s="120" t="s">
        <v>15</v>
      </c>
    </row>
    <row r="145" spans="1:35" ht="19.899999999999999" customHeight="1" x14ac:dyDescent="0.25">
      <c r="A145" s="612"/>
      <c r="B145" s="198" t="s">
        <v>293</v>
      </c>
      <c r="C145" s="110" t="s">
        <v>294</v>
      </c>
      <c r="D145" s="111" t="s">
        <v>295</v>
      </c>
      <c r="E145" s="112" t="s">
        <v>296</v>
      </c>
      <c r="F145" s="301" t="s">
        <v>297</v>
      </c>
      <c r="G145" s="111" t="s">
        <v>298</v>
      </c>
      <c r="H145" s="111" t="s">
        <v>299</v>
      </c>
      <c r="I145" s="111" t="s">
        <v>300</v>
      </c>
      <c r="J145" s="111" t="s">
        <v>301</v>
      </c>
      <c r="K145" s="113" t="s">
        <v>368</v>
      </c>
      <c r="L145" s="113" t="s">
        <v>369</v>
      </c>
      <c r="M145" s="111" t="s">
        <v>307</v>
      </c>
      <c r="N145" s="121" t="s">
        <v>370</v>
      </c>
    </row>
    <row r="146" spans="1:35" outlineLevel="1" x14ac:dyDescent="0.25">
      <c r="A146" s="612"/>
      <c r="B146" s="160">
        <v>3</v>
      </c>
      <c r="C146" s="109">
        <v>2</v>
      </c>
      <c r="D146" s="109">
        <v>14</v>
      </c>
      <c r="E146" s="109">
        <v>6</v>
      </c>
      <c r="F146" s="302">
        <v>2</v>
      </c>
      <c r="G146" s="109">
        <v>14</v>
      </c>
      <c r="H146" s="109">
        <v>6</v>
      </c>
      <c r="I146" s="109">
        <v>2</v>
      </c>
      <c r="J146" s="109">
        <v>6</v>
      </c>
      <c r="K146" s="115">
        <v>8</v>
      </c>
      <c r="L146" s="115">
        <v>19</v>
      </c>
      <c r="M146" s="109">
        <v>3</v>
      </c>
      <c r="N146" s="122">
        <v>43</v>
      </c>
    </row>
    <row r="147" spans="1:35" outlineLevel="1" x14ac:dyDescent="0.25">
      <c r="A147" s="612"/>
      <c r="B147" s="160" t="s">
        <v>1</v>
      </c>
      <c r="C147" s="109" t="s">
        <v>69</v>
      </c>
      <c r="D147" s="109" t="s">
        <v>1</v>
      </c>
      <c r="E147" s="114" t="s">
        <v>69</v>
      </c>
      <c r="F147" s="302" t="s">
        <v>69</v>
      </c>
      <c r="G147" s="109" t="s">
        <v>1</v>
      </c>
      <c r="H147" s="109" t="s">
        <v>69</v>
      </c>
      <c r="I147" s="109" t="s">
        <v>69</v>
      </c>
      <c r="J147" s="109" t="s">
        <v>69</v>
      </c>
      <c r="K147" s="116" t="s">
        <v>1</v>
      </c>
      <c r="L147" s="116" t="s">
        <v>69</v>
      </c>
      <c r="M147" s="109" t="s">
        <v>1</v>
      </c>
      <c r="N147" s="122" t="s">
        <v>69</v>
      </c>
    </row>
    <row r="148" spans="1:35" outlineLevel="1" x14ac:dyDescent="0.25">
      <c r="A148" s="612"/>
      <c r="B148" s="160" t="s">
        <v>0</v>
      </c>
      <c r="C148" s="109" t="s">
        <v>0</v>
      </c>
      <c r="D148" s="109" t="s">
        <v>0</v>
      </c>
      <c r="E148" s="114" t="s">
        <v>4</v>
      </c>
      <c r="F148" s="302" t="s">
        <v>0</v>
      </c>
      <c r="G148" s="109" t="s">
        <v>0</v>
      </c>
      <c r="H148" s="109" t="s">
        <v>4</v>
      </c>
      <c r="I148" s="109" t="s">
        <v>0</v>
      </c>
      <c r="J148" s="109" t="s">
        <v>0</v>
      </c>
      <c r="K148" s="116" t="s">
        <v>0</v>
      </c>
      <c r="L148" s="116" t="s">
        <v>4</v>
      </c>
      <c r="M148" s="109" t="s">
        <v>0</v>
      </c>
      <c r="N148" s="122" t="s">
        <v>4</v>
      </c>
    </row>
    <row r="149" spans="1:35" ht="30" customHeight="1" thickBot="1" x14ac:dyDescent="0.3">
      <c r="A149" s="613"/>
      <c r="B149" s="183">
        <v>999</v>
      </c>
      <c r="C149" s="186" t="s">
        <v>373</v>
      </c>
      <c r="D149" s="174" t="s">
        <v>584</v>
      </c>
      <c r="E149" s="186" t="s">
        <v>374</v>
      </c>
      <c r="F149" s="303" t="s">
        <v>375</v>
      </c>
      <c r="G149" s="174" t="s">
        <v>585</v>
      </c>
      <c r="H149" s="186" t="s">
        <v>374</v>
      </c>
      <c r="I149" s="186" t="s">
        <v>376</v>
      </c>
      <c r="J149" s="184" t="s">
        <v>377</v>
      </c>
      <c r="K149" s="497" t="s">
        <v>911</v>
      </c>
      <c r="L149" s="186" t="s">
        <v>390</v>
      </c>
      <c r="M149" s="185" t="s">
        <v>195</v>
      </c>
      <c r="N149" s="187" t="s">
        <v>391</v>
      </c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</row>
    <row r="150" spans="1:35" x14ac:dyDescent="0.25">
      <c r="B150" s="150" t="s">
        <v>586</v>
      </c>
      <c r="C150" s="150" t="s">
        <v>586</v>
      </c>
      <c r="D150" s="150" t="s">
        <v>586</v>
      </c>
      <c r="E150" s="150" t="s">
        <v>586</v>
      </c>
      <c r="F150" s="276" t="s">
        <v>586</v>
      </c>
      <c r="G150" s="150" t="s">
        <v>586</v>
      </c>
      <c r="H150" s="150" t="s">
        <v>586</v>
      </c>
      <c r="I150" s="150" t="s">
        <v>586</v>
      </c>
      <c r="J150" s="150" t="s">
        <v>586</v>
      </c>
      <c r="K150" s="150" t="s">
        <v>586</v>
      </c>
      <c r="L150" s="150" t="s">
        <v>586</v>
      </c>
      <c r="M150" s="150" t="s">
        <v>586</v>
      </c>
      <c r="N150" s="150" t="s">
        <v>586</v>
      </c>
    </row>
  </sheetData>
  <sheetProtection algorithmName="SHA-512" hashValue="RWYldSemQTkw0Ueu54yCqBJXOMaCn8qn4HrLJO1gw5neH+vZZ06uGDW/ik32FkpgWEVuK958F5KSefGWWDvldA==" saltValue="BB97g0g2YitNGcP6D5wBsA==" spinCount="100000" sheet="1" sort="0"/>
  <mergeCells count="33">
    <mergeCell ref="A11:A16"/>
    <mergeCell ref="A18:A23"/>
    <mergeCell ref="A67:A72"/>
    <mergeCell ref="A25:A30"/>
    <mergeCell ref="A32:A37"/>
    <mergeCell ref="A39:A44"/>
    <mergeCell ref="A46:A51"/>
    <mergeCell ref="A53:A58"/>
    <mergeCell ref="A60:A65"/>
    <mergeCell ref="A123:A128"/>
    <mergeCell ref="A130:A135"/>
    <mergeCell ref="A137:A142"/>
    <mergeCell ref="A144:A149"/>
    <mergeCell ref="B1:AI1"/>
    <mergeCell ref="A3:C3"/>
    <mergeCell ref="D3:F3"/>
    <mergeCell ref="G3:H3"/>
    <mergeCell ref="I3:X3"/>
    <mergeCell ref="A95:A100"/>
    <mergeCell ref="A102:A107"/>
    <mergeCell ref="A109:A114"/>
    <mergeCell ref="A116:A121"/>
    <mergeCell ref="A74:A79"/>
    <mergeCell ref="A81:A86"/>
    <mergeCell ref="A88:A93"/>
    <mergeCell ref="Z3:AE3"/>
    <mergeCell ref="AG3:AI3"/>
    <mergeCell ref="A9:AI9"/>
    <mergeCell ref="H5:H7"/>
    <mergeCell ref="E5:E7"/>
    <mergeCell ref="D5:D7"/>
    <mergeCell ref="A5:A7"/>
    <mergeCell ref="B5:B7"/>
  </mergeCells>
  <conditionalFormatting sqref="B30">
    <cfRule type="expression" dxfId="19" priority="2">
      <formula>"B17&lt;&gt;0"</formula>
    </cfRule>
  </conditionalFormatting>
  <conditionalFormatting sqref="F30">
    <cfRule type="expression" dxfId="18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tabColor theme="8" tint="-0.499984740745262"/>
    <pageSetUpPr fitToPage="1"/>
  </sheetPr>
  <dimension ref="A1:AL159"/>
  <sheetViews>
    <sheetView view="pageBreakPreview" topLeftCell="A115" zoomScale="40" zoomScaleNormal="70" zoomScaleSheetLayoutView="40" workbookViewId="0">
      <selection activeCell="O151" sqref="O151"/>
    </sheetView>
  </sheetViews>
  <sheetFormatPr baseColWidth="10" defaultColWidth="11.42578125" defaultRowHeight="15" outlineLevelRow="2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8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8" ht="15.75" thickBot="1" x14ac:dyDescent="0.3">
      <c r="C2" s="78"/>
    </row>
    <row r="3" spans="1:38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8" ht="87" customHeight="1" thickBot="1" x14ac:dyDescent="0.3">
      <c r="A4" s="347" t="s">
        <v>401</v>
      </c>
      <c r="B4" s="348" t="s">
        <v>402</v>
      </c>
      <c r="C4" s="349" t="s">
        <v>406</v>
      </c>
      <c r="D4" s="347" t="s">
        <v>265</v>
      </c>
      <c r="E4" s="348" t="s">
        <v>408</v>
      </c>
      <c r="F4" s="349" t="s">
        <v>409</v>
      </c>
      <c r="G4" s="347" t="s">
        <v>415</v>
      </c>
      <c r="H4" s="349" t="s">
        <v>413</v>
      </c>
      <c r="I4" s="350" t="s">
        <v>434</v>
      </c>
      <c r="J4" s="351" t="s">
        <v>435</v>
      </c>
      <c r="K4" s="351" t="s">
        <v>436</v>
      </c>
      <c r="L4" s="351" t="s">
        <v>437</v>
      </c>
      <c r="M4" s="351" t="s">
        <v>528</v>
      </c>
      <c r="N4" s="351" t="s">
        <v>531</v>
      </c>
      <c r="O4" s="351" t="s">
        <v>529</v>
      </c>
      <c r="P4" s="351" t="s">
        <v>530</v>
      </c>
      <c r="Q4" s="351" t="s">
        <v>398</v>
      </c>
      <c r="R4" s="351" t="s">
        <v>399</v>
      </c>
      <c r="S4" s="351" t="s">
        <v>276</v>
      </c>
      <c r="T4" s="351" t="s">
        <v>404</v>
      </c>
      <c r="U4" s="351" t="s">
        <v>510</v>
      </c>
      <c r="V4" s="351" t="s">
        <v>405</v>
      </c>
      <c r="W4" s="351" t="s">
        <v>547</v>
      </c>
      <c r="X4" s="352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8" ht="58.5" customHeight="1" thickBot="1" x14ac:dyDescent="0.3">
      <c r="A5" s="657" t="str">
        <f>'LISTE DES CAS ANNEXE 30'!A36</f>
        <v>CONVENTION CAS 16</v>
      </c>
      <c r="B5" s="659">
        <f>'LISTE DES CAS ANNEXE 30'!B36</f>
        <v>5</v>
      </c>
      <c r="C5" s="380">
        <f>'LISTE DES CAS ANNEXE 30'!C36</f>
        <v>1</v>
      </c>
      <c r="D5" s="654" t="str">
        <f>'LISTE DES CAS ANNEXE 30'!D36</f>
        <v>MATERNITE</v>
      </c>
      <c r="E5" s="651">
        <f>'LISTE DES CAS ANNEXE 30'!E36</f>
        <v>1</v>
      </c>
      <c r="F5" s="397" t="str">
        <f>'LISTE DES CAS ANNEXE 30'!H36</f>
        <v>NON</v>
      </c>
      <c r="G5" s="411" t="str">
        <f>'LISTE DES CAS ANNEXE 30'!I36</f>
        <v>NON</v>
      </c>
      <c r="H5" s="648" t="str">
        <f>'LISTE DES CAS ANNEXE 30'!J36</f>
        <v>05 - TP AMO SEUL</v>
      </c>
      <c r="I5" s="414" t="str">
        <f>'LISTE DES CAS ANNEXE 30'!K36</f>
        <v>69-LYON</v>
      </c>
      <c r="J5" s="391" t="str">
        <f>'LISTE DES CAS ANNEXE 30'!L36</f>
        <v>42-SAINT-ETIENNE</v>
      </c>
      <c r="K5" s="392" t="str">
        <f>'LISTE DES CAS ANNEXE 30'!M36</f>
        <v>10/11/2025 à 10H00</v>
      </c>
      <c r="L5" s="392" t="str">
        <f>'LISTE DES CAS ANNEXE 30'!N36</f>
        <v>10/11/2025 à 11h15</v>
      </c>
      <c r="M5" s="393" t="str">
        <f>'LISTE DES CAS ANNEXE 30'!O36</f>
        <v>EE-003-FF</v>
      </c>
      <c r="N5" s="393" t="str">
        <f>'LISTE DES CAS ANNEXE 30'!P36</f>
        <v>69123
(LYON)</v>
      </c>
      <c r="O5" s="393" t="str">
        <f>'LISTE DES CAS ANNEXE 30'!Q36</f>
        <v>069</v>
      </c>
      <c r="P5" s="393" t="str">
        <f>'LISTE DES CAS ANNEXE 30'!R36</f>
        <v xml:space="preserve">691 - CPAM DU RHONE </v>
      </c>
      <c r="Q5" s="394">
        <f>'LISTE DES CAS ANNEXE 30'!S36</f>
        <v>63</v>
      </c>
      <c r="R5" s="395" t="str">
        <f>'LISTE DES CAS ANNEXE 30'!T36</f>
        <v>JOUR</v>
      </c>
      <c r="S5" s="420">
        <f>'LISTE DES CAS ANNEXE 30'!U36</f>
        <v>2</v>
      </c>
      <c r="T5" s="427" t="str">
        <f>'LISTE DES CAS ANNEXE 30'!V36</f>
        <v>OUI 
(TYPE 1)</v>
      </c>
      <c r="U5" s="392" t="str">
        <f>'LISTE DES CAS ANNEXE 30'!W36</f>
        <v>NON</v>
      </c>
      <c r="V5" s="392" t="str">
        <f>'LISTE DES CAS ANNEXE 30'!X36</f>
        <v>NON</v>
      </c>
      <c r="W5" s="392" t="str">
        <f>'LISTE DES CAS ANNEXE 30'!Y36</f>
        <v>NON</v>
      </c>
      <c r="X5" s="424" t="str">
        <f>'LISTE DES CAS ANNEXE 30'!Z36</f>
        <v>OUI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8" ht="58.5" customHeight="1" x14ac:dyDescent="0.25">
      <c r="A6" s="658"/>
      <c r="B6" s="660"/>
      <c r="C6" s="410">
        <f>'LISTE DES CAS ANNEXE 30'!C37</f>
        <v>2</v>
      </c>
      <c r="D6" s="655"/>
      <c r="E6" s="652"/>
      <c r="F6" s="408" t="str">
        <f>'LISTE DES CAS ANNEXE 30'!H37</f>
        <v>NON</v>
      </c>
      <c r="G6" s="406" t="str">
        <f>'LISTE DES CAS ANNEXE 30'!I37</f>
        <v>NON</v>
      </c>
      <c r="H6" s="649"/>
      <c r="I6" s="409" t="str">
        <f>'LISTE DES CAS ANNEXE 30'!K37</f>
        <v>42-SAINT-ETIENNE</v>
      </c>
      <c r="J6" s="415" t="str">
        <f>'LISTE DES CAS ANNEXE 30'!L37</f>
        <v>69-LYON</v>
      </c>
      <c r="K6" s="382" t="str">
        <f>'LISTE DES CAS ANNEXE 30'!M37</f>
        <v>11/11/2025 à 11h00</v>
      </c>
      <c r="L6" s="382" t="str">
        <f>'LISTE DES CAS ANNEXE 30'!N37</f>
        <v>11/11/2025 à 12h15</v>
      </c>
      <c r="M6" s="386" t="str">
        <f>'LISTE DES CAS ANNEXE 30'!O37</f>
        <v>AA-001-BB</v>
      </c>
      <c r="N6" s="386" t="str">
        <f>'LISTE DES CAS ANNEXE 30'!P37</f>
        <v>42218 
(SAINT-ETIENNE)</v>
      </c>
      <c r="O6" s="386" t="str">
        <f>'LISTE DES CAS ANNEXE 30'!Q37</f>
        <v>042</v>
      </c>
      <c r="P6" s="386" t="str">
        <f>'LISTE DES CAS ANNEXE 30'!R37</f>
        <v>422 - CPAM DE LA LOIRE</v>
      </c>
      <c r="Q6" s="387">
        <f>'LISTE DES CAS ANNEXE 30'!S37</f>
        <v>63</v>
      </c>
      <c r="R6" s="438" t="str">
        <f>'LISTE DES CAS ANNEXE 30'!T37</f>
        <v>DIM / J FERIE</v>
      </c>
      <c r="S6" s="421">
        <f>'LISTE DES CAS ANNEXE 30'!U37</f>
        <v>2</v>
      </c>
      <c r="T6" s="423" t="str">
        <f>'LISTE DES CAS ANNEXE 30'!V37</f>
        <v>OUI 
(TYPES 1  &amp; 2 &amp; 3)</v>
      </c>
      <c r="U6" s="382" t="str">
        <f>'LISTE DES CAS ANNEXE 30'!W37</f>
        <v>NON</v>
      </c>
      <c r="V6" s="382" t="str">
        <f>'LISTE DES CAS ANNEXE 30'!X37</f>
        <v>NON</v>
      </c>
      <c r="W6" s="382" t="str">
        <f>'LISTE DES CAS ANNEXE 30'!Y37</f>
        <v>NON</v>
      </c>
      <c r="X6" s="408" t="str">
        <f>'LISTE DES CAS ANNEXE 30'!Z37</f>
        <v>NON</v>
      </c>
    </row>
    <row r="7" spans="1:38" ht="58.5" customHeight="1" x14ac:dyDescent="0.25">
      <c r="A7" s="658"/>
      <c r="B7" s="660"/>
      <c r="C7" s="410">
        <f>'LISTE DES CAS ANNEXE 30'!C38</f>
        <v>3</v>
      </c>
      <c r="D7" s="655"/>
      <c r="E7" s="652"/>
      <c r="F7" s="408" t="str">
        <f>'LISTE DES CAS ANNEXE 30'!H38</f>
        <v>NON</v>
      </c>
      <c r="G7" s="406" t="str">
        <f>'LISTE DES CAS ANNEXE 30'!I38</f>
        <v>NON</v>
      </c>
      <c r="H7" s="649"/>
      <c r="I7" s="416" t="str">
        <f>'LISTE DES CAS ANNEXE 30'!K38</f>
        <v>69-LYON</v>
      </c>
      <c r="J7" s="385" t="str">
        <f>'LISTE DES CAS ANNEXE 30'!L38</f>
        <v>42-SAINT-ETIENNE</v>
      </c>
      <c r="K7" s="382" t="str">
        <f>'LISTE DES CAS ANNEXE 30'!M38</f>
        <v>25/12/2025 à 10H00</v>
      </c>
      <c r="L7" s="382" t="str">
        <f>'LISTE DES CAS ANNEXE 30'!N38</f>
        <v>25/12/2025 à 11h15</v>
      </c>
      <c r="M7" s="386" t="str">
        <f>'LISTE DES CAS ANNEXE 30'!O38</f>
        <v>EE-003-FF</v>
      </c>
      <c r="N7" s="386" t="str">
        <f>'LISTE DES CAS ANNEXE 30'!P38</f>
        <v>69123
(LYON)</v>
      </c>
      <c r="O7" s="386" t="str">
        <f>'LISTE DES CAS ANNEXE 30'!Q38</f>
        <v>069</v>
      </c>
      <c r="P7" s="386" t="str">
        <f>'LISTE DES CAS ANNEXE 30'!R38</f>
        <v xml:space="preserve">691 - CPAM DU RHONE </v>
      </c>
      <c r="Q7" s="387">
        <f>'LISTE DES CAS ANNEXE 30'!S38</f>
        <v>63</v>
      </c>
      <c r="R7" s="438" t="str">
        <f>'LISTE DES CAS ANNEXE 30'!T38</f>
        <v>DIM / J FERIE</v>
      </c>
      <c r="S7" s="421">
        <f>'LISTE DES CAS ANNEXE 30'!U38</f>
        <v>2</v>
      </c>
      <c r="T7" s="423" t="str">
        <f>'LISTE DES CAS ANNEXE 30'!V38</f>
        <v>OUI 
(TYPE 1)</v>
      </c>
      <c r="U7" s="382" t="str">
        <f>'LISTE DES CAS ANNEXE 30'!W38</f>
        <v>NON</v>
      </c>
      <c r="V7" s="382" t="str">
        <f>'LISTE DES CAS ANNEXE 30'!X38</f>
        <v>NON</v>
      </c>
      <c r="W7" s="423" t="str">
        <f>'LISTE DES CAS ANNEXE 30'!Y38</f>
        <v>OUI</v>
      </c>
      <c r="X7" s="408" t="str">
        <f>'LISTE DES CAS ANNEXE 30'!Z38</f>
        <v>NON</v>
      </c>
    </row>
    <row r="8" spans="1:38" ht="58.5" customHeight="1" x14ac:dyDescent="0.25">
      <c r="A8" s="658"/>
      <c r="B8" s="660"/>
      <c r="C8" s="410">
        <f>'LISTE DES CAS ANNEXE 30'!C39</f>
        <v>4</v>
      </c>
      <c r="D8" s="655"/>
      <c r="E8" s="652"/>
      <c r="F8" s="408" t="str">
        <f>'LISTE DES CAS ANNEXE 30'!H39</f>
        <v>NON</v>
      </c>
      <c r="G8" s="406" t="str">
        <f>'LISTE DES CAS ANNEXE 30'!I39</f>
        <v>NON</v>
      </c>
      <c r="H8" s="649"/>
      <c r="I8" s="409" t="str">
        <f>'LISTE DES CAS ANNEXE 30'!K39</f>
        <v>42-SAINT-ETIENNE</v>
      </c>
      <c r="J8" s="415" t="str">
        <f>'LISTE DES CAS ANNEXE 30'!L39</f>
        <v>69-LYON</v>
      </c>
      <c r="K8" s="382" t="str">
        <f>'LISTE DES CAS ANNEXE 30'!M39</f>
        <v>26/12/2025 à 09H00</v>
      </c>
      <c r="L8" s="382" t="str">
        <f>'LISTE DES CAS ANNEXE 30'!N39</f>
        <v>26/12/2025 à 10H15</v>
      </c>
      <c r="M8" s="386" t="str">
        <f>'LISTE DES CAS ANNEXE 30'!O39</f>
        <v>AA-001-BB</v>
      </c>
      <c r="N8" s="386" t="str">
        <f>'LISTE DES CAS ANNEXE 30'!P39</f>
        <v>42218 
(SAINT-ETIENNE)</v>
      </c>
      <c r="O8" s="386" t="str">
        <f>'LISTE DES CAS ANNEXE 30'!Q39</f>
        <v>042</v>
      </c>
      <c r="P8" s="386" t="str">
        <f>'LISTE DES CAS ANNEXE 30'!R39</f>
        <v>422 - CPAM DE LA LOIRE</v>
      </c>
      <c r="Q8" s="387">
        <f>'LISTE DES CAS ANNEXE 30'!S39</f>
        <v>63</v>
      </c>
      <c r="R8" s="388" t="str">
        <f>'LISTE DES CAS ANNEXE 30'!T39</f>
        <v>JOUR</v>
      </c>
      <c r="S8" s="437">
        <f>'LISTE DES CAS ANNEXE 30'!U39</f>
        <v>4</v>
      </c>
      <c r="T8" s="423" t="str">
        <f>'LISTE DES CAS ANNEXE 30'!V39</f>
        <v>OUI 
(TYPE 2)</v>
      </c>
      <c r="U8" s="382" t="str">
        <f>'LISTE DES CAS ANNEXE 30'!W39</f>
        <v>NON</v>
      </c>
      <c r="V8" s="382" t="str">
        <f>'LISTE DES CAS ANNEXE 30'!X39</f>
        <v>NON</v>
      </c>
      <c r="W8" s="382" t="str">
        <f>'LISTE DES CAS ANNEXE 30'!Y39</f>
        <v>NON</v>
      </c>
      <c r="X8" s="425" t="str">
        <f>'LISTE DES CAS ANNEXE 30'!Z39</f>
        <v>OUI</v>
      </c>
    </row>
    <row r="9" spans="1:38" ht="58.5" customHeight="1" thickBot="1" x14ac:dyDescent="0.3">
      <c r="A9" s="638"/>
      <c r="B9" s="636"/>
      <c r="C9" s="381">
        <f>'LISTE DES CAS ANNEXE 30'!C40</f>
        <v>5</v>
      </c>
      <c r="D9" s="656"/>
      <c r="E9" s="653"/>
      <c r="F9" s="405" t="str">
        <f>'LISTE DES CAS ANNEXE 30'!H40</f>
        <v>NON</v>
      </c>
      <c r="G9" s="389" t="str">
        <f>'LISTE DES CAS ANNEXE 30'!I40</f>
        <v>Sans objet</v>
      </c>
      <c r="H9" s="650"/>
      <c r="I9" s="417" t="str">
        <f>'LISTE DES CAS ANNEXE 30'!K40</f>
        <v>69-LYON</v>
      </c>
      <c r="J9" s="399" t="str">
        <f>'LISTE DES CAS ANNEXE 30'!L40</f>
        <v>42-SAINT-ETIENNE</v>
      </c>
      <c r="K9" s="400" t="str">
        <f>'LISTE DES CAS ANNEXE 30'!M40</f>
        <v>27/12/2025 à 20h00</v>
      </c>
      <c r="L9" s="400" t="str">
        <f>'LISTE DES CAS ANNEXE 30'!N40</f>
        <v>27/12/2025 à 21h15</v>
      </c>
      <c r="M9" s="401" t="str">
        <f>'LISTE DES CAS ANNEXE 30'!O40</f>
        <v>EE-003-FF</v>
      </c>
      <c r="N9" s="401" t="str">
        <f>'LISTE DES CAS ANNEXE 30'!P40</f>
        <v>69123
(LYON)</v>
      </c>
      <c r="O9" s="401" t="str">
        <f>'LISTE DES CAS ANNEXE 30'!Q40</f>
        <v>069</v>
      </c>
      <c r="P9" s="401" t="str">
        <f>'LISTE DES CAS ANNEXE 30'!R40</f>
        <v xml:space="preserve">691 - CPAM DU RHONE </v>
      </c>
      <c r="Q9" s="402">
        <f>'LISTE DES CAS ANNEXE 30'!S40</f>
        <v>63</v>
      </c>
      <c r="R9" s="419" t="str">
        <f>'LISTE DES CAS ANNEXE 30'!T40</f>
        <v>NUIT</v>
      </c>
      <c r="S9" s="404">
        <f>'LISTE DES CAS ANNEXE 30'!U40</f>
        <v>1</v>
      </c>
      <c r="T9" s="426" t="str">
        <f>'LISTE DES CAS ANNEXE 30'!V40</f>
        <v>OUI 
(TYPE 1)</v>
      </c>
      <c r="U9" s="400" t="str">
        <f>'LISTE DES CAS ANNEXE 30'!W40</f>
        <v>NON</v>
      </c>
      <c r="V9" s="400" t="str">
        <f>'LISTE DES CAS ANNEXE 30'!X40</f>
        <v>NON</v>
      </c>
      <c r="W9" s="426" t="str">
        <f>'LISTE DES CAS ANNEXE 30'!Y40</f>
        <v>OUI</v>
      </c>
      <c r="X9" s="522" t="str">
        <f>'LISTE DES CAS ANNEXE 30'!Z40</f>
        <v>Sans objet</v>
      </c>
    </row>
    <row r="10" spans="1:38" ht="15.75" thickBot="1" x14ac:dyDescent="0.3">
      <c r="C10" s="78"/>
    </row>
    <row r="11" spans="1:38" ht="80.099999999999994" customHeight="1" thickBot="1" x14ac:dyDescent="0.3">
      <c r="A11" s="597" t="s">
        <v>819</v>
      </c>
      <c r="B11" s="601"/>
      <c r="C11" s="601"/>
      <c r="D11" s="601"/>
      <c r="E11" s="601"/>
      <c r="F11" s="601"/>
      <c r="G11" s="601"/>
      <c r="H11" s="601"/>
      <c r="I11" s="601"/>
      <c r="J11" s="601"/>
      <c r="K11" s="601"/>
      <c r="L11" s="601"/>
      <c r="M11" s="601"/>
      <c r="N11" s="601"/>
      <c r="O11" s="601"/>
      <c r="P11" s="601"/>
      <c r="Q11" s="601"/>
      <c r="R11" s="601"/>
      <c r="S11" s="601"/>
      <c r="T11" s="601"/>
      <c r="U11" s="601"/>
      <c r="V11" s="601"/>
      <c r="W11" s="601"/>
      <c r="X11" s="601"/>
      <c r="Y11" s="599"/>
      <c r="Z11" s="599"/>
      <c r="AA11" s="599"/>
      <c r="AB11" s="599"/>
      <c r="AC11" s="599"/>
      <c r="AD11" s="599"/>
      <c r="AE11" s="599"/>
      <c r="AF11" s="599"/>
      <c r="AG11" s="599"/>
      <c r="AH11" s="599"/>
      <c r="AI11" s="600"/>
    </row>
    <row r="12" spans="1:38" ht="15.75" thickBot="1" x14ac:dyDescent="0.3">
      <c r="C12" s="78"/>
    </row>
    <row r="13" spans="1:38" ht="100.15" customHeight="1" x14ac:dyDescent="0.25">
      <c r="A13" s="623" t="s">
        <v>372</v>
      </c>
      <c r="B13" s="164" t="s">
        <v>13</v>
      </c>
      <c r="C13" s="165" t="s">
        <v>281</v>
      </c>
      <c r="D13" s="165" t="s">
        <v>282</v>
      </c>
      <c r="E13" s="165" t="s">
        <v>15</v>
      </c>
      <c r="F13" s="272" t="s">
        <v>283</v>
      </c>
      <c r="G13" s="165" t="s">
        <v>284</v>
      </c>
      <c r="H13" s="165" t="s">
        <v>285</v>
      </c>
      <c r="I13" s="165" t="s">
        <v>286</v>
      </c>
      <c r="J13" s="165" t="s">
        <v>287</v>
      </c>
      <c r="K13" s="165" t="s">
        <v>288</v>
      </c>
      <c r="L13" s="166" t="s">
        <v>289</v>
      </c>
      <c r="M13" s="166" t="s">
        <v>290</v>
      </c>
      <c r="N13" s="165" t="s">
        <v>15</v>
      </c>
      <c r="O13" s="165" t="s">
        <v>15</v>
      </c>
      <c r="P13" s="165" t="s">
        <v>15</v>
      </c>
      <c r="Q13" s="165" t="s">
        <v>15</v>
      </c>
      <c r="R13" s="165" t="s">
        <v>291</v>
      </c>
      <c r="S13" s="165" t="s">
        <v>15</v>
      </c>
      <c r="T13" s="167" t="s">
        <v>292</v>
      </c>
      <c r="AL13" s="2"/>
    </row>
    <row r="14" spans="1:38" ht="19.899999999999999" customHeight="1" x14ac:dyDescent="0.25">
      <c r="A14" s="624"/>
      <c r="B14" s="168" t="s">
        <v>293</v>
      </c>
      <c r="C14" s="123" t="s">
        <v>294</v>
      </c>
      <c r="D14" s="123" t="s">
        <v>295</v>
      </c>
      <c r="E14" s="124" t="s">
        <v>296</v>
      </c>
      <c r="F14" s="273" t="s">
        <v>297</v>
      </c>
      <c r="G14" s="124" t="s">
        <v>298</v>
      </c>
      <c r="H14" s="124" t="s">
        <v>299</v>
      </c>
      <c r="I14" s="124" t="s">
        <v>300</v>
      </c>
      <c r="J14" s="124" t="s">
        <v>301</v>
      </c>
      <c r="K14" s="124" t="s">
        <v>302</v>
      </c>
      <c r="L14" s="125" t="s">
        <v>303</v>
      </c>
      <c r="M14" s="125" t="s">
        <v>101</v>
      </c>
      <c r="N14" s="124" t="s">
        <v>304</v>
      </c>
      <c r="O14" s="124" t="s">
        <v>255</v>
      </c>
      <c r="P14" s="124" t="s">
        <v>305</v>
      </c>
      <c r="Q14" s="124" t="s">
        <v>306</v>
      </c>
      <c r="R14" s="124" t="s">
        <v>307</v>
      </c>
      <c r="S14" s="124" t="s">
        <v>308</v>
      </c>
      <c r="T14" s="169" t="s">
        <v>309</v>
      </c>
    </row>
    <row r="15" spans="1:38" outlineLevel="1" x14ac:dyDescent="0.25">
      <c r="A15" s="624"/>
      <c r="B15" s="170">
        <v>3</v>
      </c>
      <c r="C15" s="100">
        <v>2</v>
      </c>
      <c r="D15" s="100">
        <v>14</v>
      </c>
      <c r="E15" s="100">
        <v>6</v>
      </c>
      <c r="F15" s="274" t="s">
        <v>204</v>
      </c>
      <c r="G15" s="100">
        <v>14</v>
      </c>
      <c r="H15" s="100">
        <v>6</v>
      </c>
      <c r="I15" s="100">
        <v>2</v>
      </c>
      <c r="J15" s="100">
        <v>6</v>
      </c>
      <c r="K15" s="100">
        <v>6</v>
      </c>
      <c r="L15" s="126">
        <v>4</v>
      </c>
      <c r="M15" s="126">
        <v>2</v>
      </c>
      <c r="N15" s="100">
        <v>1</v>
      </c>
      <c r="O15" s="100">
        <v>1</v>
      </c>
      <c r="P15" s="100">
        <v>3</v>
      </c>
      <c r="Q15" s="100">
        <v>10</v>
      </c>
      <c r="R15" s="100">
        <v>3</v>
      </c>
      <c r="S15" s="100">
        <v>6</v>
      </c>
      <c r="T15" s="171">
        <v>37</v>
      </c>
    </row>
    <row r="16" spans="1:38" outlineLevel="1" x14ac:dyDescent="0.25">
      <c r="A16" s="624"/>
      <c r="B16" s="170" t="s">
        <v>1</v>
      </c>
      <c r="C16" s="100" t="s">
        <v>69</v>
      </c>
      <c r="D16" s="127" t="s">
        <v>1</v>
      </c>
      <c r="E16" s="100" t="s">
        <v>69</v>
      </c>
      <c r="F16" s="274" t="s">
        <v>69</v>
      </c>
      <c r="G16" s="100" t="s">
        <v>1</v>
      </c>
      <c r="H16" s="100" t="s">
        <v>69</v>
      </c>
      <c r="I16" s="100" t="s">
        <v>69</v>
      </c>
      <c r="J16" s="100" t="s">
        <v>69</v>
      </c>
      <c r="K16" s="100" t="s">
        <v>1</v>
      </c>
      <c r="L16" s="128" t="s">
        <v>69</v>
      </c>
      <c r="M16" s="128" t="s">
        <v>69</v>
      </c>
      <c r="N16" s="100" t="s">
        <v>69</v>
      </c>
      <c r="O16" s="100" t="s">
        <v>69</v>
      </c>
      <c r="P16" s="100" t="s">
        <v>69</v>
      </c>
      <c r="Q16" s="100" t="s">
        <v>69</v>
      </c>
      <c r="R16" s="100" t="s">
        <v>1</v>
      </c>
      <c r="S16" s="100" t="s">
        <v>69</v>
      </c>
      <c r="T16" s="171" t="s">
        <v>1</v>
      </c>
    </row>
    <row r="17" spans="1:35" outlineLevel="1" x14ac:dyDescent="0.25">
      <c r="A17" s="624"/>
      <c r="B17" s="170" t="s">
        <v>0</v>
      </c>
      <c r="C17" s="100" t="s">
        <v>0</v>
      </c>
      <c r="D17" s="100" t="s">
        <v>0</v>
      </c>
      <c r="E17" s="100" t="s">
        <v>4</v>
      </c>
      <c r="F17" s="274" t="s">
        <v>0</v>
      </c>
      <c r="G17" s="100" t="s">
        <v>0</v>
      </c>
      <c r="H17" s="100" t="s">
        <v>0</v>
      </c>
      <c r="I17" s="100" t="s">
        <v>0</v>
      </c>
      <c r="J17" s="100" t="s">
        <v>0</v>
      </c>
      <c r="K17" s="100" t="s">
        <v>0</v>
      </c>
      <c r="L17" s="128" t="s">
        <v>0</v>
      </c>
      <c r="M17" s="128" t="s">
        <v>0</v>
      </c>
      <c r="N17" s="100" t="s">
        <v>4</v>
      </c>
      <c r="O17" s="100" t="s">
        <v>4</v>
      </c>
      <c r="P17" s="100" t="s">
        <v>4</v>
      </c>
      <c r="Q17" s="100" t="s">
        <v>4</v>
      </c>
      <c r="R17" s="100" t="s">
        <v>4</v>
      </c>
      <c r="S17" s="100" t="s">
        <v>4</v>
      </c>
      <c r="T17" s="171" t="s">
        <v>0</v>
      </c>
    </row>
    <row r="18" spans="1:35" s="163" customFormat="1" ht="30" customHeight="1" thickBot="1" x14ac:dyDescent="0.3">
      <c r="A18" s="625"/>
      <c r="B18" s="172" t="s">
        <v>6</v>
      </c>
      <c r="C18" s="173" t="s">
        <v>373</v>
      </c>
      <c r="D18" s="174" t="s">
        <v>584</v>
      </c>
      <c r="E18" s="175" t="s">
        <v>374</v>
      </c>
      <c r="F18" s="275" t="s">
        <v>375</v>
      </c>
      <c r="G18" s="174" t="s">
        <v>585</v>
      </c>
      <c r="H18" s="269" t="s">
        <v>482</v>
      </c>
      <c r="I18" s="176" t="s">
        <v>376</v>
      </c>
      <c r="J18" s="176" t="s">
        <v>377</v>
      </c>
      <c r="K18" s="55" t="s">
        <v>482</v>
      </c>
      <c r="L18" s="176" t="s">
        <v>382</v>
      </c>
      <c r="M18" s="176" t="s">
        <v>379</v>
      </c>
      <c r="N18" s="175" t="s">
        <v>8</v>
      </c>
      <c r="O18" s="175" t="s">
        <v>8</v>
      </c>
      <c r="P18" s="175" t="s">
        <v>9</v>
      </c>
      <c r="Q18" s="175" t="s">
        <v>380</v>
      </c>
      <c r="R18" s="175" t="s">
        <v>511</v>
      </c>
      <c r="S18" s="175" t="s">
        <v>374</v>
      </c>
      <c r="T18" s="177" t="s">
        <v>381</v>
      </c>
    </row>
    <row r="19" spans="1:35" ht="15.75" thickBot="1" x14ac:dyDescent="0.3">
      <c r="B19" s="150" t="s">
        <v>586</v>
      </c>
      <c r="C19" s="150" t="s">
        <v>586</v>
      </c>
      <c r="D19" s="150" t="s">
        <v>586</v>
      </c>
      <c r="E19" s="150" t="s">
        <v>586</v>
      </c>
      <c r="F19" s="276" t="s">
        <v>586</v>
      </c>
      <c r="G19" s="150" t="s">
        <v>586</v>
      </c>
      <c r="H19" s="150" t="s">
        <v>586</v>
      </c>
      <c r="I19" s="150" t="s">
        <v>586</v>
      </c>
      <c r="J19" s="150" t="s">
        <v>586</v>
      </c>
      <c r="K19" s="150" t="s">
        <v>586</v>
      </c>
      <c r="L19" s="150" t="s">
        <v>586</v>
      </c>
      <c r="M19" s="150" t="s">
        <v>586</v>
      </c>
      <c r="N19" s="150" t="s">
        <v>586</v>
      </c>
      <c r="O19" s="150" t="s">
        <v>586</v>
      </c>
      <c r="P19" s="150" t="s">
        <v>586</v>
      </c>
      <c r="Q19" s="150" t="s">
        <v>586</v>
      </c>
      <c r="R19" s="150" t="s">
        <v>586</v>
      </c>
      <c r="S19" s="150" t="s">
        <v>586</v>
      </c>
      <c r="T19" s="150" t="s">
        <v>586</v>
      </c>
    </row>
    <row r="20" spans="1:35" ht="100.15" customHeight="1" x14ac:dyDescent="0.25">
      <c r="A20" s="626" t="s">
        <v>362</v>
      </c>
      <c r="B20" s="145" t="s">
        <v>13</v>
      </c>
      <c r="C20" s="129" t="s">
        <v>14</v>
      </c>
      <c r="D20" s="129" t="s">
        <v>310</v>
      </c>
      <c r="E20" s="130" t="s">
        <v>311</v>
      </c>
      <c r="F20" s="277" t="s">
        <v>312</v>
      </c>
      <c r="G20" s="129" t="s">
        <v>313</v>
      </c>
      <c r="H20" s="129" t="s">
        <v>314</v>
      </c>
      <c r="I20" s="129" t="s">
        <v>315</v>
      </c>
      <c r="J20" s="129" t="s">
        <v>316</v>
      </c>
      <c r="K20" s="131" t="s">
        <v>317</v>
      </c>
      <c r="L20" s="131" t="s">
        <v>318</v>
      </c>
      <c r="M20" s="129" t="s">
        <v>114</v>
      </c>
      <c r="N20" s="129" t="s">
        <v>319</v>
      </c>
      <c r="O20" s="129" t="s">
        <v>320</v>
      </c>
      <c r="P20" s="129" t="s">
        <v>321</v>
      </c>
      <c r="Q20" s="129" t="s">
        <v>322</v>
      </c>
      <c r="R20" s="129" t="s">
        <v>465</v>
      </c>
      <c r="S20" s="129" t="s">
        <v>323</v>
      </c>
      <c r="T20" s="129" t="s">
        <v>324</v>
      </c>
      <c r="U20" s="132" t="s">
        <v>15</v>
      </c>
    </row>
    <row r="21" spans="1:35" ht="19.899999999999999" customHeight="1" x14ac:dyDescent="0.25">
      <c r="A21" s="627"/>
      <c r="B21" s="146">
        <v>1</v>
      </c>
      <c r="C21" s="133" t="s">
        <v>47</v>
      </c>
      <c r="D21" s="134" t="s">
        <v>325</v>
      </c>
      <c r="E21" s="135" t="s">
        <v>326</v>
      </c>
      <c r="F21" s="278" t="s">
        <v>327</v>
      </c>
      <c r="G21" s="134" t="s">
        <v>328</v>
      </c>
      <c r="H21" s="134" t="s">
        <v>297</v>
      </c>
      <c r="I21" s="134" t="s">
        <v>329</v>
      </c>
      <c r="J21" s="134" t="s">
        <v>330</v>
      </c>
      <c r="K21" s="134" t="s">
        <v>331</v>
      </c>
      <c r="L21" s="136" t="s">
        <v>332</v>
      </c>
      <c r="M21" s="134" t="s">
        <v>333</v>
      </c>
      <c r="N21" s="134" t="s">
        <v>103</v>
      </c>
      <c r="O21" s="137">
        <v>81</v>
      </c>
      <c r="P21" s="134" t="s">
        <v>334</v>
      </c>
      <c r="Q21" s="134" t="s">
        <v>335</v>
      </c>
      <c r="R21" s="134" t="s">
        <v>336</v>
      </c>
      <c r="S21" s="134" t="s">
        <v>231</v>
      </c>
      <c r="T21" s="134" t="s">
        <v>337</v>
      </c>
      <c r="U21" s="138" t="s">
        <v>338</v>
      </c>
    </row>
    <row r="22" spans="1:35" outlineLevel="1" x14ac:dyDescent="0.25">
      <c r="A22" s="627"/>
      <c r="B22" s="180">
        <v>1</v>
      </c>
      <c r="C22" s="140">
        <v>9</v>
      </c>
      <c r="D22" s="181">
        <v>6</v>
      </c>
      <c r="E22" s="140">
        <v>3</v>
      </c>
      <c r="F22" s="279">
        <v>3</v>
      </c>
      <c r="G22" s="140">
        <v>3</v>
      </c>
      <c r="H22" s="140">
        <v>2</v>
      </c>
      <c r="I22" s="140">
        <v>2</v>
      </c>
      <c r="J22" s="140">
        <v>40</v>
      </c>
      <c r="K22" s="140">
        <v>2</v>
      </c>
      <c r="L22" s="140">
        <v>6</v>
      </c>
      <c r="M22" s="140">
        <v>1</v>
      </c>
      <c r="N22" s="140">
        <v>2</v>
      </c>
      <c r="O22" s="140">
        <v>1</v>
      </c>
      <c r="P22" s="140">
        <v>6</v>
      </c>
      <c r="Q22" s="140">
        <v>1</v>
      </c>
      <c r="R22" s="140">
        <v>2</v>
      </c>
      <c r="S22" s="140">
        <v>3</v>
      </c>
      <c r="T22" s="140">
        <v>1</v>
      </c>
      <c r="U22" s="182">
        <v>34</v>
      </c>
    </row>
    <row r="23" spans="1:35" outlineLevel="1" x14ac:dyDescent="0.25">
      <c r="A23" s="627"/>
      <c r="B23" s="146" t="s">
        <v>1</v>
      </c>
      <c r="C23" s="137" t="s">
        <v>1</v>
      </c>
      <c r="D23" s="137" t="s">
        <v>69</v>
      </c>
      <c r="E23" s="139" t="s">
        <v>1</v>
      </c>
      <c r="F23" s="280" t="s">
        <v>1</v>
      </c>
      <c r="G23" s="137" t="s">
        <v>69</v>
      </c>
      <c r="H23" s="137" t="s">
        <v>69</v>
      </c>
      <c r="I23" s="137" t="s">
        <v>69</v>
      </c>
      <c r="J23" s="137" t="s">
        <v>69</v>
      </c>
      <c r="K23" s="142" t="s">
        <v>69</v>
      </c>
      <c r="L23" s="142" t="s">
        <v>1</v>
      </c>
      <c r="M23" s="137" t="s">
        <v>69</v>
      </c>
      <c r="N23" s="137" t="s">
        <v>69</v>
      </c>
      <c r="O23" s="137" t="s">
        <v>69</v>
      </c>
      <c r="P23" s="137" t="s">
        <v>1</v>
      </c>
      <c r="Q23" s="137" t="s">
        <v>69</v>
      </c>
      <c r="R23" s="137" t="s">
        <v>69</v>
      </c>
      <c r="S23" s="137" t="s">
        <v>69</v>
      </c>
      <c r="T23" s="137" t="s">
        <v>1</v>
      </c>
      <c r="U23" s="141" t="s">
        <v>69</v>
      </c>
    </row>
    <row r="24" spans="1:35" outlineLevel="1" x14ac:dyDescent="0.25">
      <c r="A24" s="627"/>
      <c r="B24" s="146" t="s">
        <v>0</v>
      </c>
      <c r="C24" s="137" t="s">
        <v>0</v>
      </c>
      <c r="D24" s="137" t="s">
        <v>4</v>
      </c>
      <c r="E24" s="139" t="s">
        <v>0</v>
      </c>
      <c r="F24" s="280" t="s">
        <v>0</v>
      </c>
      <c r="G24" s="137" t="s">
        <v>4</v>
      </c>
      <c r="H24" s="137" t="s">
        <v>4</v>
      </c>
      <c r="I24" s="137" t="s">
        <v>4</v>
      </c>
      <c r="J24" s="137" t="s">
        <v>0</v>
      </c>
      <c r="K24" s="142" t="s">
        <v>0</v>
      </c>
      <c r="L24" s="142" t="s">
        <v>0</v>
      </c>
      <c r="M24" s="137" t="s">
        <v>4</v>
      </c>
      <c r="N24" s="137" t="s">
        <v>0</v>
      </c>
      <c r="O24" s="137" t="s">
        <v>4</v>
      </c>
      <c r="P24" s="137" t="s">
        <v>0</v>
      </c>
      <c r="Q24" s="137" t="s">
        <v>4</v>
      </c>
      <c r="R24" s="137" t="s">
        <v>4</v>
      </c>
      <c r="S24" s="137" t="s">
        <v>4</v>
      </c>
      <c r="T24" s="137" t="s">
        <v>4</v>
      </c>
      <c r="U24" s="141" t="s">
        <v>15</v>
      </c>
    </row>
    <row r="25" spans="1:35" s="163" customFormat="1" ht="30" customHeight="1" thickBot="1" x14ac:dyDescent="0.3">
      <c r="A25" s="628"/>
      <c r="B25" s="178">
        <v>1</v>
      </c>
      <c r="C25" s="54" t="s">
        <v>544</v>
      </c>
      <c r="D25" s="161" t="s">
        <v>374</v>
      </c>
      <c r="E25" s="179" t="s">
        <v>274</v>
      </c>
      <c r="F25" s="281" t="s">
        <v>195</v>
      </c>
      <c r="G25" s="162" t="s">
        <v>9</v>
      </c>
      <c r="H25" s="162" t="s">
        <v>210</v>
      </c>
      <c r="I25" s="162" t="s">
        <v>210</v>
      </c>
      <c r="J25" s="162" t="s">
        <v>383</v>
      </c>
      <c r="K25" s="162" t="s">
        <v>379</v>
      </c>
      <c r="L25" s="55" t="s">
        <v>482</v>
      </c>
      <c r="M25" s="162" t="s">
        <v>8</v>
      </c>
      <c r="N25" s="162" t="s">
        <v>378</v>
      </c>
      <c r="O25" s="162" t="s">
        <v>8</v>
      </c>
      <c r="P25" s="161" t="s">
        <v>384</v>
      </c>
      <c r="Q25" s="162" t="s">
        <v>11</v>
      </c>
      <c r="R25" s="162" t="s">
        <v>210</v>
      </c>
      <c r="S25" s="162" t="s">
        <v>9</v>
      </c>
      <c r="T25" s="162" t="s">
        <v>8</v>
      </c>
      <c r="U25" s="177" t="s">
        <v>385</v>
      </c>
    </row>
    <row r="26" spans="1:35" ht="15.75" thickBot="1" x14ac:dyDescent="0.3">
      <c r="A26" s="2"/>
      <c r="B26" s="150" t="s">
        <v>586</v>
      </c>
      <c r="C26" s="150" t="s">
        <v>586</v>
      </c>
      <c r="D26" s="150" t="s">
        <v>586</v>
      </c>
      <c r="E26" s="150" t="s">
        <v>586</v>
      </c>
      <c r="F26" s="276" t="s">
        <v>586</v>
      </c>
      <c r="G26" s="150" t="s">
        <v>586</v>
      </c>
      <c r="H26" s="150" t="s">
        <v>586</v>
      </c>
      <c r="I26" s="150" t="s">
        <v>586</v>
      </c>
      <c r="J26" s="150" t="s">
        <v>586</v>
      </c>
      <c r="K26" s="150" t="s">
        <v>586</v>
      </c>
      <c r="L26" s="150" t="s">
        <v>586</v>
      </c>
      <c r="M26" s="150" t="s">
        <v>586</v>
      </c>
      <c r="N26" s="150" t="s">
        <v>586</v>
      </c>
      <c r="O26" s="150" t="s">
        <v>586</v>
      </c>
      <c r="P26" s="150" t="s">
        <v>586</v>
      </c>
      <c r="Q26" s="150" t="s">
        <v>586</v>
      </c>
      <c r="R26" s="150" t="s">
        <v>586</v>
      </c>
      <c r="S26" s="150" t="s">
        <v>586</v>
      </c>
      <c r="T26" s="150" t="s">
        <v>586</v>
      </c>
      <c r="U26" s="150" t="s">
        <v>586</v>
      </c>
    </row>
    <row r="27" spans="1:35" ht="100.15" customHeight="1" x14ac:dyDescent="0.25">
      <c r="A27" s="614" t="s">
        <v>359</v>
      </c>
      <c r="B27" s="147" t="s">
        <v>13</v>
      </c>
      <c r="C27" s="24" t="s">
        <v>14</v>
      </c>
      <c r="D27" s="24" t="s">
        <v>15</v>
      </c>
      <c r="E27" s="25" t="s">
        <v>16</v>
      </c>
      <c r="F27" s="282" t="s">
        <v>17</v>
      </c>
      <c r="G27" s="24" t="s">
        <v>18</v>
      </c>
      <c r="H27" s="24" t="s">
        <v>19</v>
      </c>
      <c r="I27" s="24" t="s">
        <v>20</v>
      </c>
      <c r="J27" s="24" t="s">
        <v>21</v>
      </c>
      <c r="K27" s="26" t="s">
        <v>22</v>
      </c>
      <c r="L27" s="26" t="s">
        <v>23</v>
      </c>
      <c r="M27" s="24" t="s">
        <v>24</v>
      </c>
      <c r="N27" s="24" t="s">
        <v>25</v>
      </c>
      <c r="O27" s="24" t="s">
        <v>26</v>
      </c>
      <c r="P27" s="24" t="s">
        <v>27</v>
      </c>
      <c r="Q27" s="24" t="s">
        <v>28</v>
      </c>
      <c r="R27" s="24" t="s">
        <v>29</v>
      </c>
      <c r="S27" s="24" t="s">
        <v>30</v>
      </c>
      <c r="T27" s="24" t="s">
        <v>31</v>
      </c>
      <c r="U27" s="24" t="s">
        <v>32</v>
      </c>
      <c r="V27" s="24" t="s">
        <v>33</v>
      </c>
      <c r="W27" s="24" t="s">
        <v>34</v>
      </c>
      <c r="X27" s="24" t="s">
        <v>35</v>
      </c>
      <c r="Y27" s="24" t="s">
        <v>36</v>
      </c>
      <c r="Z27" s="24" t="s">
        <v>37</v>
      </c>
      <c r="AA27" s="24" t="s">
        <v>38</v>
      </c>
      <c r="AB27" s="24" t="s">
        <v>39</v>
      </c>
      <c r="AC27" s="24" t="s">
        <v>40</v>
      </c>
      <c r="AD27" s="24" t="s">
        <v>41</v>
      </c>
      <c r="AE27" s="24" t="s">
        <v>42</v>
      </c>
      <c r="AF27" s="24" t="s">
        <v>43</v>
      </c>
      <c r="AG27" s="24" t="s">
        <v>44</v>
      </c>
      <c r="AH27" s="24" t="s">
        <v>45</v>
      </c>
      <c r="AI27" s="27" t="s">
        <v>46</v>
      </c>
    </row>
    <row r="28" spans="1:35" ht="19.899999999999999" customHeight="1" x14ac:dyDescent="0.25">
      <c r="A28" s="615"/>
      <c r="B28" s="148">
        <v>1</v>
      </c>
      <c r="C28" s="5" t="s">
        <v>47</v>
      </c>
      <c r="D28" s="4">
        <v>11</v>
      </c>
      <c r="E28" s="6" t="s">
        <v>48</v>
      </c>
      <c r="F28" s="283" t="s">
        <v>49</v>
      </c>
      <c r="G28" s="7" t="s">
        <v>50</v>
      </c>
      <c r="H28" s="7">
        <v>36</v>
      </c>
      <c r="I28" s="7">
        <v>37</v>
      </c>
      <c r="J28" s="7">
        <v>38</v>
      </c>
      <c r="K28" s="8" t="s">
        <v>51</v>
      </c>
      <c r="L28" s="8" t="s">
        <v>52</v>
      </c>
      <c r="M28" s="7">
        <v>46</v>
      </c>
      <c r="N28" s="7">
        <v>47</v>
      </c>
      <c r="O28" s="7">
        <v>48</v>
      </c>
      <c r="P28" s="7" t="s">
        <v>53</v>
      </c>
      <c r="Q28" s="7" t="s">
        <v>54</v>
      </c>
      <c r="R28" s="7" t="s">
        <v>55</v>
      </c>
      <c r="S28" s="7">
        <v>58</v>
      </c>
      <c r="T28" s="7" t="s">
        <v>56</v>
      </c>
      <c r="U28" s="7" t="s">
        <v>57</v>
      </c>
      <c r="V28" s="7" t="s">
        <v>58</v>
      </c>
      <c r="W28" s="7" t="s">
        <v>59</v>
      </c>
      <c r="X28" s="7">
        <v>79</v>
      </c>
      <c r="Y28" s="7" t="s">
        <v>60</v>
      </c>
      <c r="Z28" s="7" t="s">
        <v>61</v>
      </c>
      <c r="AA28" s="7">
        <v>95</v>
      </c>
      <c r="AB28" s="7" t="s">
        <v>62</v>
      </c>
      <c r="AC28" s="7">
        <v>102</v>
      </c>
      <c r="AD28" s="7" t="s">
        <v>63</v>
      </c>
      <c r="AE28" s="7" t="s">
        <v>64</v>
      </c>
      <c r="AF28" s="7" t="s">
        <v>65</v>
      </c>
      <c r="AG28" s="7" t="s">
        <v>66</v>
      </c>
      <c r="AH28" s="7" t="s">
        <v>67</v>
      </c>
      <c r="AI28" s="28" t="s">
        <v>68</v>
      </c>
    </row>
    <row r="29" spans="1:35" outlineLevel="1" x14ac:dyDescent="0.25">
      <c r="A29" s="615"/>
      <c r="B29" s="148">
        <v>1</v>
      </c>
      <c r="C29" s="4">
        <v>9</v>
      </c>
      <c r="D29" s="4">
        <v>1</v>
      </c>
      <c r="E29" s="9">
        <v>13</v>
      </c>
      <c r="F29" s="284">
        <v>2</v>
      </c>
      <c r="G29" s="4">
        <v>9</v>
      </c>
      <c r="H29" s="4">
        <v>1</v>
      </c>
      <c r="I29" s="4">
        <v>1</v>
      </c>
      <c r="J29" s="4">
        <v>1</v>
      </c>
      <c r="K29" s="10">
        <v>1</v>
      </c>
      <c r="L29" s="10">
        <v>6</v>
      </c>
      <c r="M29" s="4">
        <v>1</v>
      </c>
      <c r="N29" s="4">
        <v>1</v>
      </c>
      <c r="O29" s="4">
        <v>1</v>
      </c>
      <c r="P29" s="4">
        <v>2</v>
      </c>
      <c r="Q29" s="4">
        <v>3</v>
      </c>
      <c r="R29" s="4">
        <v>4</v>
      </c>
      <c r="S29" s="4">
        <v>1</v>
      </c>
      <c r="T29" s="4">
        <v>9</v>
      </c>
      <c r="U29" s="4">
        <v>6</v>
      </c>
      <c r="V29" s="4">
        <v>3</v>
      </c>
      <c r="W29" s="4">
        <v>2</v>
      </c>
      <c r="X29" s="4">
        <v>1</v>
      </c>
      <c r="Y29" s="4">
        <v>6</v>
      </c>
      <c r="Z29" s="4">
        <v>9</v>
      </c>
      <c r="AA29" s="4">
        <v>1</v>
      </c>
      <c r="AB29" s="4">
        <v>6</v>
      </c>
      <c r="AC29" s="4">
        <v>1</v>
      </c>
      <c r="AD29" s="4">
        <v>2</v>
      </c>
      <c r="AE29" s="4">
        <v>8</v>
      </c>
      <c r="AF29" s="4">
        <v>2</v>
      </c>
      <c r="AG29" s="4">
        <v>2</v>
      </c>
      <c r="AH29" s="4">
        <v>2</v>
      </c>
      <c r="AI29" s="29">
        <v>10</v>
      </c>
    </row>
    <row r="30" spans="1:35" outlineLevel="1" x14ac:dyDescent="0.25">
      <c r="A30" s="615"/>
      <c r="B30" s="148" t="s">
        <v>1</v>
      </c>
      <c r="C30" s="4" t="s">
        <v>1</v>
      </c>
      <c r="D30" s="4" t="s">
        <v>69</v>
      </c>
      <c r="E30" s="9" t="s">
        <v>69</v>
      </c>
      <c r="F30" s="284" t="s">
        <v>1</v>
      </c>
      <c r="G30" s="4" t="s">
        <v>1</v>
      </c>
      <c r="H30" s="4" t="s">
        <v>69</v>
      </c>
      <c r="I30" s="4" t="s">
        <v>69</v>
      </c>
      <c r="J30" s="4" t="s">
        <v>69</v>
      </c>
      <c r="K30" s="11" t="s">
        <v>1</v>
      </c>
      <c r="L30" s="12" t="s">
        <v>1</v>
      </c>
      <c r="M30" s="13" t="s">
        <v>69</v>
      </c>
      <c r="N30" s="4" t="s">
        <v>69</v>
      </c>
      <c r="O30" s="4" t="s">
        <v>69</v>
      </c>
      <c r="P30" s="13" t="s">
        <v>1</v>
      </c>
      <c r="Q30" s="13" t="s">
        <v>1</v>
      </c>
      <c r="R30" s="13" t="s">
        <v>1</v>
      </c>
      <c r="S30" s="4" t="s">
        <v>1</v>
      </c>
      <c r="T30" s="13" t="s">
        <v>1</v>
      </c>
      <c r="U30" s="4" t="s">
        <v>1</v>
      </c>
      <c r="V30" s="4" t="s">
        <v>69</v>
      </c>
      <c r="W30" s="13" t="s">
        <v>1</v>
      </c>
      <c r="X30" s="4" t="s">
        <v>69</v>
      </c>
      <c r="Y30" s="4" t="s">
        <v>1</v>
      </c>
      <c r="Z30" s="13" t="s">
        <v>1</v>
      </c>
      <c r="AA30" s="4" t="s">
        <v>69</v>
      </c>
      <c r="AB30" s="4" t="s">
        <v>1</v>
      </c>
      <c r="AC30" s="4" t="s">
        <v>1</v>
      </c>
      <c r="AD30" s="4" t="s">
        <v>69</v>
      </c>
      <c r="AE30" s="4" t="s">
        <v>69</v>
      </c>
      <c r="AF30" s="4" t="s">
        <v>1</v>
      </c>
      <c r="AG30" s="4" t="s">
        <v>1</v>
      </c>
      <c r="AH30" s="4" t="s">
        <v>1</v>
      </c>
      <c r="AI30" s="29" t="s">
        <v>69</v>
      </c>
    </row>
    <row r="31" spans="1:35" outlineLevel="1" x14ac:dyDescent="0.25">
      <c r="A31" s="615"/>
      <c r="B31" s="148" t="s">
        <v>0</v>
      </c>
      <c r="C31" s="4" t="s">
        <v>0</v>
      </c>
      <c r="D31" s="4" t="s">
        <v>4</v>
      </c>
      <c r="E31" s="9" t="s">
        <v>0</v>
      </c>
      <c r="F31" s="284" t="s">
        <v>0</v>
      </c>
      <c r="G31" s="4" t="s">
        <v>0</v>
      </c>
      <c r="H31" s="4" t="s">
        <v>4</v>
      </c>
      <c r="I31" s="4" t="s">
        <v>4</v>
      </c>
      <c r="J31" s="4" t="s">
        <v>4</v>
      </c>
      <c r="K31" s="12" t="s">
        <v>0</v>
      </c>
      <c r="L31" s="12" t="s">
        <v>0</v>
      </c>
      <c r="M31" s="4" t="s">
        <v>4</v>
      </c>
      <c r="N31" s="4" t="s">
        <v>4</v>
      </c>
      <c r="O31" s="4" t="s">
        <v>4</v>
      </c>
      <c r="P31" s="4" t="s">
        <v>0</v>
      </c>
      <c r="Q31" s="4" t="s">
        <v>0</v>
      </c>
      <c r="R31" s="4" t="s">
        <v>0</v>
      </c>
      <c r="S31" s="4" t="s">
        <v>0</v>
      </c>
      <c r="T31" s="4" t="s">
        <v>0</v>
      </c>
      <c r="U31" s="4" t="s">
        <v>0</v>
      </c>
      <c r="V31" s="4" t="s">
        <v>4</v>
      </c>
      <c r="W31" s="4" t="s">
        <v>4</v>
      </c>
      <c r="X31" s="4" t="s">
        <v>0</v>
      </c>
      <c r="Y31" s="4" t="s">
        <v>4</v>
      </c>
      <c r="Z31" s="4" t="s">
        <v>4</v>
      </c>
      <c r="AA31" s="4" t="s">
        <v>0</v>
      </c>
      <c r="AB31" s="4" t="s">
        <v>0</v>
      </c>
      <c r="AC31" s="4" t="s">
        <v>4</v>
      </c>
      <c r="AD31" s="4" t="s">
        <v>4</v>
      </c>
      <c r="AE31" s="4" t="s">
        <v>4</v>
      </c>
      <c r="AF31" s="4" t="s">
        <v>4</v>
      </c>
      <c r="AG31" s="4" t="s">
        <v>4</v>
      </c>
      <c r="AH31" s="4" t="s">
        <v>4</v>
      </c>
      <c r="AI31" s="29" t="s">
        <v>4</v>
      </c>
    </row>
    <row r="32" spans="1:35" s="76" customFormat="1" ht="30" customHeight="1" thickBot="1" x14ac:dyDescent="0.3">
      <c r="A32" s="616"/>
      <c r="B32" s="149">
        <v>2</v>
      </c>
      <c r="C32" s="54" t="s">
        <v>544</v>
      </c>
      <c r="D32" s="55" t="s">
        <v>8</v>
      </c>
      <c r="E32" s="55" t="s">
        <v>198</v>
      </c>
      <c r="F32" s="270">
        <v>77</v>
      </c>
      <c r="G32" s="55">
        <v>250000001</v>
      </c>
      <c r="H32" s="193" t="s">
        <v>69</v>
      </c>
      <c r="I32" s="79" t="s">
        <v>8</v>
      </c>
      <c r="J32" s="80" t="s">
        <v>8</v>
      </c>
      <c r="K32" s="81" t="s">
        <v>200</v>
      </c>
      <c r="L32" s="55" t="s">
        <v>482</v>
      </c>
      <c r="M32" s="54" t="s">
        <v>8</v>
      </c>
      <c r="N32" s="54" t="s">
        <v>8</v>
      </c>
      <c r="O32" s="54" t="s">
        <v>8</v>
      </c>
      <c r="P32" s="55" t="s">
        <v>202</v>
      </c>
      <c r="Q32" s="55" t="s">
        <v>274</v>
      </c>
      <c r="R32" s="55" t="s">
        <v>203</v>
      </c>
      <c r="S32" s="55" t="s">
        <v>204</v>
      </c>
      <c r="T32" s="55" t="s">
        <v>546</v>
      </c>
      <c r="U32" s="55" t="s">
        <v>269</v>
      </c>
      <c r="V32" s="79" t="s">
        <v>9</v>
      </c>
      <c r="W32" s="54" t="s">
        <v>764</v>
      </c>
      <c r="X32" s="199" t="s">
        <v>206</v>
      </c>
      <c r="Y32" s="55" t="s">
        <v>755</v>
      </c>
      <c r="Z32" s="55" t="s">
        <v>209</v>
      </c>
      <c r="AA32" s="55" t="s">
        <v>8</v>
      </c>
      <c r="AB32" s="55" t="s">
        <v>491</v>
      </c>
      <c r="AC32" s="55">
        <v>1</v>
      </c>
      <c r="AD32" s="79" t="s">
        <v>210</v>
      </c>
      <c r="AE32" s="79" t="s">
        <v>211</v>
      </c>
      <c r="AF32" s="55" t="s">
        <v>202</v>
      </c>
      <c r="AG32" s="54" t="s">
        <v>207</v>
      </c>
      <c r="AH32" s="54" t="s">
        <v>5</v>
      </c>
      <c r="AI32" s="82" t="s">
        <v>380</v>
      </c>
    </row>
    <row r="33" spans="1:35" s="75" customFormat="1" ht="15.75" thickBot="1" x14ac:dyDescent="0.3">
      <c r="B33" s="150" t="s">
        <v>586</v>
      </c>
      <c r="C33" s="75" t="s">
        <v>586</v>
      </c>
      <c r="D33" s="75" t="s">
        <v>586</v>
      </c>
      <c r="E33" s="75" t="s">
        <v>586</v>
      </c>
      <c r="F33" s="276" t="s">
        <v>586</v>
      </c>
      <c r="G33" s="75" t="s">
        <v>586</v>
      </c>
      <c r="H33" s="75" t="s">
        <v>586</v>
      </c>
      <c r="I33" s="75" t="s">
        <v>586</v>
      </c>
      <c r="J33" s="75" t="s">
        <v>586</v>
      </c>
      <c r="K33" s="75" t="s">
        <v>586</v>
      </c>
      <c r="L33" s="75" t="s">
        <v>586</v>
      </c>
      <c r="M33" s="75" t="s">
        <v>586</v>
      </c>
      <c r="N33" s="75" t="s">
        <v>586</v>
      </c>
      <c r="O33" s="75" t="s">
        <v>586</v>
      </c>
      <c r="P33" s="75" t="s">
        <v>586</v>
      </c>
      <c r="Q33" s="75" t="s">
        <v>586</v>
      </c>
      <c r="R33" s="75" t="s">
        <v>586</v>
      </c>
      <c r="S33" s="75" t="s">
        <v>586</v>
      </c>
      <c r="T33" s="75" t="s">
        <v>586</v>
      </c>
      <c r="U33" s="75" t="s">
        <v>586</v>
      </c>
      <c r="V33" s="75" t="s">
        <v>586</v>
      </c>
      <c r="W33" s="75" t="s">
        <v>586</v>
      </c>
      <c r="X33" s="75" t="s">
        <v>586</v>
      </c>
      <c r="Y33" s="75" t="s">
        <v>586</v>
      </c>
      <c r="Z33" s="75" t="s">
        <v>586</v>
      </c>
      <c r="AA33" s="75" t="s">
        <v>586</v>
      </c>
      <c r="AB33" s="75" t="s">
        <v>586</v>
      </c>
      <c r="AC33" s="75" t="s">
        <v>586</v>
      </c>
      <c r="AD33" s="75" t="s">
        <v>586</v>
      </c>
      <c r="AE33" s="75" t="s">
        <v>586</v>
      </c>
      <c r="AF33" s="75" t="s">
        <v>586</v>
      </c>
      <c r="AG33" s="75" t="s">
        <v>586</v>
      </c>
      <c r="AH33" s="75" t="s">
        <v>586</v>
      </c>
      <c r="AI33" s="75" t="s">
        <v>586</v>
      </c>
    </row>
    <row r="34" spans="1:35" s="75" customFormat="1" ht="100.15" customHeight="1" x14ac:dyDescent="0.25">
      <c r="A34" s="617" t="s">
        <v>447</v>
      </c>
      <c r="B34" s="238" t="s">
        <v>13</v>
      </c>
      <c r="C34" s="239" t="s">
        <v>14</v>
      </c>
      <c r="D34" s="239" t="s">
        <v>15</v>
      </c>
      <c r="E34" s="240" t="s">
        <v>16</v>
      </c>
      <c r="F34" s="285" t="s">
        <v>17</v>
      </c>
      <c r="G34" s="239" t="s">
        <v>70</v>
      </c>
      <c r="H34" s="239" t="s">
        <v>71</v>
      </c>
      <c r="I34" s="239" t="s">
        <v>429</v>
      </c>
      <c r="J34" s="241" t="s">
        <v>430</v>
      </c>
      <c r="K34" s="252" t="s">
        <v>15</v>
      </c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</row>
    <row r="35" spans="1:35" ht="19.899999999999999" customHeight="1" x14ac:dyDescent="0.25">
      <c r="A35" s="618"/>
      <c r="B35" s="242">
        <v>1</v>
      </c>
      <c r="C35" s="243" t="s">
        <v>47</v>
      </c>
      <c r="D35" s="244">
        <v>11</v>
      </c>
      <c r="E35" s="245" t="s">
        <v>48</v>
      </c>
      <c r="F35" s="286" t="s">
        <v>49</v>
      </c>
      <c r="G35" s="246" t="s">
        <v>50</v>
      </c>
      <c r="H35" s="246">
        <v>36</v>
      </c>
      <c r="I35" s="247" t="s">
        <v>443</v>
      </c>
      <c r="J35" s="248" t="s">
        <v>444</v>
      </c>
      <c r="K35" s="253" t="s">
        <v>445</v>
      </c>
    </row>
    <row r="36" spans="1:35" ht="16.149999999999999" customHeight="1" outlineLevel="1" x14ac:dyDescent="0.25">
      <c r="A36" s="618"/>
      <c r="B36" s="242">
        <v>1</v>
      </c>
      <c r="C36" s="244">
        <v>9</v>
      </c>
      <c r="D36" s="244">
        <v>1</v>
      </c>
      <c r="E36" s="249">
        <v>13</v>
      </c>
      <c r="F36" s="287">
        <v>2</v>
      </c>
      <c r="G36" s="244">
        <v>9</v>
      </c>
      <c r="H36" s="244">
        <v>1</v>
      </c>
      <c r="I36" s="244">
        <v>11</v>
      </c>
      <c r="J36" s="250">
        <v>14</v>
      </c>
      <c r="K36" s="254">
        <v>67</v>
      </c>
    </row>
    <row r="37" spans="1:35" ht="20.45" customHeight="1" outlineLevel="1" x14ac:dyDescent="0.25">
      <c r="A37" s="618"/>
      <c r="B37" s="242" t="s">
        <v>1</v>
      </c>
      <c r="C37" s="244" t="s">
        <v>1</v>
      </c>
      <c r="D37" s="244" t="s">
        <v>69</v>
      </c>
      <c r="E37" s="249" t="s">
        <v>69</v>
      </c>
      <c r="F37" s="287" t="s">
        <v>1</v>
      </c>
      <c r="G37" s="244" t="s">
        <v>1</v>
      </c>
      <c r="H37" s="244" t="s">
        <v>69</v>
      </c>
      <c r="I37" s="244" t="s">
        <v>1</v>
      </c>
      <c r="J37" s="251" t="s">
        <v>1</v>
      </c>
      <c r="K37" s="255" t="s">
        <v>69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5" ht="15.6" customHeight="1" outlineLevel="1" x14ac:dyDescent="0.25">
      <c r="A38" s="618"/>
      <c r="B38" s="242" t="s">
        <v>0</v>
      </c>
      <c r="C38" s="244" t="s">
        <v>0</v>
      </c>
      <c r="D38" s="244" t="s">
        <v>4</v>
      </c>
      <c r="E38" s="249" t="s">
        <v>0</v>
      </c>
      <c r="F38" s="287" t="s">
        <v>0</v>
      </c>
      <c r="G38" s="244" t="s">
        <v>0</v>
      </c>
      <c r="H38" s="244" t="s">
        <v>4</v>
      </c>
      <c r="I38" s="244" t="s">
        <v>4</v>
      </c>
      <c r="J38" s="251" t="s">
        <v>4</v>
      </c>
      <c r="K38" s="255" t="s">
        <v>4</v>
      </c>
      <c r="Q38" s="501" t="s">
        <v>913</v>
      </c>
    </row>
    <row r="39" spans="1:35" ht="30" customHeight="1" thickBot="1" x14ac:dyDescent="0.3">
      <c r="A39" s="619"/>
      <c r="B39" s="256" t="s">
        <v>204</v>
      </c>
      <c r="C39" s="54" t="s">
        <v>544</v>
      </c>
      <c r="D39" s="55" t="s">
        <v>8</v>
      </c>
      <c r="E39" s="54" t="s">
        <v>198</v>
      </c>
      <c r="F39" s="288">
        <v>77</v>
      </c>
      <c r="G39" s="54">
        <v>250000001</v>
      </c>
      <c r="H39" s="193" t="s">
        <v>431</v>
      </c>
      <c r="I39" s="33" t="s">
        <v>588</v>
      </c>
      <c r="J39" s="193" t="s">
        <v>432</v>
      </c>
      <c r="K39" s="226" t="s">
        <v>446</v>
      </c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 t="s">
        <v>589</v>
      </c>
      <c r="AH39" s="76"/>
      <c r="AI39" s="76"/>
    </row>
    <row r="40" spans="1:35" s="75" customFormat="1" ht="15.75" thickBot="1" x14ac:dyDescent="0.3">
      <c r="B40" s="150"/>
      <c r="F40" s="276"/>
    </row>
    <row r="41" spans="1:35" s="75" customFormat="1" ht="100.15" customHeight="1" x14ac:dyDescent="0.25">
      <c r="A41" s="620" t="s">
        <v>394</v>
      </c>
      <c r="B41" s="151" t="s">
        <v>13</v>
      </c>
      <c r="C41" s="40" t="s">
        <v>14</v>
      </c>
      <c r="D41" s="40" t="s">
        <v>15</v>
      </c>
      <c r="E41" s="41" t="s">
        <v>16</v>
      </c>
      <c r="F41" s="289" t="s">
        <v>17</v>
      </c>
      <c r="G41" s="40" t="s">
        <v>70</v>
      </c>
      <c r="H41" s="40" t="s">
        <v>71</v>
      </c>
      <c r="I41" s="40" t="s">
        <v>72</v>
      </c>
      <c r="J41" s="40" t="s">
        <v>2</v>
      </c>
      <c r="K41" s="40" t="s">
        <v>73</v>
      </c>
      <c r="L41" s="42" t="s">
        <v>466</v>
      </c>
      <c r="M41" s="42" t="s">
        <v>75</v>
      </c>
      <c r="N41" s="40" t="s">
        <v>76</v>
      </c>
      <c r="O41" s="40" t="s">
        <v>77</v>
      </c>
      <c r="P41" s="40" t="s">
        <v>467</v>
      </c>
      <c r="Q41" s="40" t="s">
        <v>468</v>
      </c>
      <c r="R41" s="40" t="s">
        <v>80</v>
      </c>
      <c r="S41" s="40" t="s">
        <v>81</v>
      </c>
      <c r="T41" s="40" t="s">
        <v>82</v>
      </c>
      <c r="U41" s="40" t="s">
        <v>83</v>
      </c>
      <c r="V41" s="40" t="s">
        <v>84</v>
      </c>
      <c r="W41" s="40" t="s">
        <v>3</v>
      </c>
      <c r="X41" s="40" t="s">
        <v>85</v>
      </c>
      <c r="Y41" s="40" t="s">
        <v>86</v>
      </c>
      <c r="Z41" s="40" t="s">
        <v>87</v>
      </c>
      <c r="AA41" s="40" t="s">
        <v>88</v>
      </c>
      <c r="AB41" s="40" t="s">
        <v>89</v>
      </c>
      <c r="AC41" s="40" t="s">
        <v>90</v>
      </c>
      <c r="AD41" s="40" t="s">
        <v>91</v>
      </c>
      <c r="AE41" s="40" t="s">
        <v>92</v>
      </c>
      <c r="AF41" s="43" t="s">
        <v>93</v>
      </c>
      <c r="AG41" s="77"/>
      <c r="AH41" s="77"/>
      <c r="AI41" s="77"/>
    </row>
    <row r="42" spans="1:35" s="75" customFormat="1" ht="19.899999999999999" customHeight="1" x14ac:dyDescent="0.25">
      <c r="A42" s="615"/>
      <c r="B42" s="152">
        <v>1</v>
      </c>
      <c r="C42" s="44" t="s">
        <v>47</v>
      </c>
      <c r="D42" s="45">
        <v>11</v>
      </c>
      <c r="E42" s="46" t="s">
        <v>48</v>
      </c>
      <c r="F42" s="290" t="s">
        <v>49</v>
      </c>
      <c r="G42" s="47" t="s">
        <v>50</v>
      </c>
      <c r="H42" s="47">
        <v>36</v>
      </c>
      <c r="I42" s="47" t="s">
        <v>94</v>
      </c>
      <c r="J42" s="47" t="s">
        <v>95</v>
      </c>
      <c r="K42" s="47" t="s">
        <v>96</v>
      </c>
      <c r="L42" s="48" t="s">
        <v>97</v>
      </c>
      <c r="M42" s="48" t="s">
        <v>98</v>
      </c>
      <c r="N42" s="47" t="s">
        <v>99</v>
      </c>
      <c r="O42" s="47">
        <v>53</v>
      </c>
      <c r="P42" s="47">
        <v>54</v>
      </c>
      <c r="Q42" s="47" t="s">
        <v>913</v>
      </c>
      <c r="R42" s="47" t="s">
        <v>100</v>
      </c>
      <c r="S42" s="47" t="s">
        <v>101</v>
      </c>
      <c r="T42" s="47" t="s">
        <v>57</v>
      </c>
      <c r="U42" s="47" t="s">
        <v>102</v>
      </c>
      <c r="V42" s="47" t="s">
        <v>103</v>
      </c>
      <c r="W42" s="47" t="s">
        <v>104</v>
      </c>
      <c r="X42" s="47" t="s">
        <v>105</v>
      </c>
      <c r="Y42" s="47" t="s">
        <v>106</v>
      </c>
      <c r="Z42" s="47" t="s">
        <v>107</v>
      </c>
      <c r="AA42" s="47" t="s">
        <v>108</v>
      </c>
      <c r="AB42" s="45" t="s">
        <v>109</v>
      </c>
      <c r="AC42" s="47" t="s">
        <v>110</v>
      </c>
      <c r="AD42" s="45">
        <v>120</v>
      </c>
      <c r="AE42" s="45">
        <v>121</v>
      </c>
      <c r="AF42" s="49" t="s">
        <v>111</v>
      </c>
      <c r="AG42" s="77"/>
      <c r="AH42" s="77"/>
      <c r="AI42" s="77"/>
    </row>
    <row r="43" spans="1:35" s="75" customFormat="1" outlineLevel="1" x14ac:dyDescent="0.25">
      <c r="A43" s="615"/>
      <c r="B43" s="152">
        <v>1</v>
      </c>
      <c r="C43" s="45">
        <v>9</v>
      </c>
      <c r="D43" s="45">
        <v>1</v>
      </c>
      <c r="E43" s="50">
        <v>13</v>
      </c>
      <c r="F43" s="291">
        <v>2</v>
      </c>
      <c r="G43" s="45">
        <v>9</v>
      </c>
      <c r="H43" s="45">
        <v>1</v>
      </c>
      <c r="I43" s="45">
        <v>2</v>
      </c>
      <c r="J43" s="45">
        <v>2</v>
      </c>
      <c r="K43" s="45">
        <v>3</v>
      </c>
      <c r="L43" s="51">
        <v>6</v>
      </c>
      <c r="M43" s="51">
        <v>1</v>
      </c>
      <c r="N43" s="45">
        <v>2</v>
      </c>
      <c r="O43" s="45">
        <v>1</v>
      </c>
      <c r="P43" s="45">
        <v>1</v>
      </c>
      <c r="Q43" s="45">
        <v>9</v>
      </c>
      <c r="R43" s="45">
        <v>2</v>
      </c>
      <c r="S43" s="45">
        <v>2</v>
      </c>
      <c r="T43" s="45">
        <v>6</v>
      </c>
      <c r="U43" s="45">
        <v>5</v>
      </c>
      <c r="V43" s="45">
        <v>2</v>
      </c>
      <c r="W43" s="45">
        <v>6</v>
      </c>
      <c r="X43" s="45">
        <v>2</v>
      </c>
      <c r="Y43" s="45">
        <v>7</v>
      </c>
      <c r="Z43" s="45">
        <v>7</v>
      </c>
      <c r="AA43" s="45">
        <v>3</v>
      </c>
      <c r="AB43" s="45">
        <v>7</v>
      </c>
      <c r="AC43" s="45">
        <v>7</v>
      </c>
      <c r="AD43" s="45">
        <v>1</v>
      </c>
      <c r="AE43" s="45">
        <v>1</v>
      </c>
      <c r="AF43" s="49">
        <v>7</v>
      </c>
      <c r="AG43" s="77"/>
      <c r="AH43" s="77"/>
      <c r="AI43" s="77"/>
    </row>
    <row r="44" spans="1:35" s="75" customFormat="1" outlineLevel="1" x14ac:dyDescent="0.25">
      <c r="A44" s="615"/>
      <c r="B44" s="152" t="s">
        <v>1</v>
      </c>
      <c r="C44" s="45" t="s">
        <v>1</v>
      </c>
      <c r="D44" s="45" t="s">
        <v>69</v>
      </c>
      <c r="E44" s="50" t="s">
        <v>69</v>
      </c>
      <c r="F44" s="291" t="s">
        <v>1</v>
      </c>
      <c r="G44" s="45" t="s">
        <v>1</v>
      </c>
      <c r="H44" s="45" t="s">
        <v>69</v>
      </c>
      <c r="I44" s="45" t="s">
        <v>1</v>
      </c>
      <c r="J44" s="45" t="s">
        <v>1</v>
      </c>
      <c r="K44" s="45" t="s">
        <v>1</v>
      </c>
      <c r="L44" s="52" t="s">
        <v>1</v>
      </c>
      <c r="M44" s="52" t="s">
        <v>1</v>
      </c>
      <c r="N44" s="45" t="s">
        <v>69</v>
      </c>
      <c r="O44" s="45" t="s">
        <v>69</v>
      </c>
      <c r="P44" s="53" t="s">
        <v>69</v>
      </c>
      <c r="Q44" s="45" t="s">
        <v>1</v>
      </c>
      <c r="R44" s="45" t="s">
        <v>1</v>
      </c>
      <c r="S44" s="45" t="s">
        <v>1</v>
      </c>
      <c r="T44" s="45" t="s">
        <v>1</v>
      </c>
      <c r="U44" s="45" t="s">
        <v>69</v>
      </c>
      <c r="V44" s="45" t="s">
        <v>1</v>
      </c>
      <c r="W44" s="45" t="s">
        <v>1</v>
      </c>
      <c r="X44" s="45" t="s">
        <v>1</v>
      </c>
      <c r="Y44" s="45" t="s">
        <v>1</v>
      </c>
      <c r="Z44" s="45" t="s">
        <v>1</v>
      </c>
      <c r="AA44" s="45" t="s">
        <v>1</v>
      </c>
      <c r="AB44" s="45" t="s">
        <v>1</v>
      </c>
      <c r="AC44" s="45" t="s">
        <v>1</v>
      </c>
      <c r="AD44" s="45" t="s">
        <v>69</v>
      </c>
      <c r="AE44" s="45" t="s">
        <v>1</v>
      </c>
      <c r="AF44" s="49" t="s">
        <v>1</v>
      </c>
      <c r="AG44" s="2"/>
      <c r="AH44" s="77"/>
      <c r="AI44" s="77"/>
    </row>
    <row r="45" spans="1:35" s="75" customFormat="1" outlineLevel="1" x14ac:dyDescent="0.25">
      <c r="A45" s="615"/>
      <c r="B45" s="152" t="s">
        <v>0</v>
      </c>
      <c r="C45" s="45" t="s">
        <v>0</v>
      </c>
      <c r="D45" s="45" t="s">
        <v>4</v>
      </c>
      <c r="E45" s="50" t="s">
        <v>0</v>
      </c>
      <c r="F45" s="291" t="s">
        <v>0</v>
      </c>
      <c r="G45" s="45" t="s">
        <v>0</v>
      </c>
      <c r="H45" s="45" t="s">
        <v>4</v>
      </c>
      <c r="I45" s="45" t="s">
        <v>4</v>
      </c>
      <c r="J45" s="45" t="s">
        <v>4</v>
      </c>
      <c r="K45" s="45" t="s">
        <v>4</v>
      </c>
      <c r="L45" s="52" t="s">
        <v>4</v>
      </c>
      <c r="M45" s="52" t="s">
        <v>0</v>
      </c>
      <c r="N45" s="45" t="s">
        <v>4</v>
      </c>
      <c r="O45" s="45" t="s">
        <v>4</v>
      </c>
      <c r="P45" s="45" t="s">
        <v>4</v>
      </c>
      <c r="Q45" s="45" t="s">
        <v>4</v>
      </c>
      <c r="R45" s="45" t="s">
        <v>4</v>
      </c>
      <c r="S45" s="45" t="s">
        <v>112</v>
      </c>
      <c r="T45" s="45" t="s">
        <v>0</v>
      </c>
      <c r="U45" s="45" t="s">
        <v>0</v>
      </c>
      <c r="V45" s="45" t="s">
        <v>0</v>
      </c>
      <c r="W45" s="45" t="s">
        <v>0</v>
      </c>
      <c r="X45" s="45" t="s">
        <v>0</v>
      </c>
      <c r="Y45" s="45" t="s">
        <v>0</v>
      </c>
      <c r="Z45" s="45" t="s">
        <v>0</v>
      </c>
      <c r="AA45" s="45" t="s">
        <v>0</v>
      </c>
      <c r="AB45" s="45" t="s">
        <v>0</v>
      </c>
      <c r="AC45" s="45" t="s">
        <v>0</v>
      </c>
      <c r="AD45" s="45" t="s">
        <v>4</v>
      </c>
      <c r="AE45" s="45" t="s">
        <v>4</v>
      </c>
      <c r="AF45" s="49" t="s">
        <v>4</v>
      </c>
      <c r="AG45" s="77"/>
      <c r="AH45" s="77"/>
      <c r="AI45" s="77"/>
    </row>
    <row r="46" spans="1:35" s="75" customFormat="1" ht="30" customHeight="1" thickBot="1" x14ac:dyDescent="0.3">
      <c r="A46" s="616"/>
      <c r="B46" s="149" t="s">
        <v>10</v>
      </c>
      <c r="C46" s="54" t="s">
        <v>544</v>
      </c>
      <c r="D46" s="55" t="s">
        <v>8</v>
      </c>
      <c r="E46" s="54" t="s">
        <v>198</v>
      </c>
      <c r="F46" s="288">
        <v>77</v>
      </c>
      <c r="G46" s="54">
        <v>250000001</v>
      </c>
      <c r="H46" s="55" t="s">
        <v>69</v>
      </c>
      <c r="I46" s="193" t="s">
        <v>5</v>
      </c>
      <c r="J46" s="55" t="s">
        <v>5</v>
      </c>
      <c r="K46" s="55" t="s">
        <v>6</v>
      </c>
      <c r="L46" s="55" t="s">
        <v>208</v>
      </c>
      <c r="M46" s="193" t="s">
        <v>397</v>
      </c>
      <c r="N46" s="55" t="s">
        <v>210</v>
      </c>
      <c r="O46" s="55" t="s">
        <v>8</v>
      </c>
      <c r="P46" s="55" t="s">
        <v>8</v>
      </c>
      <c r="Q46" s="54" t="s">
        <v>544</v>
      </c>
      <c r="R46" s="55" t="s">
        <v>5</v>
      </c>
      <c r="S46" s="55" t="s">
        <v>5</v>
      </c>
      <c r="T46" s="193" t="s">
        <v>756</v>
      </c>
      <c r="U46" s="228" t="s">
        <v>278</v>
      </c>
      <c r="V46" s="193" t="s">
        <v>202</v>
      </c>
      <c r="W46" s="33" t="s">
        <v>590</v>
      </c>
      <c r="X46" s="33" t="s">
        <v>207</v>
      </c>
      <c r="Y46" s="194" t="s">
        <v>765</v>
      </c>
      <c r="Z46" s="194" t="s">
        <v>765</v>
      </c>
      <c r="AA46" s="194" t="s">
        <v>766</v>
      </c>
      <c r="AB46" s="194" t="s">
        <v>765</v>
      </c>
      <c r="AC46" s="194" t="s">
        <v>765</v>
      </c>
      <c r="AD46" s="193" t="s">
        <v>8</v>
      </c>
      <c r="AE46" s="193" t="s">
        <v>200</v>
      </c>
      <c r="AF46" s="195" t="s">
        <v>212</v>
      </c>
      <c r="AG46" s="188" t="s">
        <v>589</v>
      </c>
      <c r="AH46" s="76"/>
      <c r="AI46" s="76"/>
    </row>
    <row r="47" spans="1:35" s="75" customFormat="1" ht="15.75" thickBot="1" x14ac:dyDescent="0.3">
      <c r="B47" s="150" t="s">
        <v>586</v>
      </c>
      <c r="C47" s="75" t="s">
        <v>586</v>
      </c>
      <c r="D47" s="75" t="s">
        <v>586</v>
      </c>
      <c r="E47" s="75" t="s">
        <v>586</v>
      </c>
      <c r="F47" s="276" t="s">
        <v>586</v>
      </c>
      <c r="G47" s="75" t="s">
        <v>586</v>
      </c>
      <c r="H47" s="75" t="s">
        <v>586</v>
      </c>
      <c r="I47" s="75" t="s">
        <v>586</v>
      </c>
      <c r="J47" s="75" t="s">
        <v>586</v>
      </c>
      <c r="K47" s="75" t="s">
        <v>586</v>
      </c>
      <c r="L47" s="75" t="s">
        <v>586</v>
      </c>
      <c r="M47" s="75" t="s">
        <v>586</v>
      </c>
      <c r="N47" s="75" t="s">
        <v>586</v>
      </c>
      <c r="O47" s="75" t="s">
        <v>586</v>
      </c>
      <c r="P47" s="75" t="s">
        <v>586</v>
      </c>
      <c r="Q47" s="75" t="s">
        <v>586</v>
      </c>
      <c r="R47" s="75" t="s">
        <v>586</v>
      </c>
      <c r="S47" s="75" t="s">
        <v>586</v>
      </c>
      <c r="T47" s="75" t="s">
        <v>586</v>
      </c>
      <c r="U47" s="75" t="s">
        <v>586</v>
      </c>
      <c r="V47" s="75" t="s">
        <v>586</v>
      </c>
      <c r="W47" s="75" t="s">
        <v>586</v>
      </c>
      <c r="X47" s="75" t="s">
        <v>586</v>
      </c>
      <c r="Y47" s="75" t="s">
        <v>586</v>
      </c>
      <c r="Z47" s="75" t="s">
        <v>586</v>
      </c>
      <c r="AA47" s="75" t="s">
        <v>586</v>
      </c>
      <c r="AB47" s="75" t="s">
        <v>586</v>
      </c>
      <c r="AC47" s="75" t="s">
        <v>586</v>
      </c>
      <c r="AD47" s="75" t="s">
        <v>586</v>
      </c>
      <c r="AE47" s="75" t="s">
        <v>586</v>
      </c>
      <c r="AF47" s="75" t="s">
        <v>586</v>
      </c>
    </row>
    <row r="48" spans="1:35" ht="100.15" customHeight="1" x14ac:dyDescent="0.25">
      <c r="A48" s="621" t="s">
        <v>190</v>
      </c>
      <c r="B48" s="153" t="s">
        <v>13</v>
      </c>
      <c r="C48" s="17" t="s">
        <v>14</v>
      </c>
      <c r="D48" s="17" t="s">
        <v>15</v>
      </c>
      <c r="E48" s="18" t="s">
        <v>16</v>
      </c>
      <c r="F48" s="292" t="s">
        <v>17</v>
      </c>
      <c r="G48" s="17" t="s">
        <v>70</v>
      </c>
      <c r="H48" s="17" t="s">
        <v>113</v>
      </c>
      <c r="I48" s="17" t="s">
        <v>72</v>
      </c>
      <c r="J48" s="17" t="s">
        <v>114</v>
      </c>
      <c r="K48" s="17" t="s">
        <v>115</v>
      </c>
      <c r="L48" s="17" t="s">
        <v>116</v>
      </c>
      <c r="M48" s="17" t="s">
        <v>117</v>
      </c>
      <c r="N48" s="17" t="s">
        <v>114</v>
      </c>
      <c r="O48" s="17" t="s">
        <v>118</v>
      </c>
      <c r="P48" s="17" t="s">
        <v>119</v>
      </c>
      <c r="Q48" s="17" t="s">
        <v>120</v>
      </c>
      <c r="R48" s="17" t="s">
        <v>121</v>
      </c>
      <c r="S48" s="17" t="s">
        <v>122</v>
      </c>
      <c r="T48" s="17" t="s">
        <v>123</v>
      </c>
      <c r="U48" s="17" t="s">
        <v>124</v>
      </c>
      <c r="V48" s="17" t="s">
        <v>125</v>
      </c>
      <c r="W48" s="17" t="s">
        <v>126</v>
      </c>
      <c r="X48" s="17" t="s">
        <v>125</v>
      </c>
      <c r="Y48" s="17" t="s">
        <v>127</v>
      </c>
      <c r="Z48" s="17" t="s">
        <v>125</v>
      </c>
      <c r="AA48" s="17" t="s">
        <v>128</v>
      </c>
      <c r="AB48" s="17" t="s">
        <v>7</v>
      </c>
      <c r="AC48" s="17" t="s">
        <v>129</v>
      </c>
      <c r="AD48" s="17" t="s">
        <v>130</v>
      </c>
      <c r="AE48" s="17" t="s">
        <v>129</v>
      </c>
      <c r="AF48" s="17" t="s">
        <v>131</v>
      </c>
      <c r="AG48" s="17" t="s">
        <v>132</v>
      </c>
      <c r="AH48" s="19" t="s">
        <v>114</v>
      </c>
    </row>
    <row r="49" spans="1:34" ht="19.899999999999999" customHeight="1" x14ac:dyDescent="0.25">
      <c r="A49" s="615"/>
      <c r="B49" s="154">
        <v>1</v>
      </c>
      <c r="C49" s="83" t="s">
        <v>47</v>
      </c>
      <c r="D49" s="14" t="s">
        <v>133</v>
      </c>
      <c r="E49" s="84" t="s">
        <v>48</v>
      </c>
      <c r="F49" s="293" t="s">
        <v>49</v>
      </c>
      <c r="G49" s="14" t="s">
        <v>50</v>
      </c>
      <c r="H49" s="14">
        <v>36</v>
      </c>
      <c r="I49" s="14" t="s">
        <v>94</v>
      </c>
      <c r="J49" s="14" t="s">
        <v>134</v>
      </c>
      <c r="K49" s="14">
        <v>46</v>
      </c>
      <c r="L49" s="14">
        <v>47</v>
      </c>
      <c r="M49" s="14">
        <v>48</v>
      </c>
      <c r="N49" s="14" t="s">
        <v>135</v>
      </c>
      <c r="O49" s="14">
        <v>50</v>
      </c>
      <c r="P49" s="14" t="s">
        <v>136</v>
      </c>
      <c r="Q49" s="14" t="s">
        <v>137</v>
      </c>
      <c r="R49" s="14" t="s">
        <v>138</v>
      </c>
      <c r="S49" s="14" t="s">
        <v>139</v>
      </c>
      <c r="T49" s="14" t="s">
        <v>140</v>
      </c>
      <c r="U49" s="14" t="s">
        <v>141</v>
      </c>
      <c r="V49" s="14" t="s">
        <v>142</v>
      </c>
      <c r="W49" s="14" t="s">
        <v>143</v>
      </c>
      <c r="X49" s="14" t="s">
        <v>144</v>
      </c>
      <c r="Y49" s="14" t="s">
        <v>145</v>
      </c>
      <c r="Z49" s="14" t="s">
        <v>146</v>
      </c>
      <c r="AA49" s="14">
        <v>93</v>
      </c>
      <c r="AB49" s="14" t="s">
        <v>147</v>
      </c>
      <c r="AC49" s="14" t="s">
        <v>62</v>
      </c>
      <c r="AD49" s="14" t="s">
        <v>148</v>
      </c>
      <c r="AE49" s="14" t="s">
        <v>149</v>
      </c>
      <c r="AF49" s="14" t="s">
        <v>150</v>
      </c>
      <c r="AG49" s="14" t="s">
        <v>151</v>
      </c>
      <c r="AH49" s="85" t="s">
        <v>152</v>
      </c>
    </row>
    <row r="50" spans="1:34" ht="30" customHeight="1" outlineLevel="1" x14ac:dyDescent="0.25">
      <c r="A50" s="615"/>
      <c r="B50" s="154">
        <v>1</v>
      </c>
      <c r="C50" s="15">
        <v>9</v>
      </c>
      <c r="D50" s="15">
        <v>1</v>
      </c>
      <c r="E50" s="86">
        <v>13</v>
      </c>
      <c r="F50" s="294">
        <v>2</v>
      </c>
      <c r="G50" s="15">
        <v>9</v>
      </c>
      <c r="H50" s="15">
        <v>1</v>
      </c>
      <c r="I50" s="15">
        <v>2</v>
      </c>
      <c r="J50" s="15">
        <v>7</v>
      </c>
      <c r="K50" s="15">
        <v>1</v>
      </c>
      <c r="L50" s="15">
        <v>1</v>
      </c>
      <c r="M50" s="15">
        <v>1</v>
      </c>
      <c r="N50" s="15">
        <v>1</v>
      </c>
      <c r="O50" s="15">
        <v>1</v>
      </c>
      <c r="P50" s="15">
        <v>6</v>
      </c>
      <c r="Q50" s="15">
        <v>2</v>
      </c>
      <c r="R50" s="15">
        <v>2</v>
      </c>
      <c r="S50" s="15">
        <v>2</v>
      </c>
      <c r="T50" s="15">
        <v>6</v>
      </c>
      <c r="U50" s="15">
        <v>4</v>
      </c>
      <c r="V50" s="15">
        <v>4</v>
      </c>
      <c r="W50" s="15">
        <v>4</v>
      </c>
      <c r="X50" s="15">
        <v>4</v>
      </c>
      <c r="Y50" s="15">
        <v>4</v>
      </c>
      <c r="Z50" s="15">
        <v>4</v>
      </c>
      <c r="AA50" s="15">
        <v>1</v>
      </c>
      <c r="AB50" s="15">
        <v>2</v>
      </c>
      <c r="AC50" s="15">
        <v>6</v>
      </c>
      <c r="AD50" s="15">
        <v>2</v>
      </c>
      <c r="AE50" s="15">
        <v>6</v>
      </c>
      <c r="AF50" s="15">
        <v>7</v>
      </c>
      <c r="AG50" s="15">
        <v>7</v>
      </c>
      <c r="AH50" s="87">
        <v>5</v>
      </c>
    </row>
    <row r="51" spans="1:34" ht="30" customHeight="1" outlineLevel="1" x14ac:dyDescent="0.25">
      <c r="A51" s="615"/>
      <c r="B51" s="154" t="s">
        <v>1</v>
      </c>
      <c r="C51" s="15" t="s">
        <v>1</v>
      </c>
      <c r="D51" s="15" t="s">
        <v>69</v>
      </c>
      <c r="E51" s="86" t="s">
        <v>69</v>
      </c>
      <c r="F51" s="294" t="s">
        <v>1</v>
      </c>
      <c r="G51" s="15" t="s">
        <v>1</v>
      </c>
      <c r="H51" s="15" t="s">
        <v>69</v>
      </c>
      <c r="I51" s="15" t="s">
        <v>1</v>
      </c>
      <c r="J51" s="15" t="s">
        <v>69</v>
      </c>
      <c r="K51" s="15" t="s">
        <v>1</v>
      </c>
      <c r="L51" s="15" t="s">
        <v>1</v>
      </c>
      <c r="M51" s="15" t="s">
        <v>1</v>
      </c>
      <c r="N51" s="15" t="s">
        <v>69</v>
      </c>
      <c r="O51" s="15" t="s">
        <v>1</v>
      </c>
      <c r="P51" s="15" t="s">
        <v>1</v>
      </c>
      <c r="Q51" s="15" t="s">
        <v>1</v>
      </c>
      <c r="R51" s="15" t="s">
        <v>1</v>
      </c>
      <c r="S51" s="15" t="s">
        <v>1</v>
      </c>
      <c r="T51" s="15" t="s">
        <v>1</v>
      </c>
      <c r="U51" s="15" t="s">
        <v>1</v>
      </c>
      <c r="V51" s="15" t="s">
        <v>1</v>
      </c>
      <c r="W51" s="15" t="s">
        <v>1</v>
      </c>
      <c r="X51" s="15" t="s">
        <v>1</v>
      </c>
      <c r="Y51" s="15" t="s">
        <v>1</v>
      </c>
      <c r="Z51" s="15" t="s">
        <v>1</v>
      </c>
      <c r="AA51" s="15" t="s">
        <v>1</v>
      </c>
      <c r="AB51" s="15" t="s">
        <v>1</v>
      </c>
      <c r="AC51" s="15" t="s">
        <v>1</v>
      </c>
      <c r="AD51" s="15" t="s">
        <v>1</v>
      </c>
      <c r="AE51" s="15" t="s">
        <v>1</v>
      </c>
      <c r="AF51" s="15" t="s">
        <v>1</v>
      </c>
      <c r="AG51" s="15" t="s">
        <v>1</v>
      </c>
      <c r="AH51" s="225" t="s">
        <v>69</v>
      </c>
    </row>
    <row r="52" spans="1:34" ht="30" customHeight="1" outlineLevel="1" x14ac:dyDescent="0.25">
      <c r="A52" s="615"/>
      <c r="B52" s="154" t="s">
        <v>0</v>
      </c>
      <c r="C52" s="15" t="s">
        <v>0</v>
      </c>
      <c r="D52" s="15" t="s">
        <v>4</v>
      </c>
      <c r="E52" s="86" t="s">
        <v>0</v>
      </c>
      <c r="F52" s="294" t="s">
        <v>0</v>
      </c>
      <c r="G52" s="15" t="s">
        <v>0</v>
      </c>
      <c r="H52" s="15" t="s">
        <v>0</v>
      </c>
      <c r="I52" s="15" t="s">
        <v>4</v>
      </c>
      <c r="J52" s="15" t="s">
        <v>4</v>
      </c>
      <c r="K52" s="15" t="s">
        <v>0</v>
      </c>
      <c r="L52" s="15" t="s">
        <v>0</v>
      </c>
      <c r="M52" s="15" t="s">
        <v>0</v>
      </c>
      <c r="N52" s="15" t="s">
        <v>4</v>
      </c>
      <c r="O52" s="15" t="s">
        <v>0</v>
      </c>
      <c r="P52" s="15" t="s">
        <v>4</v>
      </c>
      <c r="Q52" s="15" t="s">
        <v>4</v>
      </c>
      <c r="R52" s="15" t="s">
        <v>4</v>
      </c>
      <c r="S52" s="15" t="s">
        <v>4</v>
      </c>
      <c r="T52" s="15" t="s">
        <v>4</v>
      </c>
      <c r="U52" s="15" t="s">
        <v>4</v>
      </c>
      <c r="V52" s="15" t="s">
        <v>4</v>
      </c>
      <c r="W52" s="15" t="s">
        <v>4</v>
      </c>
      <c r="X52" s="15" t="s">
        <v>4</v>
      </c>
      <c r="Y52" s="88" t="s">
        <v>4</v>
      </c>
      <c r="Z52" s="15" t="s">
        <v>4</v>
      </c>
      <c r="AA52" s="15" t="s">
        <v>4</v>
      </c>
      <c r="AB52" s="15" t="s">
        <v>4</v>
      </c>
      <c r="AC52" s="15" t="s">
        <v>4</v>
      </c>
      <c r="AD52" s="15" t="s">
        <v>4</v>
      </c>
      <c r="AE52" s="15" t="s">
        <v>4</v>
      </c>
      <c r="AF52" s="15" t="s">
        <v>4</v>
      </c>
      <c r="AG52" s="15" t="s">
        <v>4</v>
      </c>
      <c r="AH52" s="225" t="s">
        <v>4</v>
      </c>
    </row>
    <row r="53" spans="1:34" s="76" customFormat="1" ht="30" customHeight="1" thickBot="1" x14ac:dyDescent="0.3">
      <c r="A53" s="616"/>
      <c r="B53" s="149" t="s">
        <v>10</v>
      </c>
      <c r="C53" s="54" t="s">
        <v>544</v>
      </c>
      <c r="D53" s="55" t="s">
        <v>8</v>
      </c>
      <c r="E53" s="54" t="s">
        <v>198</v>
      </c>
      <c r="F53" s="288">
        <v>77</v>
      </c>
      <c r="G53" s="54">
        <v>250000001</v>
      </c>
      <c r="H53" s="55" t="s">
        <v>201</v>
      </c>
      <c r="I53" s="54" t="s">
        <v>202</v>
      </c>
      <c r="J53" s="55" t="s">
        <v>213</v>
      </c>
      <c r="K53" s="55" t="s">
        <v>206</v>
      </c>
      <c r="L53" s="55" t="s">
        <v>206</v>
      </c>
      <c r="M53" s="55" t="s">
        <v>206</v>
      </c>
      <c r="N53" s="55" t="s">
        <v>8</v>
      </c>
      <c r="O53" s="55" t="s">
        <v>206</v>
      </c>
      <c r="P53" s="55" t="s">
        <v>208</v>
      </c>
      <c r="Q53" s="55" t="s">
        <v>5</v>
      </c>
      <c r="R53" s="55" t="s">
        <v>5</v>
      </c>
      <c r="S53" s="55" t="s">
        <v>5</v>
      </c>
      <c r="T53" s="55" t="s">
        <v>208</v>
      </c>
      <c r="U53" s="55" t="s">
        <v>203</v>
      </c>
      <c r="V53" s="55" t="s">
        <v>203</v>
      </c>
      <c r="W53" s="55" t="s">
        <v>203</v>
      </c>
      <c r="X53" s="55" t="s">
        <v>203</v>
      </c>
      <c r="Y53" s="55" t="s">
        <v>203</v>
      </c>
      <c r="Z53" s="55" t="s">
        <v>203</v>
      </c>
      <c r="AA53" s="55" t="s">
        <v>206</v>
      </c>
      <c r="AB53" s="55" t="s">
        <v>5</v>
      </c>
      <c r="AC53" s="55" t="s">
        <v>208</v>
      </c>
      <c r="AD53" s="55" t="s">
        <v>5</v>
      </c>
      <c r="AE53" s="55" t="s">
        <v>208</v>
      </c>
      <c r="AF53" s="55" t="s">
        <v>212</v>
      </c>
      <c r="AG53" s="55" t="s">
        <v>212</v>
      </c>
      <c r="AH53" s="226" t="s">
        <v>428</v>
      </c>
    </row>
    <row r="54" spans="1:34" s="75" customFormat="1" ht="15.75" outlineLevel="1" thickBot="1" x14ac:dyDescent="0.3">
      <c r="B54" s="150" t="s">
        <v>586</v>
      </c>
      <c r="C54" s="75" t="s">
        <v>586</v>
      </c>
      <c r="D54" s="75" t="s">
        <v>586</v>
      </c>
      <c r="E54" s="75" t="s">
        <v>586</v>
      </c>
      <c r="F54" s="276" t="s">
        <v>586</v>
      </c>
      <c r="G54" s="75" t="s">
        <v>586</v>
      </c>
      <c r="H54" s="75" t="s">
        <v>586</v>
      </c>
      <c r="I54" s="75" t="s">
        <v>586</v>
      </c>
      <c r="J54" s="75" t="s">
        <v>586</v>
      </c>
      <c r="K54" s="75" t="s">
        <v>586</v>
      </c>
      <c r="L54" s="75" t="s">
        <v>586</v>
      </c>
      <c r="M54" s="75" t="s">
        <v>586</v>
      </c>
      <c r="N54" s="75" t="s">
        <v>586</v>
      </c>
      <c r="O54" s="75" t="s">
        <v>586</v>
      </c>
      <c r="P54" s="75" t="s">
        <v>586</v>
      </c>
      <c r="Q54" s="75" t="s">
        <v>586</v>
      </c>
      <c r="R54" s="75" t="s">
        <v>586</v>
      </c>
      <c r="S54" s="75" t="s">
        <v>586</v>
      </c>
      <c r="T54" s="75" t="s">
        <v>586</v>
      </c>
      <c r="U54" s="75" t="s">
        <v>586</v>
      </c>
      <c r="V54" s="75" t="s">
        <v>586</v>
      </c>
      <c r="W54" s="75" t="s">
        <v>586</v>
      </c>
      <c r="X54" s="75" t="s">
        <v>586</v>
      </c>
      <c r="Y54" s="75" t="s">
        <v>586</v>
      </c>
      <c r="Z54" s="75" t="s">
        <v>586</v>
      </c>
      <c r="AA54" s="75" t="s">
        <v>586</v>
      </c>
      <c r="AB54" s="75" t="s">
        <v>586</v>
      </c>
      <c r="AC54" s="75" t="s">
        <v>586</v>
      </c>
      <c r="AD54" s="75" t="s">
        <v>586</v>
      </c>
      <c r="AE54" s="75" t="s">
        <v>586</v>
      </c>
      <c r="AF54" s="75" t="s">
        <v>586</v>
      </c>
      <c r="AG54" s="75" t="s">
        <v>586</v>
      </c>
      <c r="AH54" s="75" t="s">
        <v>586</v>
      </c>
    </row>
    <row r="55" spans="1:34" ht="99.95" customHeight="1" x14ac:dyDescent="0.25">
      <c r="A55" s="622" t="s">
        <v>191</v>
      </c>
      <c r="B55" s="155" t="s">
        <v>13</v>
      </c>
      <c r="C55" s="20" t="s">
        <v>14</v>
      </c>
      <c r="D55" s="20" t="s">
        <v>15</v>
      </c>
      <c r="E55" s="21" t="s">
        <v>16</v>
      </c>
      <c r="F55" s="295" t="s">
        <v>17</v>
      </c>
      <c r="G55" s="20" t="s">
        <v>70</v>
      </c>
      <c r="H55" s="20" t="s">
        <v>113</v>
      </c>
      <c r="I55" s="20" t="s">
        <v>72</v>
      </c>
      <c r="J55" s="20" t="s">
        <v>153</v>
      </c>
      <c r="K55" s="20" t="s">
        <v>154</v>
      </c>
      <c r="L55" s="20" t="s">
        <v>155</v>
      </c>
      <c r="M55" s="20" t="s">
        <v>156</v>
      </c>
      <c r="N55" s="20" t="s">
        <v>157</v>
      </c>
      <c r="O55" s="20" t="s">
        <v>158</v>
      </c>
      <c r="P55" s="20" t="s">
        <v>159</v>
      </c>
      <c r="Q55" s="20" t="s">
        <v>160</v>
      </c>
      <c r="R55" s="20" t="s">
        <v>161</v>
      </c>
      <c r="S55" s="20" t="s">
        <v>162</v>
      </c>
      <c r="T55" s="20" t="s">
        <v>163</v>
      </c>
      <c r="U55" s="20" t="s">
        <v>164</v>
      </c>
      <c r="V55" s="20" t="s">
        <v>165</v>
      </c>
      <c r="W55" s="20" t="s">
        <v>166</v>
      </c>
      <c r="X55" s="20" t="s">
        <v>167</v>
      </c>
      <c r="Y55" s="20" t="s">
        <v>168</v>
      </c>
      <c r="Z55" s="20" t="s">
        <v>169</v>
      </c>
      <c r="AA55" s="20" t="s">
        <v>170</v>
      </c>
      <c r="AB55" s="20" t="s">
        <v>171</v>
      </c>
      <c r="AC55" s="20" t="s">
        <v>172</v>
      </c>
      <c r="AD55" s="22" t="s">
        <v>114</v>
      </c>
      <c r="AE55" s="189"/>
      <c r="AF55" s="189"/>
    </row>
    <row r="56" spans="1:34" ht="19.899999999999999" customHeight="1" x14ac:dyDescent="0.25">
      <c r="A56" s="615"/>
      <c r="B56" s="156">
        <v>1</v>
      </c>
      <c r="C56" s="90" t="s">
        <v>47</v>
      </c>
      <c r="D56" s="16">
        <v>11</v>
      </c>
      <c r="E56" s="91" t="s">
        <v>48</v>
      </c>
      <c r="F56" s="296" t="s">
        <v>49</v>
      </c>
      <c r="G56" s="92" t="s">
        <v>50</v>
      </c>
      <c r="H56" s="92">
        <v>36</v>
      </c>
      <c r="I56" s="92" t="s">
        <v>94</v>
      </c>
      <c r="J56" s="92" t="s">
        <v>173</v>
      </c>
      <c r="K56" s="92" t="s">
        <v>174</v>
      </c>
      <c r="L56" s="92" t="s">
        <v>175</v>
      </c>
      <c r="M56" s="92" t="s">
        <v>176</v>
      </c>
      <c r="N56" s="92" t="s">
        <v>177</v>
      </c>
      <c r="O56" s="92" t="s">
        <v>178</v>
      </c>
      <c r="P56" s="92" t="s">
        <v>179</v>
      </c>
      <c r="Q56" s="92" t="s">
        <v>180</v>
      </c>
      <c r="R56" s="92" t="s">
        <v>181</v>
      </c>
      <c r="S56" s="92" t="s">
        <v>939</v>
      </c>
      <c r="T56" s="92" t="s">
        <v>182</v>
      </c>
      <c r="U56" s="92">
        <v>100</v>
      </c>
      <c r="V56" s="92" t="s">
        <v>183</v>
      </c>
      <c r="W56" s="92" t="s">
        <v>184</v>
      </c>
      <c r="X56" s="92" t="s">
        <v>185</v>
      </c>
      <c r="Y56" s="92" t="s">
        <v>186</v>
      </c>
      <c r="Z56" s="92">
        <v>117</v>
      </c>
      <c r="AA56" s="92">
        <v>118</v>
      </c>
      <c r="AB56" s="92" t="s">
        <v>187</v>
      </c>
      <c r="AC56" s="92">
        <v>125</v>
      </c>
      <c r="AD56" s="93" t="s">
        <v>188</v>
      </c>
      <c r="AE56" s="189"/>
      <c r="AF56" s="189"/>
    </row>
    <row r="57" spans="1:34" ht="30" customHeight="1" outlineLevel="1" x14ac:dyDescent="0.25">
      <c r="A57" s="615"/>
      <c r="B57" s="156">
        <v>1</v>
      </c>
      <c r="C57" s="16">
        <v>9</v>
      </c>
      <c r="D57" s="16">
        <v>1</v>
      </c>
      <c r="E57" s="94">
        <v>13</v>
      </c>
      <c r="F57" s="297">
        <v>2</v>
      </c>
      <c r="G57" s="16">
        <v>9</v>
      </c>
      <c r="H57" s="16">
        <v>1</v>
      </c>
      <c r="I57" s="16">
        <v>2</v>
      </c>
      <c r="J57" s="16">
        <v>6</v>
      </c>
      <c r="K57" s="16">
        <v>4</v>
      </c>
      <c r="L57" s="16">
        <v>5</v>
      </c>
      <c r="M57" s="16">
        <v>9</v>
      </c>
      <c r="N57" s="16">
        <v>8</v>
      </c>
      <c r="O57" s="16">
        <v>3</v>
      </c>
      <c r="P57" s="16">
        <v>8</v>
      </c>
      <c r="Q57" s="16">
        <v>3</v>
      </c>
      <c r="R57" s="16">
        <v>6</v>
      </c>
      <c r="S57" s="16">
        <v>4</v>
      </c>
      <c r="T57" s="16">
        <v>5</v>
      </c>
      <c r="U57" s="16">
        <v>1</v>
      </c>
      <c r="V57" s="16">
        <v>2</v>
      </c>
      <c r="W57" s="16">
        <v>6</v>
      </c>
      <c r="X57" s="16">
        <v>4</v>
      </c>
      <c r="Y57" s="16">
        <v>4</v>
      </c>
      <c r="Z57" s="16">
        <v>1</v>
      </c>
      <c r="AA57" s="16">
        <v>1</v>
      </c>
      <c r="AB57" s="16">
        <v>6</v>
      </c>
      <c r="AC57" s="16">
        <v>1</v>
      </c>
      <c r="AD57" s="23">
        <v>3</v>
      </c>
      <c r="AE57" s="189"/>
      <c r="AF57" s="189"/>
    </row>
    <row r="58" spans="1:34" ht="30" customHeight="1" outlineLevel="1" x14ac:dyDescent="0.25">
      <c r="A58" s="615"/>
      <c r="B58" s="156" t="s">
        <v>1</v>
      </c>
      <c r="C58" s="16" t="s">
        <v>1</v>
      </c>
      <c r="D58" s="16" t="s">
        <v>69</v>
      </c>
      <c r="E58" s="94" t="s">
        <v>69</v>
      </c>
      <c r="F58" s="297" t="s">
        <v>1</v>
      </c>
      <c r="G58" s="16" t="s">
        <v>1</v>
      </c>
      <c r="H58" s="16" t="s">
        <v>69</v>
      </c>
      <c r="I58" s="16" t="s">
        <v>1</v>
      </c>
      <c r="J58" s="16" t="s">
        <v>1</v>
      </c>
      <c r="K58" s="16" t="s">
        <v>1</v>
      </c>
      <c r="L58" s="16" t="s">
        <v>1</v>
      </c>
      <c r="M58" s="143" t="s">
        <v>69</v>
      </c>
      <c r="N58" s="16" t="s">
        <v>69</v>
      </c>
      <c r="O58" s="16" t="s">
        <v>69</v>
      </c>
      <c r="P58" s="16" t="s">
        <v>69</v>
      </c>
      <c r="Q58" s="16" t="s">
        <v>69</v>
      </c>
      <c r="R58" s="16" t="s">
        <v>1</v>
      </c>
      <c r="S58" s="16" t="s">
        <v>1</v>
      </c>
      <c r="T58" s="16" t="s">
        <v>1</v>
      </c>
      <c r="U58" s="16" t="s">
        <v>1</v>
      </c>
      <c r="V58" s="16" t="s">
        <v>1</v>
      </c>
      <c r="W58" s="16" t="s">
        <v>1</v>
      </c>
      <c r="X58" s="16" t="s">
        <v>1</v>
      </c>
      <c r="Y58" s="16" t="s">
        <v>1</v>
      </c>
      <c r="Z58" s="16" t="s">
        <v>69</v>
      </c>
      <c r="AA58" s="16" t="s">
        <v>69</v>
      </c>
      <c r="AB58" s="16" t="s">
        <v>1</v>
      </c>
      <c r="AC58" s="16" t="s">
        <v>69</v>
      </c>
      <c r="AD58" s="227" t="s">
        <v>69</v>
      </c>
      <c r="AE58" s="189"/>
      <c r="AF58" s="189"/>
    </row>
    <row r="59" spans="1:34" ht="30" customHeight="1" outlineLevel="1" x14ac:dyDescent="0.25">
      <c r="A59" s="615"/>
      <c r="B59" s="156" t="s">
        <v>0</v>
      </c>
      <c r="C59" s="16" t="s">
        <v>0</v>
      </c>
      <c r="D59" s="16" t="s">
        <v>4</v>
      </c>
      <c r="E59" s="94" t="s">
        <v>0</v>
      </c>
      <c r="F59" s="29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189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4</v>
      </c>
      <c r="Q59" s="16" t="s">
        <v>4</v>
      </c>
      <c r="R59" s="16" t="s">
        <v>0</v>
      </c>
      <c r="S59" s="16" t="s">
        <v>0</v>
      </c>
      <c r="T59" s="16" t="s">
        <v>0</v>
      </c>
      <c r="U59" s="16" t="s">
        <v>0</v>
      </c>
      <c r="V59" s="16" t="s">
        <v>4</v>
      </c>
      <c r="W59" s="16" t="s">
        <v>4</v>
      </c>
      <c r="X59" s="16" t="s">
        <v>4</v>
      </c>
      <c r="Y59" s="16" t="s">
        <v>0</v>
      </c>
      <c r="Z59" s="16" t="s">
        <v>4</v>
      </c>
      <c r="AA59" s="16" t="s">
        <v>4</v>
      </c>
      <c r="AB59" s="16" t="s">
        <v>4</v>
      </c>
      <c r="AC59" s="16" t="s">
        <v>4</v>
      </c>
      <c r="AD59" s="23" t="s">
        <v>4</v>
      </c>
      <c r="AE59" s="189"/>
      <c r="AF59" s="189"/>
    </row>
    <row r="60" spans="1:34" s="76" customFormat="1" ht="30" customHeight="1" thickBot="1" x14ac:dyDescent="0.3">
      <c r="A60" s="616"/>
      <c r="B60" s="149" t="s">
        <v>10</v>
      </c>
      <c r="C60" s="54" t="s">
        <v>544</v>
      </c>
      <c r="D60" s="55" t="s">
        <v>8</v>
      </c>
      <c r="E60" s="54" t="s">
        <v>198</v>
      </c>
      <c r="F60" s="288">
        <v>77</v>
      </c>
      <c r="G60" s="54">
        <v>250000001</v>
      </c>
      <c r="H60" s="55" t="s">
        <v>11</v>
      </c>
      <c r="I60" s="33" t="s">
        <v>202</v>
      </c>
      <c r="J60" s="54" t="s">
        <v>756</v>
      </c>
      <c r="K60" s="54" t="s">
        <v>582</v>
      </c>
      <c r="L60" s="54" t="s">
        <v>214</v>
      </c>
      <c r="M60" s="54" t="s">
        <v>543</v>
      </c>
      <c r="N60" s="54" t="s">
        <v>417</v>
      </c>
      <c r="O60" s="54" t="s">
        <v>483</v>
      </c>
      <c r="P60" s="54" t="s">
        <v>211</v>
      </c>
      <c r="Q60" s="54" t="s">
        <v>9</v>
      </c>
      <c r="R60" s="54" t="s">
        <v>756</v>
      </c>
      <c r="S60" s="54" t="s">
        <v>609</v>
      </c>
      <c r="T60" s="54" t="s">
        <v>263</v>
      </c>
      <c r="U60" s="54">
        <v>2</v>
      </c>
      <c r="V60" s="55" t="s">
        <v>5</v>
      </c>
      <c r="W60" s="55" t="s">
        <v>208</v>
      </c>
      <c r="X60" s="229" t="s">
        <v>203</v>
      </c>
      <c r="Y60" s="54" t="s">
        <v>610</v>
      </c>
      <c r="Z60" s="55" t="s">
        <v>8</v>
      </c>
      <c r="AA60" s="55" t="s">
        <v>8</v>
      </c>
      <c r="AB60" s="55" t="s">
        <v>208</v>
      </c>
      <c r="AC60" s="33" t="s">
        <v>8</v>
      </c>
      <c r="AD60" s="89" t="s">
        <v>9</v>
      </c>
      <c r="AE60" s="188" t="s">
        <v>589</v>
      </c>
      <c r="AF60" s="190"/>
    </row>
    <row r="61" spans="1:34" s="75" customFormat="1" ht="15.75" outlineLevel="1" thickBot="1" x14ac:dyDescent="0.3">
      <c r="B61" s="150" t="s">
        <v>586</v>
      </c>
      <c r="C61" s="75" t="s">
        <v>586</v>
      </c>
      <c r="D61" s="75" t="s">
        <v>586</v>
      </c>
      <c r="E61" s="75" t="s">
        <v>586</v>
      </c>
      <c r="F61" s="276" t="s">
        <v>586</v>
      </c>
      <c r="G61" s="75" t="s">
        <v>586</v>
      </c>
      <c r="H61" s="75" t="s">
        <v>586</v>
      </c>
      <c r="I61" s="75" t="s">
        <v>586</v>
      </c>
      <c r="J61" s="75" t="s">
        <v>586</v>
      </c>
      <c r="K61" s="75" t="s">
        <v>586</v>
      </c>
      <c r="L61" s="75" t="s">
        <v>586</v>
      </c>
      <c r="M61" s="75" t="s">
        <v>586</v>
      </c>
      <c r="N61" s="75" t="s">
        <v>586</v>
      </c>
      <c r="O61" s="75" t="s">
        <v>586</v>
      </c>
      <c r="P61" s="75" t="s">
        <v>586</v>
      </c>
      <c r="Q61" s="75" t="s">
        <v>586</v>
      </c>
      <c r="R61" s="75" t="s">
        <v>586</v>
      </c>
      <c r="S61" s="75" t="s">
        <v>586</v>
      </c>
      <c r="T61" s="75" t="s">
        <v>586</v>
      </c>
      <c r="U61" s="75" t="s">
        <v>586</v>
      </c>
      <c r="V61" s="75" t="s">
        <v>586</v>
      </c>
      <c r="W61" s="75" t="s">
        <v>586</v>
      </c>
      <c r="X61" s="75" t="s">
        <v>586</v>
      </c>
      <c r="Y61" s="75" t="s">
        <v>586</v>
      </c>
      <c r="Z61" s="75" t="s">
        <v>586</v>
      </c>
      <c r="AA61" s="75" t="s">
        <v>586</v>
      </c>
      <c r="AB61" s="75" t="s">
        <v>586</v>
      </c>
      <c r="AC61" s="75" t="s">
        <v>586</v>
      </c>
      <c r="AD61" s="75" t="s">
        <v>586</v>
      </c>
      <c r="AE61" s="189"/>
      <c r="AF61" s="189"/>
    </row>
    <row r="62" spans="1:34" ht="99.95" customHeight="1" x14ac:dyDescent="0.25">
      <c r="A62" s="622" t="s">
        <v>191</v>
      </c>
      <c r="B62" s="155" t="s">
        <v>13</v>
      </c>
      <c r="C62" s="20" t="s">
        <v>14</v>
      </c>
      <c r="D62" s="20" t="s">
        <v>15</v>
      </c>
      <c r="E62" s="21" t="s">
        <v>16</v>
      </c>
      <c r="F62" s="295" t="s">
        <v>17</v>
      </c>
      <c r="G62" s="20" t="s">
        <v>70</v>
      </c>
      <c r="H62" s="20" t="s">
        <v>113</v>
      </c>
      <c r="I62" s="20" t="s">
        <v>72</v>
      </c>
      <c r="J62" s="20" t="s">
        <v>153</v>
      </c>
      <c r="K62" s="20" t="s">
        <v>154</v>
      </c>
      <c r="L62" s="20" t="s">
        <v>155</v>
      </c>
      <c r="M62" s="20" t="s">
        <v>156</v>
      </c>
      <c r="N62" s="20" t="s">
        <v>157</v>
      </c>
      <c r="O62" s="20" t="s">
        <v>158</v>
      </c>
      <c r="P62" s="20" t="s">
        <v>159</v>
      </c>
      <c r="Q62" s="20" t="s">
        <v>160</v>
      </c>
      <c r="R62" s="20" t="s">
        <v>161</v>
      </c>
      <c r="S62" s="20" t="s">
        <v>162</v>
      </c>
      <c r="T62" s="20" t="s">
        <v>163</v>
      </c>
      <c r="U62" s="20" t="s">
        <v>164</v>
      </c>
      <c r="V62" s="20" t="s">
        <v>165</v>
      </c>
      <c r="W62" s="20" t="s">
        <v>166</v>
      </c>
      <c r="X62" s="20" t="s">
        <v>167</v>
      </c>
      <c r="Y62" s="20" t="s">
        <v>168</v>
      </c>
      <c r="Z62" s="20" t="s">
        <v>169</v>
      </c>
      <c r="AA62" s="20" t="s">
        <v>170</v>
      </c>
      <c r="AB62" s="20" t="s">
        <v>171</v>
      </c>
      <c r="AC62" s="20" t="s">
        <v>172</v>
      </c>
      <c r="AD62" s="22" t="s">
        <v>114</v>
      </c>
      <c r="AE62" s="189"/>
      <c r="AF62" s="189"/>
    </row>
    <row r="63" spans="1:34" ht="19.899999999999999" customHeight="1" x14ac:dyDescent="0.25">
      <c r="A63" s="615"/>
      <c r="B63" s="156">
        <v>1</v>
      </c>
      <c r="C63" s="90" t="s">
        <v>47</v>
      </c>
      <c r="D63" s="16">
        <v>11</v>
      </c>
      <c r="E63" s="91" t="s">
        <v>48</v>
      </c>
      <c r="F63" s="296" t="s">
        <v>49</v>
      </c>
      <c r="G63" s="92" t="s">
        <v>50</v>
      </c>
      <c r="H63" s="92">
        <v>36</v>
      </c>
      <c r="I63" s="92" t="s">
        <v>94</v>
      </c>
      <c r="J63" s="92" t="s">
        <v>173</v>
      </c>
      <c r="K63" s="92" t="s">
        <v>174</v>
      </c>
      <c r="L63" s="92" t="s">
        <v>175</v>
      </c>
      <c r="M63" s="92" t="s">
        <v>176</v>
      </c>
      <c r="N63" s="92" t="s">
        <v>177</v>
      </c>
      <c r="O63" s="92" t="s">
        <v>178</v>
      </c>
      <c r="P63" s="92" t="s">
        <v>179</v>
      </c>
      <c r="Q63" s="92" t="s">
        <v>180</v>
      </c>
      <c r="R63" s="92" t="s">
        <v>181</v>
      </c>
      <c r="S63" s="92" t="s">
        <v>939</v>
      </c>
      <c r="T63" s="92" t="s">
        <v>182</v>
      </c>
      <c r="U63" s="92">
        <v>100</v>
      </c>
      <c r="V63" s="92" t="s">
        <v>183</v>
      </c>
      <c r="W63" s="92" t="s">
        <v>184</v>
      </c>
      <c r="X63" s="92" t="s">
        <v>185</v>
      </c>
      <c r="Y63" s="92" t="s">
        <v>186</v>
      </c>
      <c r="Z63" s="92">
        <v>117</v>
      </c>
      <c r="AA63" s="92">
        <v>118</v>
      </c>
      <c r="AB63" s="92" t="s">
        <v>187</v>
      </c>
      <c r="AC63" s="92">
        <v>125</v>
      </c>
      <c r="AD63" s="93" t="s">
        <v>188</v>
      </c>
      <c r="AE63" s="189"/>
      <c r="AF63" s="189"/>
    </row>
    <row r="64" spans="1:34" ht="30" customHeight="1" outlineLevel="1" x14ac:dyDescent="0.25">
      <c r="A64" s="615"/>
      <c r="B64" s="156">
        <v>1</v>
      </c>
      <c r="C64" s="16">
        <v>9</v>
      </c>
      <c r="D64" s="16">
        <v>1</v>
      </c>
      <c r="E64" s="94">
        <v>13</v>
      </c>
      <c r="F64" s="297">
        <v>2</v>
      </c>
      <c r="G64" s="16">
        <v>9</v>
      </c>
      <c r="H64" s="16">
        <v>1</v>
      </c>
      <c r="I64" s="16">
        <v>2</v>
      </c>
      <c r="J64" s="16">
        <v>6</v>
      </c>
      <c r="K64" s="16">
        <v>4</v>
      </c>
      <c r="L64" s="16">
        <v>5</v>
      </c>
      <c r="M64" s="16">
        <v>9</v>
      </c>
      <c r="N64" s="16">
        <v>8</v>
      </c>
      <c r="O64" s="16">
        <v>3</v>
      </c>
      <c r="P64" s="16">
        <v>8</v>
      </c>
      <c r="Q64" s="16">
        <v>3</v>
      </c>
      <c r="R64" s="16">
        <v>6</v>
      </c>
      <c r="S64" s="16">
        <v>4</v>
      </c>
      <c r="T64" s="16">
        <v>5</v>
      </c>
      <c r="U64" s="16">
        <v>1</v>
      </c>
      <c r="V64" s="16">
        <v>2</v>
      </c>
      <c r="W64" s="16">
        <v>6</v>
      </c>
      <c r="X64" s="16">
        <v>4</v>
      </c>
      <c r="Y64" s="16">
        <v>4</v>
      </c>
      <c r="Z64" s="16">
        <v>1</v>
      </c>
      <c r="AA64" s="16">
        <v>1</v>
      </c>
      <c r="AB64" s="16">
        <v>6</v>
      </c>
      <c r="AC64" s="16">
        <v>1</v>
      </c>
      <c r="AD64" s="23">
        <v>3</v>
      </c>
      <c r="AE64" s="189"/>
      <c r="AF64" s="189"/>
    </row>
    <row r="65" spans="1:32" ht="30" customHeight="1" outlineLevel="1" x14ac:dyDescent="0.25">
      <c r="A65" s="615"/>
      <c r="B65" s="156" t="s">
        <v>1</v>
      </c>
      <c r="C65" s="16" t="s">
        <v>1</v>
      </c>
      <c r="D65" s="16" t="s">
        <v>69</v>
      </c>
      <c r="E65" s="94" t="s">
        <v>69</v>
      </c>
      <c r="F65" s="297" t="s">
        <v>1</v>
      </c>
      <c r="G65" s="16" t="s">
        <v>1</v>
      </c>
      <c r="H65" s="16" t="s">
        <v>69</v>
      </c>
      <c r="I65" s="16" t="s">
        <v>1</v>
      </c>
      <c r="J65" s="16" t="s">
        <v>1</v>
      </c>
      <c r="K65" s="16" t="s">
        <v>1</v>
      </c>
      <c r="L65" s="16" t="s">
        <v>1</v>
      </c>
      <c r="M65" s="143" t="s">
        <v>69</v>
      </c>
      <c r="N65" s="16" t="s">
        <v>69</v>
      </c>
      <c r="O65" s="16" t="s">
        <v>69</v>
      </c>
      <c r="P65" s="16" t="s">
        <v>69</v>
      </c>
      <c r="Q65" s="16" t="s">
        <v>69</v>
      </c>
      <c r="R65" s="16" t="s">
        <v>1</v>
      </c>
      <c r="S65" s="16" t="s">
        <v>1</v>
      </c>
      <c r="T65" s="16" t="s">
        <v>1</v>
      </c>
      <c r="U65" s="16" t="s">
        <v>1</v>
      </c>
      <c r="V65" s="16" t="s">
        <v>1</v>
      </c>
      <c r="W65" s="16" t="s">
        <v>1</v>
      </c>
      <c r="X65" s="16" t="s">
        <v>1</v>
      </c>
      <c r="Y65" s="16" t="s">
        <v>1</v>
      </c>
      <c r="Z65" s="16" t="s">
        <v>69</v>
      </c>
      <c r="AA65" s="16" t="s">
        <v>69</v>
      </c>
      <c r="AB65" s="16" t="s">
        <v>1</v>
      </c>
      <c r="AC65" s="16" t="s">
        <v>69</v>
      </c>
      <c r="AD65" s="227" t="s">
        <v>69</v>
      </c>
      <c r="AE65" s="189"/>
      <c r="AF65" s="189"/>
    </row>
    <row r="66" spans="1:32" ht="30" customHeight="1" outlineLevel="1" x14ac:dyDescent="0.25">
      <c r="A66" s="615"/>
      <c r="B66" s="156" t="s">
        <v>0</v>
      </c>
      <c r="C66" s="16" t="s">
        <v>0</v>
      </c>
      <c r="D66" s="16" t="s">
        <v>4</v>
      </c>
      <c r="E66" s="94" t="s">
        <v>0</v>
      </c>
      <c r="F66" s="29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189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4</v>
      </c>
      <c r="Q66" s="16" t="s">
        <v>4</v>
      </c>
      <c r="R66" s="16" t="s">
        <v>0</v>
      </c>
      <c r="S66" s="16" t="s">
        <v>0</v>
      </c>
      <c r="T66" s="16" t="s">
        <v>0</v>
      </c>
      <c r="U66" s="16" t="s">
        <v>0</v>
      </c>
      <c r="V66" s="16" t="s">
        <v>4</v>
      </c>
      <c r="W66" s="16" t="s">
        <v>4</v>
      </c>
      <c r="X66" s="16" t="s">
        <v>4</v>
      </c>
      <c r="Y66" s="16" t="s">
        <v>0</v>
      </c>
      <c r="Z66" s="16" t="s">
        <v>4</v>
      </c>
      <c r="AA66" s="16" t="s">
        <v>4</v>
      </c>
      <c r="AB66" s="16" t="s">
        <v>4</v>
      </c>
      <c r="AC66" s="16" t="s">
        <v>4</v>
      </c>
      <c r="AD66" s="23" t="s">
        <v>4</v>
      </c>
      <c r="AE66" s="189"/>
      <c r="AF66" s="189"/>
    </row>
    <row r="67" spans="1:32" s="76" customFormat="1" ht="30" customHeight="1" thickBot="1" x14ac:dyDescent="0.3">
      <c r="A67" s="616"/>
      <c r="B67" s="149" t="s">
        <v>10</v>
      </c>
      <c r="C67" s="54" t="s">
        <v>544</v>
      </c>
      <c r="D67" s="55" t="s">
        <v>8</v>
      </c>
      <c r="E67" s="54" t="s">
        <v>198</v>
      </c>
      <c r="F67" s="288">
        <v>77</v>
      </c>
      <c r="G67" s="54">
        <v>250000001</v>
      </c>
      <c r="H67" s="55" t="s">
        <v>11</v>
      </c>
      <c r="I67" s="33" t="s">
        <v>649</v>
      </c>
      <c r="J67" s="54" t="s">
        <v>676</v>
      </c>
      <c r="K67" s="54" t="s">
        <v>757</v>
      </c>
      <c r="L67" s="54" t="s">
        <v>263</v>
      </c>
      <c r="M67" s="54" t="s">
        <v>542</v>
      </c>
      <c r="N67" s="54" t="s">
        <v>484</v>
      </c>
      <c r="O67" s="54" t="s">
        <v>485</v>
      </c>
      <c r="P67" s="54" t="s">
        <v>211</v>
      </c>
      <c r="Q67" s="54" t="s">
        <v>9</v>
      </c>
      <c r="R67" s="54" t="s">
        <v>676</v>
      </c>
      <c r="S67" s="54" t="s">
        <v>758</v>
      </c>
      <c r="T67" s="54" t="s">
        <v>214</v>
      </c>
      <c r="U67" s="54">
        <v>2</v>
      </c>
      <c r="V67" s="55" t="s">
        <v>5</v>
      </c>
      <c r="W67" s="55" t="s">
        <v>208</v>
      </c>
      <c r="X67" s="229" t="s">
        <v>203</v>
      </c>
      <c r="Y67" s="54" t="s">
        <v>610</v>
      </c>
      <c r="Z67" s="55" t="s">
        <v>8</v>
      </c>
      <c r="AA67" s="55" t="s">
        <v>8</v>
      </c>
      <c r="AB67" s="55" t="s">
        <v>208</v>
      </c>
      <c r="AC67" s="33" t="s">
        <v>8</v>
      </c>
      <c r="AD67" s="89" t="s">
        <v>9</v>
      </c>
      <c r="AE67" s="188" t="s">
        <v>589</v>
      </c>
      <c r="AF67" s="191"/>
    </row>
    <row r="68" spans="1:32" s="75" customFormat="1" ht="15.75" outlineLevel="1" thickBot="1" x14ac:dyDescent="0.3">
      <c r="B68" s="150" t="s">
        <v>586</v>
      </c>
      <c r="C68" s="75" t="s">
        <v>586</v>
      </c>
      <c r="D68" s="75" t="s">
        <v>586</v>
      </c>
      <c r="E68" s="75" t="s">
        <v>586</v>
      </c>
      <c r="F68" s="276" t="s">
        <v>586</v>
      </c>
      <c r="G68" s="75" t="s">
        <v>586</v>
      </c>
      <c r="H68" s="75" t="s">
        <v>586</v>
      </c>
      <c r="I68" s="75" t="s">
        <v>586</v>
      </c>
      <c r="J68" s="75" t="s">
        <v>586</v>
      </c>
      <c r="K68" s="75" t="s">
        <v>586</v>
      </c>
      <c r="L68" s="75" t="s">
        <v>586</v>
      </c>
      <c r="M68" s="75" t="s">
        <v>586</v>
      </c>
      <c r="N68" s="75" t="s">
        <v>586</v>
      </c>
      <c r="O68" s="75" t="s">
        <v>586</v>
      </c>
      <c r="P68" s="75" t="s">
        <v>586</v>
      </c>
      <c r="Q68" s="75" t="s">
        <v>586</v>
      </c>
      <c r="R68" s="75" t="s">
        <v>586</v>
      </c>
      <c r="S68" s="75" t="s">
        <v>586</v>
      </c>
      <c r="T68" s="75" t="s">
        <v>586</v>
      </c>
      <c r="U68" s="75" t="s">
        <v>586</v>
      </c>
      <c r="V68" s="75" t="s">
        <v>586</v>
      </c>
      <c r="W68" s="75" t="s">
        <v>586</v>
      </c>
      <c r="X68" s="75" t="s">
        <v>586</v>
      </c>
      <c r="Y68" s="75" t="s">
        <v>586</v>
      </c>
      <c r="Z68" s="75" t="s">
        <v>586</v>
      </c>
      <c r="AA68" s="75" t="s">
        <v>586</v>
      </c>
      <c r="AB68" s="75" t="s">
        <v>586</v>
      </c>
      <c r="AC68" s="75" t="s">
        <v>586</v>
      </c>
      <c r="AD68" s="75" t="s">
        <v>586</v>
      </c>
      <c r="AE68" s="189"/>
      <c r="AF68" s="189"/>
    </row>
    <row r="69" spans="1:32" ht="99.95" customHeight="1" x14ac:dyDescent="0.25">
      <c r="A69" s="622" t="s">
        <v>191</v>
      </c>
      <c r="B69" s="155" t="s">
        <v>13</v>
      </c>
      <c r="C69" s="20" t="s">
        <v>14</v>
      </c>
      <c r="D69" s="20" t="s">
        <v>15</v>
      </c>
      <c r="E69" s="21" t="s">
        <v>16</v>
      </c>
      <c r="F69" s="295" t="s">
        <v>17</v>
      </c>
      <c r="G69" s="20" t="s">
        <v>70</v>
      </c>
      <c r="H69" s="20" t="s">
        <v>113</v>
      </c>
      <c r="I69" s="20" t="s">
        <v>72</v>
      </c>
      <c r="J69" s="20" t="s">
        <v>153</v>
      </c>
      <c r="K69" s="20" t="s">
        <v>154</v>
      </c>
      <c r="L69" s="20" t="s">
        <v>155</v>
      </c>
      <c r="M69" s="20" t="s">
        <v>156</v>
      </c>
      <c r="N69" s="20" t="s">
        <v>157</v>
      </c>
      <c r="O69" s="20" t="s">
        <v>158</v>
      </c>
      <c r="P69" s="20" t="s">
        <v>159</v>
      </c>
      <c r="Q69" s="20" t="s">
        <v>160</v>
      </c>
      <c r="R69" s="20" t="s">
        <v>161</v>
      </c>
      <c r="S69" s="20" t="s">
        <v>162</v>
      </c>
      <c r="T69" s="20" t="s">
        <v>163</v>
      </c>
      <c r="U69" s="20" t="s">
        <v>164</v>
      </c>
      <c r="V69" s="20" t="s">
        <v>165</v>
      </c>
      <c r="W69" s="20" t="s">
        <v>166</v>
      </c>
      <c r="X69" s="20" t="s">
        <v>167</v>
      </c>
      <c r="Y69" s="20" t="s">
        <v>168</v>
      </c>
      <c r="Z69" s="20" t="s">
        <v>169</v>
      </c>
      <c r="AA69" s="20" t="s">
        <v>170</v>
      </c>
      <c r="AB69" s="20" t="s">
        <v>171</v>
      </c>
      <c r="AC69" s="20" t="s">
        <v>172</v>
      </c>
      <c r="AD69" s="22" t="s">
        <v>114</v>
      </c>
      <c r="AE69" s="189"/>
      <c r="AF69" s="189"/>
    </row>
    <row r="70" spans="1:32" ht="19.899999999999999" customHeight="1" x14ac:dyDescent="0.25">
      <c r="A70" s="615"/>
      <c r="B70" s="156">
        <v>1</v>
      </c>
      <c r="C70" s="90" t="s">
        <v>47</v>
      </c>
      <c r="D70" s="16">
        <v>11</v>
      </c>
      <c r="E70" s="91" t="s">
        <v>48</v>
      </c>
      <c r="F70" s="296" t="s">
        <v>49</v>
      </c>
      <c r="G70" s="92" t="s">
        <v>50</v>
      </c>
      <c r="H70" s="92">
        <v>36</v>
      </c>
      <c r="I70" s="92" t="s">
        <v>94</v>
      </c>
      <c r="J70" s="92" t="s">
        <v>173</v>
      </c>
      <c r="K70" s="92" t="s">
        <v>174</v>
      </c>
      <c r="L70" s="92" t="s">
        <v>175</v>
      </c>
      <c r="M70" s="92" t="s">
        <v>176</v>
      </c>
      <c r="N70" s="92" t="s">
        <v>177</v>
      </c>
      <c r="O70" s="92" t="s">
        <v>178</v>
      </c>
      <c r="P70" s="92" t="s">
        <v>179</v>
      </c>
      <c r="Q70" s="92" t="s">
        <v>180</v>
      </c>
      <c r="R70" s="92" t="s">
        <v>181</v>
      </c>
      <c r="S70" s="92" t="s">
        <v>939</v>
      </c>
      <c r="T70" s="92" t="s">
        <v>182</v>
      </c>
      <c r="U70" s="92">
        <v>100</v>
      </c>
      <c r="V70" s="92" t="s">
        <v>183</v>
      </c>
      <c r="W70" s="92" t="s">
        <v>184</v>
      </c>
      <c r="X70" s="92" t="s">
        <v>185</v>
      </c>
      <c r="Y70" s="92" t="s">
        <v>186</v>
      </c>
      <c r="Z70" s="92">
        <v>117</v>
      </c>
      <c r="AA70" s="92">
        <v>118</v>
      </c>
      <c r="AB70" s="92" t="s">
        <v>187</v>
      </c>
      <c r="AC70" s="92">
        <v>125</v>
      </c>
      <c r="AD70" s="93" t="s">
        <v>188</v>
      </c>
      <c r="AE70" s="189"/>
      <c r="AF70" s="189"/>
    </row>
    <row r="71" spans="1:32" ht="30" customHeight="1" outlineLevel="2" x14ac:dyDescent="0.25">
      <c r="A71" s="615"/>
      <c r="B71" s="156">
        <v>1</v>
      </c>
      <c r="C71" s="16">
        <v>9</v>
      </c>
      <c r="D71" s="16">
        <v>1</v>
      </c>
      <c r="E71" s="94">
        <v>13</v>
      </c>
      <c r="F71" s="297">
        <v>2</v>
      </c>
      <c r="G71" s="16">
        <v>9</v>
      </c>
      <c r="H71" s="16">
        <v>1</v>
      </c>
      <c r="I71" s="16">
        <v>2</v>
      </c>
      <c r="J71" s="16">
        <v>6</v>
      </c>
      <c r="K71" s="16">
        <v>4</v>
      </c>
      <c r="L71" s="16">
        <v>5</v>
      </c>
      <c r="M71" s="16">
        <v>9</v>
      </c>
      <c r="N71" s="16">
        <v>8</v>
      </c>
      <c r="O71" s="16">
        <v>3</v>
      </c>
      <c r="P71" s="16">
        <v>8</v>
      </c>
      <c r="Q71" s="16">
        <v>3</v>
      </c>
      <c r="R71" s="16">
        <v>6</v>
      </c>
      <c r="S71" s="16">
        <v>4</v>
      </c>
      <c r="T71" s="16">
        <v>5</v>
      </c>
      <c r="U71" s="16">
        <v>1</v>
      </c>
      <c r="V71" s="16">
        <v>2</v>
      </c>
      <c r="W71" s="16">
        <v>6</v>
      </c>
      <c r="X71" s="16">
        <v>4</v>
      </c>
      <c r="Y71" s="16">
        <v>4</v>
      </c>
      <c r="Z71" s="16">
        <v>1</v>
      </c>
      <c r="AA71" s="16">
        <v>1</v>
      </c>
      <c r="AB71" s="16">
        <v>6</v>
      </c>
      <c r="AC71" s="16">
        <v>1</v>
      </c>
      <c r="AD71" s="23">
        <v>3</v>
      </c>
      <c r="AE71" s="189"/>
      <c r="AF71" s="189"/>
    </row>
    <row r="72" spans="1:32" ht="30" customHeight="1" outlineLevel="2" x14ac:dyDescent="0.25">
      <c r="A72" s="615"/>
      <c r="B72" s="156" t="s">
        <v>1</v>
      </c>
      <c r="C72" s="16" t="s">
        <v>1</v>
      </c>
      <c r="D72" s="16" t="s">
        <v>69</v>
      </c>
      <c r="E72" s="94" t="s">
        <v>69</v>
      </c>
      <c r="F72" s="297" t="s">
        <v>1</v>
      </c>
      <c r="G72" s="16" t="s">
        <v>1</v>
      </c>
      <c r="H72" s="16" t="s">
        <v>69</v>
      </c>
      <c r="I72" s="16" t="s">
        <v>1</v>
      </c>
      <c r="J72" s="16" t="s">
        <v>1</v>
      </c>
      <c r="K72" s="16" t="s">
        <v>1</v>
      </c>
      <c r="L72" s="16" t="s">
        <v>1</v>
      </c>
      <c r="M72" s="143" t="s">
        <v>69</v>
      </c>
      <c r="N72" s="16" t="s">
        <v>69</v>
      </c>
      <c r="O72" s="16" t="s">
        <v>69</v>
      </c>
      <c r="P72" s="16" t="s">
        <v>69</v>
      </c>
      <c r="Q72" s="16" t="s">
        <v>69</v>
      </c>
      <c r="R72" s="16" t="s">
        <v>1</v>
      </c>
      <c r="S72" s="16" t="s">
        <v>1</v>
      </c>
      <c r="T72" s="16" t="s">
        <v>1</v>
      </c>
      <c r="U72" s="16" t="s">
        <v>1</v>
      </c>
      <c r="V72" s="16" t="s">
        <v>1</v>
      </c>
      <c r="W72" s="16" t="s">
        <v>1</v>
      </c>
      <c r="X72" s="16" t="s">
        <v>1</v>
      </c>
      <c r="Y72" s="16" t="s">
        <v>1</v>
      </c>
      <c r="Z72" s="16" t="s">
        <v>69</v>
      </c>
      <c r="AA72" s="16" t="s">
        <v>69</v>
      </c>
      <c r="AB72" s="16" t="s">
        <v>1</v>
      </c>
      <c r="AC72" s="16" t="s">
        <v>69</v>
      </c>
      <c r="AD72" s="227" t="s">
        <v>69</v>
      </c>
      <c r="AE72" s="189"/>
      <c r="AF72" s="189"/>
    </row>
    <row r="73" spans="1:32" ht="30" customHeight="1" outlineLevel="2" x14ac:dyDescent="0.25">
      <c r="A73" s="615"/>
      <c r="B73" s="156" t="s">
        <v>0</v>
      </c>
      <c r="C73" s="16" t="s">
        <v>0</v>
      </c>
      <c r="D73" s="16" t="s">
        <v>4</v>
      </c>
      <c r="E73" s="94" t="s">
        <v>0</v>
      </c>
      <c r="F73" s="297" t="s">
        <v>0</v>
      </c>
      <c r="G73" s="16" t="s">
        <v>0</v>
      </c>
      <c r="H73" s="16" t="s">
        <v>0</v>
      </c>
      <c r="I73" s="16" t="s">
        <v>0</v>
      </c>
      <c r="J73" s="16" t="s">
        <v>0</v>
      </c>
      <c r="K73" s="16" t="s">
        <v>189</v>
      </c>
      <c r="L73" s="16" t="s">
        <v>0</v>
      </c>
      <c r="M73" s="16" t="s">
        <v>0</v>
      </c>
      <c r="N73" s="16" t="s">
        <v>0</v>
      </c>
      <c r="O73" s="16" t="s">
        <v>0</v>
      </c>
      <c r="P73" s="16" t="s">
        <v>4</v>
      </c>
      <c r="Q73" s="16" t="s">
        <v>4</v>
      </c>
      <c r="R73" s="16" t="s">
        <v>0</v>
      </c>
      <c r="S73" s="16" t="s">
        <v>0</v>
      </c>
      <c r="T73" s="16" t="s">
        <v>0</v>
      </c>
      <c r="U73" s="16" t="s">
        <v>0</v>
      </c>
      <c r="V73" s="16" t="s">
        <v>4</v>
      </c>
      <c r="W73" s="16" t="s">
        <v>4</v>
      </c>
      <c r="X73" s="16" t="s">
        <v>4</v>
      </c>
      <c r="Y73" s="16" t="s">
        <v>0</v>
      </c>
      <c r="Z73" s="16" t="s">
        <v>4</v>
      </c>
      <c r="AA73" s="16" t="s">
        <v>4</v>
      </c>
      <c r="AB73" s="16" t="s">
        <v>4</v>
      </c>
      <c r="AC73" s="16" t="s">
        <v>4</v>
      </c>
      <c r="AD73" s="23" t="s">
        <v>4</v>
      </c>
      <c r="AE73" s="189"/>
      <c r="AF73" s="189"/>
    </row>
    <row r="74" spans="1:32" s="76" customFormat="1" ht="30" customHeight="1" thickBot="1" x14ac:dyDescent="0.3">
      <c r="A74" s="616"/>
      <c r="B74" s="149" t="s">
        <v>10</v>
      </c>
      <c r="C74" s="54" t="s">
        <v>544</v>
      </c>
      <c r="D74" s="55" t="s">
        <v>8</v>
      </c>
      <c r="E74" s="54" t="s">
        <v>198</v>
      </c>
      <c r="F74" s="288">
        <v>77</v>
      </c>
      <c r="G74" s="54">
        <v>250000001</v>
      </c>
      <c r="H74" s="55" t="s">
        <v>11</v>
      </c>
      <c r="I74" s="33" t="s">
        <v>749</v>
      </c>
      <c r="J74" s="54" t="s">
        <v>748</v>
      </c>
      <c r="K74" s="54" t="s">
        <v>582</v>
      </c>
      <c r="L74" s="54" t="s">
        <v>214</v>
      </c>
      <c r="M74" s="54" t="s">
        <v>543</v>
      </c>
      <c r="N74" s="54" t="s">
        <v>486</v>
      </c>
      <c r="O74" s="54" t="s">
        <v>487</v>
      </c>
      <c r="P74" s="54" t="s">
        <v>211</v>
      </c>
      <c r="Q74" s="54" t="s">
        <v>9</v>
      </c>
      <c r="R74" s="54" t="s">
        <v>748</v>
      </c>
      <c r="S74" s="54" t="s">
        <v>609</v>
      </c>
      <c r="T74" s="54" t="s">
        <v>263</v>
      </c>
      <c r="U74" s="54">
        <v>2</v>
      </c>
      <c r="V74" s="55" t="s">
        <v>5</v>
      </c>
      <c r="W74" s="55" t="s">
        <v>208</v>
      </c>
      <c r="X74" s="229" t="s">
        <v>203</v>
      </c>
      <c r="Y74" s="54" t="s">
        <v>610</v>
      </c>
      <c r="Z74" s="55" t="s">
        <v>8</v>
      </c>
      <c r="AA74" s="55" t="s">
        <v>8</v>
      </c>
      <c r="AB74" s="55" t="s">
        <v>208</v>
      </c>
      <c r="AC74" s="33" t="s">
        <v>8</v>
      </c>
      <c r="AD74" s="89" t="s">
        <v>9</v>
      </c>
      <c r="AE74" s="188" t="s">
        <v>589</v>
      </c>
      <c r="AF74" s="191"/>
    </row>
    <row r="75" spans="1:32" s="75" customFormat="1" ht="15.75" outlineLevel="1" thickBot="1" x14ac:dyDescent="0.3">
      <c r="B75" s="150" t="s">
        <v>586</v>
      </c>
      <c r="C75" s="75" t="s">
        <v>586</v>
      </c>
      <c r="D75" s="75" t="s">
        <v>586</v>
      </c>
      <c r="E75" s="75" t="s">
        <v>586</v>
      </c>
      <c r="F75" s="276" t="s">
        <v>586</v>
      </c>
      <c r="G75" s="75" t="s">
        <v>586</v>
      </c>
      <c r="H75" s="75" t="s">
        <v>586</v>
      </c>
      <c r="I75" s="75" t="s">
        <v>586</v>
      </c>
      <c r="J75" s="75" t="s">
        <v>586</v>
      </c>
      <c r="K75" s="75" t="s">
        <v>586</v>
      </c>
      <c r="L75" s="75" t="s">
        <v>586</v>
      </c>
      <c r="M75" s="75" t="s">
        <v>586</v>
      </c>
      <c r="N75" s="75" t="s">
        <v>586</v>
      </c>
      <c r="O75" s="75" t="s">
        <v>586</v>
      </c>
      <c r="P75" s="75" t="s">
        <v>586</v>
      </c>
      <c r="Q75" s="75" t="s">
        <v>586</v>
      </c>
      <c r="R75" s="75" t="s">
        <v>586</v>
      </c>
      <c r="S75" s="75" t="s">
        <v>586</v>
      </c>
      <c r="T75" s="75" t="s">
        <v>586</v>
      </c>
      <c r="U75" s="75" t="s">
        <v>586</v>
      </c>
      <c r="V75" s="75" t="s">
        <v>586</v>
      </c>
      <c r="W75" s="75" t="s">
        <v>586</v>
      </c>
      <c r="X75" s="75" t="s">
        <v>586</v>
      </c>
      <c r="Y75" s="75" t="s">
        <v>586</v>
      </c>
      <c r="Z75" s="75" t="s">
        <v>586</v>
      </c>
      <c r="AA75" s="75" t="s">
        <v>586</v>
      </c>
      <c r="AB75" s="75" t="s">
        <v>586</v>
      </c>
      <c r="AC75" s="75" t="s">
        <v>586</v>
      </c>
      <c r="AD75" s="75" t="s">
        <v>586</v>
      </c>
      <c r="AE75" s="189"/>
      <c r="AF75" s="189"/>
    </row>
    <row r="76" spans="1:32" ht="99.95" customHeight="1" x14ac:dyDescent="0.25">
      <c r="A76" s="622" t="s">
        <v>191</v>
      </c>
      <c r="B76" s="155" t="s">
        <v>13</v>
      </c>
      <c r="C76" s="20" t="s">
        <v>14</v>
      </c>
      <c r="D76" s="20" t="s">
        <v>15</v>
      </c>
      <c r="E76" s="21" t="s">
        <v>16</v>
      </c>
      <c r="F76" s="295" t="s">
        <v>17</v>
      </c>
      <c r="G76" s="20" t="s">
        <v>70</v>
      </c>
      <c r="H76" s="20" t="s">
        <v>113</v>
      </c>
      <c r="I76" s="20" t="s">
        <v>72</v>
      </c>
      <c r="J76" s="20" t="s">
        <v>153</v>
      </c>
      <c r="K76" s="20" t="s">
        <v>154</v>
      </c>
      <c r="L76" s="20" t="s">
        <v>155</v>
      </c>
      <c r="M76" s="20" t="s">
        <v>156</v>
      </c>
      <c r="N76" s="20" t="s">
        <v>157</v>
      </c>
      <c r="O76" s="20" t="s">
        <v>158</v>
      </c>
      <c r="P76" s="20" t="s">
        <v>159</v>
      </c>
      <c r="Q76" s="20" t="s">
        <v>160</v>
      </c>
      <c r="R76" s="20" t="s">
        <v>161</v>
      </c>
      <c r="S76" s="20" t="s">
        <v>162</v>
      </c>
      <c r="T76" s="20" t="s">
        <v>163</v>
      </c>
      <c r="U76" s="20" t="s">
        <v>164</v>
      </c>
      <c r="V76" s="20" t="s">
        <v>165</v>
      </c>
      <c r="W76" s="20" t="s">
        <v>166</v>
      </c>
      <c r="X76" s="20" t="s">
        <v>167</v>
      </c>
      <c r="Y76" s="20" t="s">
        <v>168</v>
      </c>
      <c r="Z76" s="20" t="s">
        <v>169</v>
      </c>
      <c r="AA76" s="20" t="s">
        <v>170</v>
      </c>
      <c r="AB76" s="20" t="s">
        <v>171</v>
      </c>
      <c r="AC76" s="20" t="s">
        <v>172</v>
      </c>
      <c r="AD76" s="22" t="s">
        <v>114</v>
      </c>
      <c r="AE76" s="189"/>
      <c r="AF76" s="189"/>
    </row>
    <row r="77" spans="1:32" ht="19.899999999999999" customHeight="1" x14ac:dyDescent="0.25">
      <c r="A77" s="615"/>
      <c r="B77" s="156">
        <v>1</v>
      </c>
      <c r="C77" s="90" t="s">
        <v>47</v>
      </c>
      <c r="D77" s="16">
        <v>11</v>
      </c>
      <c r="E77" s="91" t="s">
        <v>48</v>
      </c>
      <c r="F77" s="296" t="s">
        <v>49</v>
      </c>
      <c r="G77" s="92" t="s">
        <v>50</v>
      </c>
      <c r="H77" s="92">
        <v>36</v>
      </c>
      <c r="I77" s="92" t="s">
        <v>94</v>
      </c>
      <c r="J77" s="92" t="s">
        <v>173</v>
      </c>
      <c r="K77" s="92" t="s">
        <v>174</v>
      </c>
      <c r="L77" s="92" t="s">
        <v>175</v>
      </c>
      <c r="M77" s="92" t="s">
        <v>176</v>
      </c>
      <c r="N77" s="92" t="s">
        <v>177</v>
      </c>
      <c r="O77" s="92" t="s">
        <v>178</v>
      </c>
      <c r="P77" s="92" t="s">
        <v>179</v>
      </c>
      <c r="Q77" s="92" t="s">
        <v>180</v>
      </c>
      <c r="R77" s="92" t="s">
        <v>181</v>
      </c>
      <c r="S77" s="92" t="s">
        <v>939</v>
      </c>
      <c r="T77" s="92" t="s">
        <v>182</v>
      </c>
      <c r="U77" s="92">
        <v>100</v>
      </c>
      <c r="V77" s="92" t="s">
        <v>183</v>
      </c>
      <c r="W77" s="92" t="s">
        <v>184</v>
      </c>
      <c r="X77" s="92" t="s">
        <v>185</v>
      </c>
      <c r="Y77" s="92" t="s">
        <v>186</v>
      </c>
      <c r="Z77" s="92">
        <v>117</v>
      </c>
      <c r="AA77" s="92">
        <v>118</v>
      </c>
      <c r="AB77" s="92" t="s">
        <v>187</v>
      </c>
      <c r="AC77" s="92">
        <v>125</v>
      </c>
      <c r="AD77" s="93" t="s">
        <v>188</v>
      </c>
      <c r="AE77" s="189"/>
      <c r="AF77" s="189"/>
    </row>
    <row r="78" spans="1:32" ht="30" customHeight="1" outlineLevel="1" x14ac:dyDescent="0.25">
      <c r="A78" s="615"/>
      <c r="B78" s="156">
        <v>1</v>
      </c>
      <c r="C78" s="16">
        <v>9</v>
      </c>
      <c r="D78" s="16">
        <v>1</v>
      </c>
      <c r="E78" s="94">
        <v>13</v>
      </c>
      <c r="F78" s="297">
        <v>2</v>
      </c>
      <c r="G78" s="16">
        <v>9</v>
      </c>
      <c r="H78" s="16">
        <v>1</v>
      </c>
      <c r="I78" s="16">
        <v>2</v>
      </c>
      <c r="J78" s="16">
        <v>6</v>
      </c>
      <c r="K78" s="16">
        <v>4</v>
      </c>
      <c r="L78" s="16">
        <v>5</v>
      </c>
      <c r="M78" s="16">
        <v>9</v>
      </c>
      <c r="N78" s="16">
        <v>8</v>
      </c>
      <c r="O78" s="16">
        <v>3</v>
      </c>
      <c r="P78" s="16">
        <v>8</v>
      </c>
      <c r="Q78" s="16">
        <v>3</v>
      </c>
      <c r="R78" s="16">
        <v>6</v>
      </c>
      <c r="S78" s="16">
        <v>4</v>
      </c>
      <c r="T78" s="16">
        <v>5</v>
      </c>
      <c r="U78" s="16">
        <v>1</v>
      </c>
      <c r="V78" s="16">
        <v>2</v>
      </c>
      <c r="W78" s="16">
        <v>6</v>
      </c>
      <c r="X78" s="16">
        <v>4</v>
      </c>
      <c r="Y78" s="16">
        <v>4</v>
      </c>
      <c r="Z78" s="16">
        <v>1</v>
      </c>
      <c r="AA78" s="16">
        <v>1</v>
      </c>
      <c r="AB78" s="16">
        <v>6</v>
      </c>
      <c r="AC78" s="16">
        <v>1</v>
      </c>
      <c r="AD78" s="23">
        <v>3</v>
      </c>
      <c r="AE78" s="189"/>
      <c r="AF78" s="189"/>
    </row>
    <row r="79" spans="1:32" ht="30" customHeight="1" outlineLevel="1" x14ac:dyDescent="0.25">
      <c r="A79" s="615"/>
      <c r="B79" s="156" t="s">
        <v>1</v>
      </c>
      <c r="C79" s="16" t="s">
        <v>1</v>
      </c>
      <c r="D79" s="16" t="s">
        <v>69</v>
      </c>
      <c r="E79" s="94" t="s">
        <v>69</v>
      </c>
      <c r="F79" s="297" t="s">
        <v>1</v>
      </c>
      <c r="G79" s="16" t="s">
        <v>1</v>
      </c>
      <c r="H79" s="16" t="s">
        <v>69</v>
      </c>
      <c r="I79" s="16" t="s">
        <v>1</v>
      </c>
      <c r="J79" s="16" t="s">
        <v>1</v>
      </c>
      <c r="K79" s="16" t="s">
        <v>1</v>
      </c>
      <c r="L79" s="16" t="s">
        <v>1</v>
      </c>
      <c r="M79" s="143" t="s">
        <v>69</v>
      </c>
      <c r="N79" s="16" t="s">
        <v>69</v>
      </c>
      <c r="O79" s="16" t="s">
        <v>69</v>
      </c>
      <c r="P79" s="16" t="s">
        <v>69</v>
      </c>
      <c r="Q79" s="16" t="s">
        <v>69</v>
      </c>
      <c r="R79" s="16" t="s">
        <v>1</v>
      </c>
      <c r="S79" s="16" t="s">
        <v>1</v>
      </c>
      <c r="T79" s="16" t="s">
        <v>1</v>
      </c>
      <c r="U79" s="16" t="s">
        <v>1</v>
      </c>
      <c r="V79" s="16" t="s">
        <v>1</v>
      </c>
      <c r="W79" s="16" t="s">
        <v>1</v>
      </c>
      <c r="X79" s="16" t="s">
        <v>1</v>
      </c>
      <c r="Y79" s="16" t="s">
        <v>1</v>
      </c>
      <c r="Z79" s="16" t="s">
        <v>69</v>
      </c>
      <c r="AA79" s="16" t="s">
        <v>69</v>
      </c>
      <c r="AB79" s="16" t="s">
        <v>1</v>
      </c>
      <c r="AC79" s="16" t="s">
        <v>69</v>
      </c>
      <c r="AD79" s="227" t="s">
        <v>69</v>
      </c>
      <c r="AE79" s="189"/>
      <c r="AF79" s="189"/>
    </row>
    <row r="80" spans="1:32" ht="30" customHeight="1" outlineLevel="1" x14ac:dyDescent="0.25">
      <c r="A80" s="615"/>
      <c r="B80" s="156" t="s">
        <v>0</v>
      </c>
      <c r="C80" s="16" t="s">
        <v>0</v>
      </c>
      <c r="D80" s="16" t="s">
        <v>4</v>
      </c>
      <c r="E80" s="94" t="s">
        <v>0</v>
      </c>
      <c r="F80" s="29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189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4</v>
      </c>
      <c r="Q80" s="16" t="s">
        <v>4</v>
      </c>
      <c r="R80" s="16" t="s">
        <v>0</v>
      </c>
      <c r="S80" s="16" t="s">
        <v>0</v>
      </c>
      <c r="T80" s="16" t="s">
        <v>0</v>
      </c>
      <c r="U80" s="16" t="s">
        <v>0</v>
      </c>
      <c r="V80" s="16" t="s">
        <v>4</v>
      </c>
      <c r="W80" s="16" t="s">
        <v>4</v>
      </c>
      <c r="X80" s="16" t="s">
        <v>4</v>
      </c>
      <c r="Y80" s="16" t="s">
        <v>0</v>
      </c>
      <c r="Z80" s="16" t="s">
        <v>4</v>
      </c>
      <c r="AA80" s="16" t="s">
        <v>4</v>
      </c>
      <c r="AB80" s="16" t="s">
        <v>4</v>
      </c>
      <c r="AC80" s="16" t="s">
        <v>4</v>
      </c>
      <c r="AD80" s="23" t="s">
        <v>4</v>
      </c>
      <c r="AE80" s="189"/>
      <c r="AF80" s="189"/>
    </row>
    <row r="81" spans="1:33" s="76" customFormat="1" ht="30" customHeight="1" thickBot="1" x14ac:dyDescent="0.3">
      <c r="A81" s="616"/>
      <c r="B81" s="149" t="s">
        <v>10</v>
      </c>
      <c r="C81" s="54" t="s">
        <v>544</v>
      </c>
      <c r="D81" s="55" t="s">
        <v>8</v>
      </c>
      <c r="E81" s="54" t="s">
        <v>198</v>
      </c>
      <c r="F81" s="288">
        <v>77</v>
      </c>
      <c r="G81" s="54">
        <v>250000001</v>
      </c>
      <c r="H81" s="55" t="s">
        <v>11</v>
      </c>
      <c r="I81" s="33" t="s">
        <v>767</v>
      </c>
      <c r="J81" s="54" t="s">
        <v>759</v>
      </c>
      <c r="K81" s="54" t="s">
        <v>760</v>
      </c>
      <c r="L81" s="54" t="s">
        <v>263</v>
      </c>
      <c r="M81" s="54" t="s">
        <v>542</v>
      </c>
      <c r="N81" s="54" t="s">
        <v>488</v>
      </c>
      <c r="O81" s="54" t="s">
        <v>489</v>
      </c>
      <c r="P81" s="54" t="s">
        <v>211</v>
      </c>
      <c r="Q81" s="54" t="s">
        <v>9</v>
      </c>
      <c r="R81" s="54" t="s">
        <v>759</v>
      </c>
      <c r="S81" s="54" t="s">
        <v>761</v>
      </c>
      <c r="T81" s="54" t="s">
        <v>214</v>
      </c>
      <c r="U81" s="54">
        <v>4</v>
      </c>
      <c r="V81" s="55" t="s">
        <v>5</v>
      </c>
      <c r="W81" s="55" t="s">
        <v>208</v>
      </c>
      <c r="X81" s="229" t="s">
        <v>203</v>
      </c>
      <c r="Y81" s="54" t="s">
        <v>610</v>
      </c>
      <c r="Z81" s="55" t="s">
        <v>8</v>
      </c>
      <c r="AA81" s="55" t="s">
        <v>8</v>
      </c>
      <c r="AB81" s="55" t="s">
        <v>208</v>
      </c>
      <c r="AC81" s="33" t="s">
        <v>8</v>
      </c>
      <c r="AD81" s="89" t="s">
        <v>9</v>
      </c>
      <c r="AE81" s="188" t="s">
        <v>589</v>
      </c>
      <c r="AF81" s="191"/>
    </row>
    <row r="82" spans="1:33" s="75" customFormat="1" ht="15.75" outlineLevel="1" thickBot="1" x14ac:dyDescent="0.3">
      <c r="B82" s="150" t="s">
        <v>586</v>
      </c>
      <c r="C82" s="75" t="s">
        <v>586</v>
      </c>
      <c r="D82" s="75" t="s">
        <v>586</v>
      </c>
      <c r="E82" s="75" t="s">
        <v>586</v>
      </c>
      <c r="F82" s="276" t="s">
        <v>586</v>
      </c>
      <c r="G82" s="75" t="s">
        <v>586</v>
      </c>
      <c r="H82" s="75" t="s">
        <v>586</v>
      </c>
      <c r="I82" s="75" t="s">
        <v>586</v>
      </c>
      <c r="J82" s="75" t="s">
        <v>586</v>
      </c>
      <c r="K82" s="75" t="s">
        <v>586</v>
      </c>
      <c r="L82" s="75" t="s">
        <v>586</v>
      </c>
      <c r="M82" s="75" t="s">
        <v>586</v>
      </c>
      <c r="N82" s="75" t="s">
        <v>586</v>
      </c>
      <c r="O82" s="75" t="s">
        <v>586</v>
      </c>
      <c r="P82" s="75" t="s">
        <v>586</v>
      </c>
      <c r="Q82" s="75" t="s">
        <v>586</v>
      </c>
      <c r="R82" s="75" t="s">
        <v>586</v>
      </c>
      <c r="S82" s="75" t="s">
        <v>586</v>
      </c>
      <c r="T82" s="75" t="s">
        <v>586</v>
      </c>
      <c r="U82" s="75" t="s">
        <v>586</v>
      </c>
      <c r="V82" s="75" t="s">
        <v>586</v>
      </c>
      <c r="W82" s="75" t="s">
        <v>586</v>
      </c>
      <c r="X82" s="75" t="s">
        <v>586</v>
      </c>
      <c r="Y82" s="75" t="s">
        <v>586</v>
      </c>
      <c r="Z82" s="75" t="s">
        <v>586</v>
      </c>
      <c r="AA82" s="75" t="s">
        <v>586</v>
      </c>
      <c r="AB82" s="75" t="s">
        <v>586</v>
      </c>
      <c r="AC82" s="75" t="s">
        <v>586</v>
      </c>
      <c r="AD82" s="75" t="s">
        <v>586</v>
      </c>
      <c r="AE82" s="189"/>
      <c r="AF82" s="189"/>
    </row>
    <row r="83" spans="1:33" ht="100.15" customHeight="1" x14ac:dyDescent="0.25">
      <c r="A83" s="622" t="s">
        <v>191</v>
      </c>
      <c r="B83" s="155" t="s">
        <v>13</v>
      </c>
      <c r="C83" s="20" t="s">
        <v>14</v>
      </c>
      <c r="D83" s="20" t="s">
        <v>15</v>
      </c>
      <c r="E83" s="21" t="s">
        <v>16</v>
      </c>
      <c r="F83" s="295" t="s">
        <v>17</v>
      </c>
      <c r="G83" s="20" t="s">
        <v>70</v>
      </c>
      <c r="H83" s="20" t="s">
        <v>113</v>
      </c>
      <c r="I83" s="20" t="s">
        <v>72</v>
      </c>
      <c r="J83" s="20" t="s">
        <v>153</v>
      </c>
      <c r="K83" s="20" t="s">
        <v>154</v>
      </c>
      <c r="L83" s="20" t="s">
        <v>155</v>
      </c>
      <c r="M83" s="20" t="s">
        <v>156</v>
      </c>
      <c r="N83" s="20" t="s">
        <v>157</v>
      </c>
      <c r="O83" s="20" t="s">
        <v>158</v>
      </c>
      <c r="P83" s="20" t="s">
        <v>159</v>
      </c>
      <c r="Q83" s="20" t="s">
        <v>160</v>
      </c>
      <c r="R83" s="20" t="s">
        <v>161</v>
      </c>
      <c r="S83" s="20" t="s">
        <v>162</v>
      </c>
      <c r="T83" s="20" t="s">
        <v>163</v>
      </c>
      <c r="U83" s="20" t="s">
        <v>164</v>
      </c>
      <c r="V83" s="20" t="s">
        <v>165</v>
      </c>
      <c r="W83" s="20" t="s">
        <v>166</v>
      </c>
      <c r="X83" s="20" t="s">
        <v>167</v>
      </c>
      <c r="Y83" s="20" t="s">
        <v>168</v>
      </c>
      <c r="Z83" s="20" t="s">
        <v>169</v>
      </c>
      <c r="AA83" s="20" t="s">
        <v>170</v>
      </c>
      <c r="AB83" s="20" t="s">
        <v>171</v>
      </c>
      <c r="AC83" s="20" t="s">
        <v>172</v>
      </c>
      <c r="AD83" s="22" t="s">
        <v>114</v>
      </c>
      <c r="AE83" s="189"/>
      <c r="AF83" s="189"/>
    </row>
    <row r="84" spans="1:33" ht="19.899999999999999" customHeight="1" x14ac:dyDescent="0.25">
      <c r="A84" s="615"/>
      <c r="B84" s="156">
        <v>1</v>
      </c>
      <c r="C84" s="90" t="s">
        <v>47</v>
      </c>
      <c r="D84" s="16">
        <v>11</v>
      </c>
      <c r="E84" s="91" t="s">
        <v>48</v>
      </c>
      <c r="F84" s="296" t="s">
        <v>49</v>
      </c>
      <c r="G84" s="92" t="s">
        <v>50</v>
      </c>
      <c r="H84" s="92">
        <v>36</v>
      </c>
      <c r="I84" s="92" t="s">
        <v>94</v>
      </c>
      <c r="J84" s="92" t="s">
        <v>173</v>
      </c>
      <c r="K84" s="92" t="s">
        <v>174</v>
      </c>
      <c r="L84" s="92" t="s">
        <v>175</v>
      </c>
      <c r="M84" s="92" t="s">
        <v>176</v>
      </c>
      <c r="N84" s="92" t="s">
        <v>177</v>
      </c>
      <c r="O84" s="92" t="s">
        <v>178</v>
      </c>
      <c r="P84" s="92" t="s">
        <v>179</v>
      </c>
      <c r="Q84" s="92" t="s">
        <v>180</v>
      </c>
      <c r="R84" s="92" t="s">
        <v>181</v>
      </c>
      <c r="S84" s="92" t="s">
        <v>939</v>
      </c>
      <c r="T84" s="92" t="s">
        <v>182</v>
      </c>
      <c r="U84" s="92">
        <v>100</v>
      </c>
      <c r="V84" s="92" t="s">
        <v>183</v>
      </c>
      <c r="W84" s="92" t="s">
        <v>184</v>
      </c>
      <c r="X84" s="92" t="s">
        <v>185</v>
      </c>
      <c r="Y84" s="92" t="s">
        <v>186</v>
      </c>
      <c r="Z84" s="92">
        <v>117</v>
      </c>
      <c r="AA84" s="92">
        <v>118</v>
      </c>
      <c r="AB84" s="92" t="s">
        <v>187</v>
      </c>
      <c r="AC84" s="92">
        <v>125</v>
      </c>
      <c r="AD84" s="93" t="s">
        <v>188</v>
      </c>
      <c r="AE84" s="189"/>
      <c r="AF84" s="189"/>
    </row>
    <row r="85" spans="1:33" ht="30" customHeight="1" outlineLevel="1" x14ac:dyDescent="0.25">
      <c r="A85" s="615"/>
      <c r="B85" s="156">
        <v>1</v>
      </c>
      <c r="C85" s="16">
        <v>9</v>
      </c>
      <c r="D85" s="16">
        <v>1</v>
      </c>
      <c r="E85" s="94">
        <v>13</v>
      </c>
      <c r="F85" s="297">
        <v>2</v>
      </c>
      <c r="G85" s="16">
        <v>9</v>
      </c>
      <c r="H85" s="16">
        <v>1</v>
      </c>
      <c r="I85" s="16">
        <v>2</v>
      </c>
      <c r="J85" s="16">
        <v>6</v>
      </c>
      <c r="K85" s="16">
        <v>4</v>
      </c>
      <c r="L85" s="16">
        <v>5</v>
      </c>
      <c r="M85" s="16">
        <v>9</v>
      </c>
      <c r="N85" s="16">
        <v>8</v>
      </c>
      <c r="O85" s="16">
        <v>3</v>
      </c>
      <c r="P85" s="16">
        <v>8</v>
      </c>
      <c r="Q85" s="16">
        <v>3</v>
      </c>
      <c r="R85" s="16">
        <v>6</v>
      </c>
      <c r="S85" s="16">
        <v>4</v>
      </c>
      <c r="T85" s="16">
        <v>5</v>
      </c>
      <c r="U85" s="16">
        <v>1</v>
      </c>
      <c r="V85" s="16">
        <v>2</v>
      </c>
      <c r="W85" s="16">
        <v>6</v>
      </c>
      <c r="X85" s="16">
        <v>4</v>
      </c>
      <c r="Y85" s="16">
        <v>4</v>
      </c>
      <c r="Z85" s="16">
        <v>1</v>
      </c>
      <c r="AA85" s="16">
        <v>1</v>
      </c>
      <c r="AB85" s="16">
        <v>6</v>
      </c>
      <c r="AC85" s="16">
        <v>1</v>
      </c>
      <c r="AD85" s="23">
        <v>3</v>
      </c>
      <c r="AE85" s="189"/>
      <c r="AF85" s="189"/>
    </row>
    <row r="86" spans="1:33" ht="30" customHeight="1" outlineLevel="1" x14ac:dyDescent="0.25">
      <c r="A86" s="615"/>
      <c r="B86" s="156" t="s">
        <v>1</v>
      </c>
      <c r="C86" s="16" t="s">
        <v>1</v>
      </c>
      <c r="D86" s="16" t="s">
        <v>69</v>
      </c>
      <c r="E86" s="94" t="s">
        <v>69</v>
      </c>
      <c r="F86" s="297" t="s">
        <v>1</v>
      </c>
      <c r="G86" s="16" t="s">
        <v>1</v>
      </c>
      <c r="H86" s="16" t="s">
        <v>69</v>
      </c>
      <c r="I86" s="16" t="s">
        <v>1</v>
      </c>
      <c r="J86" s="16" t="s">
        <v>1</v>
      </c>
      <c r="K86" s="16" t="s">
        <v>1</v>
      </c>
      <c r="L86" s="16" t="s">
        <v>1</v>
      </c>
      <c r="M86" s="143" t="s">
        <v>69</v>
      </c>
      <c r="N86" s="16" t="s">
        <v>69</v>
      </c>
      <c r="O86" s="16" t="s">
        <v>69</v>
      </c>
      <c r="P86" s="16" t="s">
        <v>69</v>
      </c>
      <c r="Q86" s="16" t="s">
        <v>69</v>
      </c>
      <c r="R86" s="16" t="s">
        <v>1</v>
      </c>
      <c r="S86" s="16" t="s">
        <v>1</v>
      </c>
      <c r="T86" s="16" t="s">
        <v>1</v>
      </c>
      <c r="U86" s="16" t="s">
        <v>1</v>
      </c>
      <c r="V86" s="16" t="s">
        <v>1</v>
      </c>
      <c r="W86" s="16" t="s">
        <v>1</v>
      </c>
      <c r="X86" s="16" t="s">
        <v>1</v>
      </c>
      <c r="Y86" s="16" t="s">
        <v>1</v>
      </c>
      <c r="Z86" s="16" t="s">
        <v>69</v>
      </c>
      <c r="AA86" s="16" t="s">
        <v>69</v>
      </c>
      <c r="AB86" s="16" t="s">
        <v>1</v>
      </c>
      <c r="AC86" s="16" t="s">
        <v>69</v>
      </c>
      <c r="AD86" s="227" t="s">
        <v>69</v>
      </c>
      <c r="AE86" s="189"/>
      <c r="AF86" s="189"/>
    </row>
    <row r="87" spans="1:33" ht="30" customHeight="1" outlineLevel="1" x14ac:dyDescent="0.25">
      <c r="A87" s="615"/>
      <c r="B87" s="156" t="s">
        <v>0</v>
      </c>
      <c r="C87" s="16" t="s">
        <v>0</v>
      </c>
      <c r="D87" s="16" t="s">
        <v>4</v>
      </c>
      <c r="E87" s="94" t="s">
        <v>0</v>
      </c>
      <c r="F87" s="297" t="s">
        <v>0</v>
      </c>
      <c r="G87" s="16" t="s">
        <v>0</v>
      </c>
      <c r="H87" s="16" t="s">
        <v>0</v>
      </c>
      <c r="I87" s="16" t="s">
        <v>0</v>
      </c>
      <c r="J87" s="16" t="s">
        <v>0</v>
      </c>
      <c r="K87" s="16" t="s">
        <v>189</v>
      </c>
      <c r="L87" s="16" t="s">
        <v>0</v>
      </c>
      <c r="M87" s="16" t="s">
        <v>0</v>
      </c>
      <c r="N87" s="16" t="s">
        <v>0</v>
      </c>
      <c r="O87" s="16" t="s">
        <v>0</v>
      </c>
      <c r="P87" s="16" t="s">
        <v>4</v>
      </c>
      <c r="Q87" s="16" t="s">
        <v>4</v>
      </c>
      <c r="R87" s="16" t="s">
        <v>0</v>
      </c>
      <c r="S87" s="16" t="s">
        <v>0</v>
      </c>
      <c r="T87" s="16" t="s">
        <v>0</v>
      </c>
      <c r="U87" s="16" t="s">
        <v>0</v>
      </c>
      <c r="V87" s="16" t="s">
        <v>4</v>
      </c>
      <c r="W87" s="16" t="s">
        <v>4</v>
      </c>
      <c r="X87" s="16" t="s">
        <v>4</v>
      </c>
      <c r="Y87" s="16" t="s">
        <v>0</v>
      </c>
      <c r="Z87" s="16" t="s">
        <v>4</v>
      </c>
      <c r="AA87" s="16" t="s">
        <v>4</v>
      </c>
      <c r="AB87" s="16" t="s">
        <v>4</v>
      </c>
      <c r="AC87" s="16" t="s">
        <v>4</v>
      </c>
      <c r="AD87" s="23" t="s">
        <v>4</v>
      </c>
      <c r="AE87" s="189"/>
      <c r="AF87" s="189"/>
    </row>
    <row r="88" spans="1:33" s="76" customFormat="1" ht="30" customHeight="1" thickBot="1" x14ac:dyDescent="0.3">
      <c r="A88" s="616"/>
      <c r="B88" s="149" t="s">
        <v>10</v>
      </c>
      <c r="C88" s="54" t="s">
        <v>544</v>
      </c>
      <c r="D88" s="55" t="s">
        <v>8</v>
      </c>
      <c r="E88" s="54" t="s">
        <v>198</v>
      </c>
      <c r="F88" s="288">
        <v>77</v>
      </c>
      <c r="G88" s="54">
        <v>250000001</v>
      </c>
      <c r="H88" s="55" t="s">
        <v>11</v>
      </c>
      <c r="I88" s="33" t="s">
        <v>207</v>
      </c>
      <c r="J88" s="54" t="s">
        <v>762</v>
      </c>
      <c r="K88" s="54" t="s">
        <v>661</v>
      </c>
      <c r="L88" s="54" t="s">
        <v>214</v>
      </c>
      <c r="M88" s="54" t="s">
        <v>543</v>
      </c>
      <c r="N88" s="54" t="s">
        <v>490</v>
      </c>
      <c r="O88" s="54" t="s">
        <v>266</v>
      </c>
      <c r="P88" s="54" t="s">
        <v>211</v>
      </c>
      <c r="Q88" s="54" t="s">
        <v>9</v>
      </c>
      <c r="R88" s="54" t="s">
        <v>762</v>
      </c>
      <c r="S88" s="54" t="s">
        <v>763</v>
      </c>
      <c r="T88" s="54" t="s">
        <v>263</v>
      </c>
      <c r="U88" s="54">
        <v>1</v>
      </c>
      <c r="V88" s="55" t="s">
        <v>5</v>
      </c>
      <c r="W88" s="55" t="s">
        <v>208</v>
      </c>
      <c r="X88" s="229" t="s">
        <v>203</v>
      </c>
      <c r="Y88" s="54" t="s">
        <v>610</v>
      </c>
      <c r="Z88" s="55" t="s">
        <v>8</v>
      </c>
      <c r="AA88" s="55" t="s">
        <v>8</v>
      </c>
      <c r="AB88" s="55" t="s">
        <v>208</v>
      </c>
      <c r="AC88" s="33" t="s">
        <v>8</v>
      </c>
      <c r="AD88" s="89" t="s">
        <v>9</v>
      </c>
      <c r="AE88" s="188" t="s">
        <v>589</v>
      </c>
      <c r="AF88" s="191"/>
    </row>
    <row r="89" spans="1:33" s="75" customFormat="1" ht="15.75" outlineLevel="1" thickBot="1" x14ac:dyDescent="0.3">
      <c r="B89" s="150" t="s">
        <v>586</v>
      </c>
      <c r="C89" s="75" t="s">
        <v>586</v>
      </c>
      <c r="D89" s="75" t="s">
        <v>586</v>
      </c>
      <c r="E89" s="75" t="s">
        <v>586</v>
      </c>
      <c r="F89" s="276" t="s">
        <v>586</v>
      </c>
      <c r="G89" s="75" t="s">
        <v>586</v>
      </c>
      <c r="H89" s="75" t="s">
        <v>586</v>
      </c>
      <c r="I89" s="75" t="s">
        <v>586</v>
      </c>
      <c r="J89" s="75" t="s">
        <v>586</v>
      </c>
      <c r="K89" s="75" t="s">
        <v>586</v>
      </c>
      <c r="L89" s="75" t="s">
        <v>586</v>
      </c>
      <c r="M89" s="75" t="s">
        <v>586</v>
      </c>
      <c r="N89" s="75" t="s">
        <v>586</v>
      </c>
      <c r="O89" s="75" t="s">
        <v>586</v>
      </c>
      <c r="P89" s="75" t="s">
        <v>586</v>
      </c>
      <c r="Q89" s="75" t="s">
        <v>586</v>
      </c>
      <c r="R89" s="75" t="s">
        <v>586</v>
      </c>
      <c r="S89" s="75" t="s">
        <v>586</v>
      </c>
      <c r="T89" s="75" t="s">
        <v>586</v>
      </c>
      <c r="U89" s="75" t="s">
        <v>586</v>
      </c>
      <c r="V89" s="75" t="s">
        <v>586</v>
      </c>
      <c r="W89" s="75" t="s">
        <v>586</v>
      </c>
      <c r="X89" s="75" t="s">
        <v>586</v>
      </c>
      <c r="Y89" s="75" t="s">
        <v>586</v>
      </c>
      <c r="Z89" s="75" t="s">
        <v>586</v>
      </c>
      <c r="AA89" s="75" t="s">
        <v>586</v>
      </c>
      <c r="AB89" s="75" t="s">
        <v>586</v>
      </c>
      <c r="AC89" s="75" t="s">
        <v>586</v>
      </c>
      <c r="AD89" s="75" t="s">
        <v>586</v>
      </c>
      <c r="AE89" s="189"/>
      <c r="AF89" s="189"/>
    </row>
    <row r="90" spans="1:33" ht="100.15" customHeight="1" x14ac:dyDescent="0.25">
      <c r="A90" s="620" t="s">
        <v>914</v>
      </c>
      <c r="B90" s="151" t="s">
        <v>13</v>
      </c>
      <c r="C90" s="40" t="s">
        <v>14</v>
      </c>
      <c r="D90" s="40" t="s">
        <v>15</v>
      </c>
      <c r="E90" s="41" t="s">
        <v>16</v>
      </c>
      <c r="F90" s="289" t="s">
        <v>17</v>
      </c>
      <c r="G90" s="40" t="s">
        <v>70</v>
      </c>
      <c r="H90" s="40" t="s">
        <v>71</v>
      </c>
      <c r="I90" s="40" t="s">
        <v>72</v>
      </c>
      <c r="J90" s="40" t="s">
        <v>2</v>
      </c>
      <c r="K90" s="40" t="s">
        <v>73</v>
      </c>
      <c r="L90" s="42" t="s">
        <v>74</v>
      </c>
      <c r="M90" s="42" t="s">
        <v>75</v>
      </c>
      <c r="N90" s="40" t="s">
        <v>76</v>
      </c>
      <c r="O90" s="40" t="s">
        <v>77</v>
      </c>
      <c r="P90" s="40" t="s">
        <v>78</v>
      </c>
      <c r="Q90" s="40" t="s">
        <v>79</v>
      </c>
      <c r="R90" s="40" t="s">
        <v>80</v>
      </c>
      <c r="S90" s="40" t="s">
        <v>81</v>
      </c>
      <c r="T90" s="40" t="s">
        <v>82</v>
      </c>
      <c r="U90" s="40" t="s">
        <v>83</v>
      </c>
      <c r="V90" s="40" t="s">
        <v>84</v>
      </c>
      <c r="W90" s="40" t="s">
        <v>3</v>
      </c>
      <c r="X90" s="40" t="s">
        <v>85</v>
      </c>
      <c r="Y90" s="40" t="s">
        <v>86</v>
      </c>
      <c r="Z90" s="40" t="s">
        <v>87</v>
      </c>
      <c r="AA90" s="40" t="s">
        <v>88</v>
      </c>
      <c r="AB90" s="40" t="s">
        <v>89</v>
      </c>
      <c r="AC90" s="40" t="s">
        <v>90</v>
      </c>
      <c r="AD90" s="40" t="s">
        <v>91</v>
      </c>
      <c r="AE90" s="40" t="s">
        <v>92</v>
      </c>
      <c r="AF90" s="43" t="s">
        <v>93</v>
      </c>
    </row>
    <row r="91" spans="1:33" ht="19.899999999999999" customHeight="1" x14ac:dyDescent="0.25">
      <c r="A91" s="615"/>
      <c r="B91" s="152">
        <v>1</v>
      </c>
      <c r="C91" s="44" t="s">
        <v>47</v>
      </c>
      <c r="D91" s="45">
        <v>11</v>
      </c>
      <c r="E91" s="46" t="s">
        <v>48</v>
      </c>
      <c r="F91" s="290" t="s">
        <v>49</v>
      </c>
      <c r="G91" s="47" t="s">
        <v>50</v>
      </c>
      <c r="H91" s="47">
        <v>36</v>
      </c>
      <c r="I91" s="47" t="s">
        <v>94</v>
      </c>
      <c r="J91" s="47" t="s">
        <v>95</v>
      </c>
      <c r="K91" s="47" t="s">
        <v>96</v>
      </c>
      <c r="L91" s="48" t="s">
        <v>97</v>
      </c>
      <c r="M91" s="48" t="s">
        <v>98</v>
      </c>
      <c r="N91" s="47" t="s">
        <v>99</v>
      </c>
      <c r="O91" s="47">
        <v>53</v>
      </c>
      <c r="P91" s="47">
        <v>54</v>
      </c>
      <c r="Q91" s="47" t="s">
        <v>913</v>
      </c>
      <c r="R91" s="47" t="s">
        <v>100</v>
      </c>
      <c r="S91" s="47" t="s">
        <v>101</v>
      </c>
      <c r="T91" s="47" t="s">
        <v>57</v>
      </c>
      <c r="U91" s="47" t="s">
        <v>102</v>
      </c>
      <c r="V91" s="47" t="s">
        <v>103</v>
      </c>
      <c r="W91" s="47" t="s">
        <v>104</v>
      </c>
      <c r="X91" s="47" t="s">
        <v>105</v>
      </c>
      <c r="Y91" s="47" t="s">
        <v>106</v>
      </c>
      <c r="Z91" s="47" t="s">
        <v>107</v>
      </c>
      <c r="AA91" s="47" t="s">
        <v>108</v>
      </c>
      <c r="AB91" s="45" t="s">
        <v>109</v>
      </c>
      <c r="AC91" s="47" t="s">
        <v>110</v>
      </c>
      <c r="AD91" s="45">
        <v>120</v>
      </c>
      <c r="AE91" s="45">
        <v>121</v>
      </c>
      <c r="AF91" s="49" t="s">
        <v>111</v>
      </c>
    </row>
    <row r="92" spans="1:33" ht="30" customHeight="1" outlineLevel="1" x14ac:dyDescent="0.25">
      <c r="A92" s="615"/>
      <c r="B92" s="152">
        <v>1</v>
      </c>
      <c r="C92" s="45">
        <v>9</v>
      </c>
      <c r="D92" s="45">
        <v>1</v>
      </c>
      <c r="E92" s="50">
        <v>13</v>
      </c>
      <c r="F92" s="291">
        <v>2</v>
      </c>
      <c r="G92" s="45">
        <v>9</v>
      </c>
      <c r="H92" s="45">
        <v>1</v>
      </c>
      <c r="I92" s="45">
        <v>2</v>
      </c>
      <c r="J92" s="45">
        <v>2</v>
      </c>
      <c r="K92" s="45">
        <v>3</v>
      </c>
      <c r="L92" s="51">
        <v>6</v>
      </c>
      <c r="M92" s="51">
        <v>1</v>
      </c>
      <c r="N92" s="45">
        <v>2</v>
      </c>
      <c r="O92" s="45">
        <v>1</v>
      </c>
      <c r="P92" s="45">
        <v>1</v>
      </c>
      <c r="Q92" s="45">
        <v>9</v>
      </c>
      <c r="R92" s="45">
        <v>2</v>
      </c>
      <c r="S92" s="45">
        <v>2</v>
      </c>
      <c r="T92" s="45">
        <v>6</v>
      </c>
      <c r="U92" s="45">
        <v>5</v>
      </c>
      <c r="V92" s="45">
        <v>2</v>
      </c>
      <c r="W92" s="45">
        <v>6</v>
      </c>
      <c r="X92" s="45">
        <v>2</v>
      </c>
      <c r="Y92" s="45">
        <v>7</v>
      </c>
      <c r="Z92" s="45">
        <v>7</v>
      </c>
      <c r="AA92" s="45">
        <v>3</v>
      </c>
      <c r="AB92" s="45">
        <v>7</v>
      </c>
      <c r="AC92" s="45">
        <v>7</v>
      </c>
      <c r="AD92" s="45">
        <v>1</v>
      </c>
      <c r="AE92" s="45">
        <v>1</v>
      </c>
      <c r="AF92" s="49">
        <v>7</v>
      </c>
    </row>
    <row r="93" spans="1:33" ht="30" customHeight="1" outlineLevel="1" x14ac:dyDescent="0.25">
      <c r="A93" s="615"/>
      <c r="B93" s="152" t="s">
        <v>1</v>
      </c>
      <c r="C93" s="45" t="s">
        <v>1</v>
      </c>
      <c r="D93" s="45" t="s">
        <v>69</v>
      </c>
      <c r="E93" s="50" t="s">
        <v>69</v>
      </c>
      <c r="F93" s="291" t="s">
        <v>1</v>
      </c>
      <c r="G93" s="45" t="s">
        <v>1</v>
      </c>
      <c r="H93" s="45" t="s">
        <v>69</v>
      </c>
      <c r="I93" s="45" t="s">
        <v>1</v>
      </c>
      <c r="J93" s="45" t="s">
        <v>1</v>
      </c>
      <c r="K93" s="45" t="s">
        <v>1</v>
      </c>
      <c r="L93" s="52" t="s">
        <v>1</v>
      </c>
      <c r="M93" s="52" t="s">
        <v>1</v>
      </c>
      <c r="N93" s="45" t="s">
        <v>69</v>
      </c>
      <c r="O93" s="45" t="s">
        <v>69</v>
      </c>
      <c r="P93" s="53" t="s">
        <v>69</v>
      </c>
      <c r="Q93" s="45" t="s">
        <v>1</v>
      </c>
      <c r="R93" s="45" t="s">
        <v>1</v>
      </c>
      <c r="S93" s="45" t="s">
        <v>1</v>
      </c>
      <c r="T93" s="45" t="s">
        <v>1</v>
      </c>
      <c r="U93" s="45" t="s">
        <v>69</v>
      </c>
      <c r="V93" s="45" t="s">
        <v>1</v>
      </c>
      <c r="W93" s="45" t="s">
        <v>1</v>
      </c>
      <c r="X93" s="45" t="s">
        <v>1</v>
      </c>
      <c r="Y93" s="45" t="s">
        <v>1</v>
      </c>
      <c r="Z93" s="45" t="s">
        <v>1</v>
      </c>
      <c r="AA93" s="45" t="s">
        <v>1</v>
      </c>
      <c r="AB93" s="45" t="s">
        <v>1</v>
      </c>
      <c r="AC93" s="45" t="s">
        <v>1</v>
      </c>
      <c r="AD93" s="45" t="s">
        <v>69</v>
      </c>
      <c r="AE93" s="45" t="s">
        <v>1</v>
      </c>
      <c r="AF93" s="49" t="s">
        <v>1</v>
      </c>
      <c r="AG93" s="2"/>
    </row>
    <row r="94" spans="1:33" ht="30" customHeight="1" outlineLevel="1" x14ac:dyDescent="0.25">
      <c r="A94" s="615"/>
      <c r="B94" s="152" t="s">
        <v>0</v>
      </c>
      <c r="C94" s="45" t="s">
        <v>0</v>
      </c>
      <c r="D94" s="45" t="s">
        <v>4</v>
      </c>
      <c r="E94" s="50" t="s">
        <v>0</v>
      </c>
      <c r="F94" s="291" t="s">
        <v>0</v>
      </c>
      <c r="G94" s="45" t="s">
        <v>0</v>
      </c>
      <c r="H94" s="45" t="s">
        <v>4</v>
      </c>
      <c r="I94" s="45" t="s">
        <v>4</v>
      </c>
      <c r="J94" s="45" t="s">
        <v>4</v>
      </c>
      <c r="K94" s="45" t="s">
        <v>4</v>
      </c>
      <c r="L94" s="52" t="s">
        <v>4</v>
      </c>
      <c r="M94" s="52" t="s">
        <v>0</v>
      </c>
      <c r="N94" s="45" t="s">
        <v>4</v>
      </c>
      <c r="O94" s="45" t="s">
        <v>4</v>
      </c>
      <c r="P94" s="45" t="s">
        <v>4</v>
      </c>
      <c r="Q94" s="45" t="s">
        <v>4</v>
      </c>
      <c r="R94" s="45" t="s">
        <v>4</v>
      </c>
      <c r="S94" s="45" t="s">
        <v>112</v>
      </c>
      <c r="T94" s="45" t="s">
        <v>0</v>
      </c>
      <c r="U94" s="45" t="s">
        <v>0</v>
      </c>
      <c r="V94" s="45" t="s">
        <v>0</v>
      </c>
      <c r="W94" s="45" t="s">
        <v>0</v>
      </c>
      <c r="X94" s="45" t="s">
        <v>0</v>
      </c>
      <c r="Y94" s="45" t="s">
        <v>0</v>
      </c>
      <c r="Z94" s="45" t="s">
        <v>0</v>
      </c>
      <c r="AA94" s="45" t="s">
        <v>0</v>
      </c>
      <c r="AB94" s="45" t="s">
        <v>0</v>
      </c>
      <c r="AC94" s="45" t="s">
        <v>0</v>
      </c>
      <c r="AD94" s="45" t="s">
        <v>4</v>
      </c>
      <c r="AE94" s="45" t="s">
        <v>4</v>
      </c>
      <c r="AF94" s="49" t="s">
        <v>4</v>
      </c>
    </row>
    <row r="95" spans="1:33" s="76" customFormat="1" ht="30" customHeight="1" thickBot="1" x14ac:dyDescent="0.3">
      <c r="A95" s="616"/>
      <c r="B95" s="149" t="s">
        <v>10</v>
      </c>
      <c r="C95" s="54" t="s">
        <v>544</v>
      </c>
      <c r="D95" s="55" t="s">
        <v>8</v>
      </c>
      <c r="E95" s="54" t="s">
        <v>198</v>
      </c>
      <c r="F95" s="288">
        <v>77</v>
      </c>
      <c r="G95" s="54">
        <v>250000001</v>
      </c>
      <c r="H95" s="193" t="s">
        <v>8</v>
      </c>
      <c r="I95" s="193" t="s">
        <v>5</v>
      </c>
      <c r="J95" s="55" t="s">
        <v>5</v>
      </c>
      <c r="K95" s="55" t="s">
        <v>6</v>
      </c>
      <c r="L95" s="55" t="s">
        <v>208</v>
      </c>
      <c r="M95" s="193" t="s">
        <v>397</v>
      </c>
      <c r="N95" s="55" t="s">
        <v>210</v>
      </c>
      <c r="O95" s="55" t="s">
        <v>8</v>
      </c>
      <c r="P95" s="55" t="s">
        <v>8</v>
      </c>
      <c r="Q95" s="54" t="s">
        <v>544</v>
      </c>
      <c r="R95" s="55" t="s">
        <v>5</v>
      </c>
      <c r="S95" s="55" t="s">
        <v>5</v>
      </c>
      <c r="T95" s="55" t="s">
        <v>756</v>
      </c>
      <c r="U95" s="228" t="s">
        <v>395</v>
      </c>
      <c r="V95" s="95" t="s">
        <v>202</v>
      </c>
      <c r="W95" s="54" t="s">
        <v>590</v>
      </c>
      <c r="X95" s="33" t="s">
        <v>207</v>
      </c>
      <c r="Y95" s="96" t="s">
        <v>768</v>
      </c>
      <c r="Z95" s="96" t="s">
        <v>768</v>
      </c>
      <c r="AA95" s="97" t="s">
        <v>766</v>
      </c>
      <c r="AB95" s="96" t="s">
        <v>768</v>
      </c>
      <c r="AC95" s="96" t="s">
        <v>768</v>
      </c>
      <c r="AD95" s="55" t="s">
        <v>8</v>
      </c>
      <c r="AE95" s="193" t="s">
        <v>200</v>
      </c>
      <c r="AF95" s="82" t="s">
        <v>212</v>
      </c>
      <c r="AG95" s="188" t="s">
        <v>589</v>
      </c>
    </row>
    <row r="96" spans="1:33" s="75" customFormat="1" ht="15.75" thickBot="1" x14ac:dyDescent="0.3">
      <c r="B96" s="150" t="s">
        <v>586</v>
      </c>
      <c r="C96" s="75" t="s">
        <v>586</v>
      </c>
      <c r="D96" s="75" t="s">
        <v>586</v>
      </c>
      <c r="E96" s="75" t="s">
        <v>586</v>
      </c>
      <c r="F96" s="276" t="s">
        <v>586</v>
      </c>
      <c r="G96" s="75" t="s">
        <v>586</v>
      </c>
      <c r="H96" s="75" t="s">
        <v>586</v>
      </c>
      <c r="I96" s="75" t="s">
        <v>586</v>
      </c>
      <c r="J96" s="75" t="s">
        <v>586</v>
      </c>
      <c r="K96" s="75" t="s">
        <v>586</v>
      </c>
      <c r="L96" s="75" t="s">
        <v>586</v>
      </c>
      <c r="M96" s="75" t="s">
        <v>586</v>
      </c>
      <c r="N96" s="75" t="s">
        <v>586</v>
      </c>
      <c r="O96" s="75" t="s">
        <v>586</v>
      </c>
      <c r="P96" s="75" t="s">
        <v>586</v>
      </c>
      <c r="Q96" s="75" t="s">
        <v>586</v>
      </c>
      <c r="R96" s="75" t="s">
        <v>586</v>
      </c>
      <c r="S96" s="75" t="s">
        <v>586</v>
      </c>
      <c r="T96" s="75" t="s">
        <v>586</v>
      </c>
      <c r="U96" s="75" t="s">
        <v>586</v>
      </c>
      <c r="V96" s="75" t="s">
        <v>586</v>
      </c>
      <c r="W96" s="75" t="s">
        <v>586</v>
      </c>
      <c r="X96" s="75" t="s">
        <v>586</v>
      </c>
      <c r="Y96" s="75" t="s">
        <v>586</v>
      </c>
      <c r="Z96" s="75" t="s">
        <v>586</v>
      </c>
      <c r="AA96" s="75" t="s">
        <v>586</v>
      </c>
      <c r="AB96" s="75" t="s">
        <v>586</v>
      </c>
      <c r="AC96" s="75" t="s">
        <v>586</v>
      </c>
      <c r="AD96" s="75" t="s">
        <v>586</v>
      </c>
      <c r="AE96" s="75" t="s">
        <v>586</v>
      </c>
      <c r="AF96" s="75" t="s">
        <v>586</v>
      </c>
    </row>
    <row r="97" spans="1:35" ht="100.15" customHeight="1" x14ac:dyDescent="0.25">
      <c r="A97" s="620" t="s">
        <v>915</v>
      </c>
      <c r="B97" s="151" t="s">
        <v>13</v>
      </c>
      <c r="C97" s="40" t="s">
        <v>14</v>
      </c>
      <c r="D97" s="40" t="s">
        <v>15</v>
      </c>
      <c r="E97" s="41" t="s">
        <v>16</v>
      </c>
      <c r="F97" s="289" t="s">
        <v>17</v>
      </c>
      <c r="G97" s="40" t="s">
        <v>70</v>
      </c>
      <c r="H97" s="40" t="s">
        <v>71</v>
      </c>
      <c r="I97" s="40" t="s">
        <v>72</v>
      </c>
      <c r="J97" s="40" t="s">
        <v>2</v>
      </c>
      <c r="K97" s="40" t="s">
        <v>73</v>
      </c>
      <c r="L97" s="42" t="s">
        <v>74</v>
      </c>
      <c r="M97" s="42" t="s">
        <v>75</v>
      </c>
      <c r="N97" s="40" t="s">
        <v>76</v>
      </c>
      <c r="O97" s="40" t="s">
        <v>77</v>
      </c>
      <c r="P97" s="40" t="s">
        <v>78</v>
      </c>
      <c r="Q97" s="40" t="s">
        <v>79</v>
      </c>
      <c r="R97" s="40" t="s">
        <v>80</v>
      </c>
      <c r="S97" s="40" t="s">
        <v>81</v>
      </c>
      <c r="T97" s="40" t="s">
        <v>82</v>
      </c>
      <c r="U97" s="40" t="s">
        <v>83</v>
      </c>
      <c r="V97" s="40" t="s">
        <v>84</v>
      </c>
      <c r="W97" s="40" t="s">
        <v>3</v>
      </c>
      <c r="X97" s="40" t="s">
        <v>85</v>
      </c>
      <c r="Y97" s="40" t="s">
        <v>86</v>
      </c>
      <c r="Z97" s="40" t="s">
        <v>87</v>
      </c>
      <c r="AA97" s="40" t="s">
        <v>88</v>
      </c>
      <c r="AB97" s="40" t="s">
        <v>89</v>
      </c>
      <c r="AC97" s="40" t="s">
        <v>90</v>
      </c>
      <c r="AD97" s="40" t="s">
        <v>91</v>
      </c>
      <c r="AE97" s="40" t="s">
        <v>92</v>
      </c>
      <c r="AF97" s="43" t="s">
        <v>93</v>
      </c>
    </row>
    <row r="98" spans="1:35" ht="19.899999999999999" customHeight="1" x14ac:dyDescent="0.25">
      <c r="A98" s="615"/>
      <c r="B98" s="152">
        <v>1</v>
      </c>
      <c r="C98" s="44" t="s">
        <v>47</v>
      </c>
      <c r="D98" s="45">
        <v>11</v>
      </c>
      <c r="E98" s="46" t="s">
        <v>48</v>
      </c>
      <c r="F98" s="290" t="s">
        <v>49</v>
      </c>
      <c r="G98" s="47" t="s">
        <v>50</v>
      </c>
      <c r="H98" s="47">
        <v>36</v>
      </c>
      <c r="I98" s="47" t="s">
        <v>94</v>
      </c>
      <c r="J98" s="47" t="s">
        <v>95</v>
      </c>
      <c r="K98" s="47" t="s">
        <v>96</v>
      </c>
      <c r="L98" s="48" t="s">
        <v>97</v>
      </c>
      <c r="M98" s="48" t="s">
        <v>98</v>
      </c>
      <c r="N98" s="47" t="s">
        <v>99</v>
      </c>
      <c r="O98" s="47">
        <v>53</v>
      </c>
      <c r="P98" s="47">
        <v>54</v>
      </c>
      <c r="Q98" s="47" t="s">
        <v>913</v>
      </c>
      <c r="R98" s="47" t="s">
        <v>100</v>
      </c>
      <c r="S98" s="47" t="s">
        <v>101</v>
      </c>
      <c r="T98" s="47" t="s">
        <v>57</v>
      </c>
      <c r="U98" s="47" t="s">
        <v>102</v>
      </c>
      <c r="V98" s="47" t="s">
        <v>103</v>
      </c>
      <c r="W98" s="47" t="s">
        <v>104</v>
      </c>
      <c r="X98" s="47" t="s">
        <v>105</v>
      </c>
      <c r="Y98" s="47" t="s">
        <v>106</v>
      </c>
      <c r="Z98" s="47" t="s">
        <v>107</v>
      </c>
      <c r="AA98" s="47" t="s">
        <v>108</v>
      </c>
      <c r="AB98" s="45" t="s">
        <v>109</v>
      </c>
      <c r="AC98" s="47" t="s">
        <v>110</v>
      </c>
      <c r="AD98" s="45">
        <v>120</v>
      </c>
      <c r="AE98" s="45">
        <v>121</v>
      </c>
      <c r="AF98" s="49" t="s">
        <v>111</v>
      </c>
    </row>
    <row r="99" spans="1:35" outlineLevel="1" x14ac:dyDescent="0.25">
      <c r="A99" s="615"/>
      <c r="B99" s="152">
        <v>1</v>
      </c>
      <c r="C99" s="45">
        <v>9</v>
      </c>
      <c r="D99" s="45">
        <v>1</v>
      </c>
      <c r="E99" s="50">
        <v>13</v>
      </c>
      <c r="F99" s="291">
        <v>2</v>
      </c>
      <c r="G99" s="45">
        <v>9</v>
      </c>
      <c r="H99" s="45">
        <v>1</v>
      </c>
      <c r="I99" s="45">
        <v>2</v>
      </c>
      <c r="J99" s="45">
        <v>2</v>
      </c>
      <c r="K99" s="45">
        <v>3</v>
      </c>
      <c r="L99" s="51">
        <v>6</v>
      </c>
      <c r="M99" s="51">
        <v>1</v>
      </c>
      <c r="N99" s="45">
        <v>2</v>
      </c>
      <c r="O99" s="45">
        <v>1</v>
      </c>
      <c r="P99" s="45">
        <v>1</v>
      </c>
      <c r="Q99" s="45">
        <v>9</v>
      </c>
      <c r="R99" s="45">
        <v>2</v>
      </c>
      <c r="S99" s="45">
        <v>2</v>
      </c>
      <c r="T99" s="45">
        <v>6</v>
      </c>
      <c r="U99" s="45">
        <v>5</v>
      </c>
      <c r="V99" s="45">
        <v>2</v>
      </c>
      <c r="W99" s="45">
        <v>6</v>
      </c>
      <c r="X99" s="45">
        <v>2</v>
      </c>
      <c r="Y99" s="45">
        <v>7</v>
      </c>
      <c r="Z99" s="45">
        <v>7</v>
      </c>
      <c r="AA99" s="45">
        <v>3</v>
      </c>
      <c r="AB99" s="45">
        <v>7</v>
      </c>
      <c r="AC99" s="45">
        <v>7</v>
      </c>
      <c r="AD99" s="45">
        <v>1</v>
      </c>
      <c r="AE99" s="45">
        <v>1</v>
      </c>
      <c r="AF99" s="49">
        <v>7</v>
      </c>
    </row>
    <row r="100" spans="1:35" outlineLevel="1" x14ac:dyDescent="0.25">
      <c r="A100" s="615"/>
      <c r="B100" s="152" t="s">
        <v>1</v>
      </c>
      <c r="C100" s="45" t="s">
        <v>1</v>
      </c>
      <c r="D100" s="45" t="s">
        <v>69</v>
      </c>
      <c r="E100" s="50" t="s">
        <v>69</v>
      </c>
      <c r="F100" s="291" t="s">
        <v>1</v>
      </c>
      <c r="G100" s="45" t="s">
        <v>1</v>
      </c>
      <c r="H100" s="45" t="s">
        <v>69</v>
      </c>
      <c r="I100" s="45" t="s">
        <v>1</v>
      </c>
      <c r="J100" s="45" t="s">
        <v>1</v>
      </c>
      <c r="K100" s="45" t="s">
        <v>1</v>
      </c>
      <c r="L100" s="52" t="s">
        <v>1</v>
      </c>
      <c r="M100" s="52" t="s">
        <v>1</v>
      </c>
      <c r="N100" s="45" t="s">
        <v>69</v>
      </c>
      <c r="O100" s="45" t="s">
        <v>69</v>
      </c>
      <c r="P100" s="53" t="s">
        <v>69</v>
      </c>
      <c r="Q100" s="45" t="s">
        <v>1</v>
      </c>
      <c r="R100" s="45" t="s">
        <v>1</v>
      </c>
      <c r="S100" s="45" t="s">
        <v>1</v>
      </c>
      <c r="T100" s="45" t="s">
        <v>1</v>
      </c>
      <c r="U100" s="45" t="s">
        <v>69</v>
      </c>
      <c r="V100" s="45" t="s">
        <v>1</v>
      </c>
      <c r="W100" s="45" t="s">
        <v>1</v>
      </c>
      <c r="X100" s="45" t="s">
        <v>1</v>
      </c>
      <c r="Y100" s="45" t="s">
        <v>1</v>
      </c>
      <c r="Z100" s="45" t="s">
        <v>1</v>
      </c>
      <c r="AA100" s="45" t="s">
        <v>1</v>
      </c>
      <c r="AB100" s="45" t="s">
        <v>1</v>
      </c>
      <c r="AC100" s="45" t="s">
        <v>1</v>
      </c>
      <c r="AD100" s="45" t="s">
        <v>69</v>
      </c>
      <c r="AE100" s="45" t="s">
        <v>1</v>
      </c>
      <c r="AF100" s="49" t="s">
        <v>1</v>
      </c>
      <c r="AG100" s="2"/>
    </row>
    <row r="101" spans="1:35" outlineLevel="1" x14ac:dyDescent="0.25">
      <c r="A101" s="615"/>
      <c r="B101" s="152" t="s">
        <v>0</v>
      </c>
      <c r="C101" s="45" t="s">
        <v>0</v>
      </c>
      <c r="D101" s="45" t="s">
        <v>4</v>
      </c>
      <c r="E101" s="50" t="s">
        <v>0</v>
      </c>
      <c r="F101" s="291" t="s">
        <v>0</v>
      </c>
      <c r="G101" s="45" t="s">
        <v>0</v>
      </c>
      <c r="H101" s="45" t="s">
        <v>4</v>
      </c>
      <c r="I101" s="45" t="s">
        <v>4</v>
      </c>
      <c r="J101" s="45" t="s">
        <v>4</v>
      </c>
      <c r="K101" s="45" t="s">
        <v>4</v>
      </c>
      <c r="L101" s="52" t="s">
        <v>4</v>
      </c>
      <c r="M101" s="52" t="s">
        <v>0</v>
      </c>
      <c r="N101" s="45" t="s">
        <v>4</v>
      </c>
      <c r="O101" s="45" t="s">
        <v>4</v>
      </c>
      <c r="P101" s="45" t="s">
        <v>4</v>
      </c>
      <c r="Q101" s="45" t="s">
        <v>4</v>
      </c>
      <c r="R101" s="45" t="s">
        <v>4</v>
      </c>
      <c r="S101" s="45" t="s">
        <v>112</v>
      </c>
      <c r="T101" s="45" t="s">
        <v>0</v>
      </c>
      <c r="U101" s="45" t="s">
        <v>0</v>
      </c>
      <c r="V101" s="45" t="s">
        <v>0</v>
      </c>
      <c r="W101" s="45" t="s">
        <v>0</v>
      </c>
      <c r="X101" s="45" t="s">
        <v>0</v>
      </c>
      <c r="Y101" s="45" t="s">
        <v>0</v>
      </c>
      <c r="Z101" s="45" t="s">
        <v>0</v>
      </c>
      <c r="AA101" s="45" t="s">
        <v>0</v>
      </c>
      <c r="AB101" s="45" t="s">
        <v>0</v>
      </c>
      <c r="AC101" s="45" t="s">
        <v>0</v>
      </c>
      <c r="AD101" s="45" t="s">
        <v>4</v>
      </c>
      <c r="AE101" s="45" t="s">
        <v>4</v>
      </c>
      <c r="AF101" s="49" t="s">
        <v>4</v>
      </c>
    </row>
    <row r="102" spans="1:35" ht="30" customHeight="1" thickBot="1" x14ac:dyDescent="0.3">
      <c r="A102" s="616"/>
      <c r="B102" s="149" t="s">
        <v>10</v>
      </c>
      <c r="C102" s="54" t="s">
        <v>544</v>
      </c>
      <c r="D102" s="55" t="s">
        <v>8</v>
      </c>
      <c r="E102" s="54" t="s">
        <v>198</v>
      </c>
      <c r="F102" s="288">
        <v>77</v>
      </c>
      <c r="G102" s="54">
        <v>250000001</v>
      </c>
      <c r="H102" s="193" t="s">
        <v>8</v>
      </c>
      <c r="I102" s="193" t="s">
        <v>5</v>
      </c>
      <c r="J102" s="55" t="s">
        <v>5</v>
      </c>
      <c r="K102" s="55" t="s">
        <v>6</v>
      </c>
      <c r="L102" s="55" t="s">
        <v>208</v>
      </c>
      <c r="M102" s="193" t="s">
        <v>397</v>
      </c>
      <c r="N102" s="55" t="s">
        <v>210</v>
      </c>
      <c r="O102" s="55" t="s">
        <v>8</v>
      </c>
      <c r="P102" s="55" t="s">
        <v>8</v>
      </c>
      <c r="Q102" s="54" t="s">
        <v>544</v>
      </c>
      <c r="R102" s="55" t="s">
        <v>5</v>
      </c>
      <c r="S102" s="55" t="s">
        <v>5</v>
      </c>
      <c r="T102" s="33" t="s">
        <v>756</v>
      </c>
      <c r="U102" s="228" t="s">
        <v>243</v>
      </c>
      <c r="V102" s="55" t="s">
        <v>202</v>
      </c>
      <c r="W102" s="54" t="s">
        <v>590</v>
      </c>
      <c r="X102" s="33" t="s">
        <v>207</v>
      </c>
      <c r="Y102" s="54" t="s">
        <v>769</v>
      </c>
      <c r="Z102" s="96" t="s">
        <v>769</v>
      </c>
      <c r="AA102" s="54" t="s">
        <v>766</v>
      </c>
      <c r="AB102" s="54" t="s">
        <v>769</v>
      </c>
      <c r="AC102" s="54" t="s">
        <v>769</v>
      </c>
      <c r="AD102" s="55" t="s">
        <v>8</v>
      </c>
      <c r="AE102" s="193" t="s">
        <v>200</v>
      </c>
      <c r="AF102" s="82" t="s">
        <v>212</v>
      </c>
      <c r="AG102" s="188" t="s">
        <v>589</v>
      </c>
      <c r="AH102" s="76"/>
      <c r="AI102" s="76"/>
    </row>
    <row r="103" spans="1:35" s="75" customFormat="1" ht="15.75" thickBot="1" x14ac:dyDescent="0.3">
      <c r="B103" s="150" t="s">
        <v>586</v>
      </c>
      <c r="C103" s="75" t="s">
        <v>586</v>
      </c>
      <c r="D103" s="75" t="s">
        <v>586</v>
      </c>
      <c r="E103" s="75" t="s">
        <v>586</v>
      </c>
      <c r="F103" s="276" t="s">
        <v>586</v>
      </c>
      <c r="G103" s="75" t="s">
        <v>586</v>
      </c>
      <c r="H103" s="75" t="s">
        <v>586</v>
      </c>
      <c r="I103" s="75" t="s">
        <v>586</v>
      </c>
      <c r="J103" s="75" t="s">
        <v>586</v>
      </c>
      <c r="K103" s="75" t="s">
        <v>586</v>
      </c>
      <c r="L103" s="75" t="s">
        <v>586</v>
      </c>
      <c r="M103" s="75" t="s">
        <v>586</v>
      </c>
      <c r="N103" s="75" t="s">
        <v>586</v>
      </c>
      <c r="O103" s="75" t="s">
        <v>586</v>
      </c>
      <c r="P103" s="75" t="s">
        <v>586</v>
      </c>
      <c r="Q103" s="75" t="s">
        <v>586</v>
      </c>
      <c r="R103" s="75" t="s">
        <v>586</v>
      </c>
      <c r="S103" s="75" t="s">
        <v>586</v>
      </c>
      <c r="T103" s="75" t="s">
        <v>586</v>
      </c>
      <c r="U103" s="75" t="s">
        <v>586</v>
      </c>
      <c r="V103" s="75" t="s">
        <v>586</v>
      </c>
      <c r="W103" s="75" t="s">
        <v>586</v>
      </c>
      <c r="X103" s="75" t="s">
        <v>586</v>
      </c>
      <c r="Y103" s="75" t="s">
        <v>586</v>
      </c>
      <c r="Z103" s="75" t="s">
        <v>586</v>
      </c>
      <c r="AA103" s="75" t="s">
        <v>586</v>
      </c>
      <c r="AB103" s="75" t="s">
        <v>586</v>
      </c>
      <c r="AC103" s="75" t="s">
        <v>586</v>
      </c>
      <c r="AD103" s="75" t="s">
        <v>586</v>
      </c>
      <c r="AE103" s="75" t="s">
        <v>586</v>
      </c>
      <c r="AF103" s="75" t="s">
        <v>586</v>
      </c>
    </row>
    <row r="104" spans="1:35" ht="100.15" customHeight="1" x14ac:dyDescent="0.25">
      <c r="A104" s="620" t="s">
        <v>917</v>
      </c>
      <c r="B104" s="151" t="s">
        <v>13</v>
      </c>
      <c r="C104" s="40" t="s">
        <v>14</v>
      </c>
      <c r="D104" s="40" t="s">
        <v>15</v>
      </c>
      <c r="E104" s="41" t="s">
        <v>16</v>
      </c>
      <c r="F104" s="289" t="s">
        <v>17</v>
      </c>
      <c r="G104" s="40" t="s">
        <v>70</v>
      </c>
      <c r="H104" s="40" t="s">
        <v>71</v>
      </c>
      <c r="I104" s="40" t="s">
        <v>72</v>
      </c>
      <c r="J104" s="40" t="s">
        <v>2</v>
      </c>
      <c r="K104" s="40" t="s">
        <v>73</v>
      </c>
      <c r="L104" s="42" t="s">
        <v>74</v>
      </c>
      <c r="M104" s="42" t="s">
        <v>75</v>
      </c>
      <c r="N104" s="40" t="s">
        <v>76</v>
      </c>
      <c r="O104" s="40" t="s">
        <v>77</v>
      </c>
      <c r="P104" s="40" t="s">
        <v>78</v>
      </c>
      <c r="Q104" s="40" t="s">
        <v>79</v>
      </c>
      <c r="R104" s="40" t="s">
        <v>80</v>
      </c>
      <c r="S104" s="40" t="s">
        <v>81</v>
      </c>
      <c r="T104" s="40" t="s">
        <v>82</v>
      </c>
      <c r="U104" s="40" t="s">
        <v>83</v>
      </c>
      <c r="V104" s="40" t="s">
        <v>84</v>
      </c>
      <c r="W104" s="40" t="s">
        <v>3</v>
      </c>
      <c r="X104" s="40" t="s">
        <v>85</v>
      </c>
      <c r="Y104" s="40" t="s">
        <v>86</v>
      </c>
      <c r="Z104" s="40" t="s">
        <v>87</v>
      </c>
      <c r="AA104" s="40" t="s">
        <v>88</v>
      </c>
      <c r="AB104" s="40" t="s">
        <v>89</v>
      </c>
      <c r="AC104" s="40" t="s">
        <v>90</v>
      </c>
      <c r="AD104" s="40" t="s">
        <v>91</v>
      </c>
      <c r="AE104" s="40" t="s">
        <v>92</v>
      </c>
      <c r="AF104" s="43" t="s">
        <v>93</v>
      </c>
      <c r="AG104" s="2"/>
    </row>
    <row r="105" spans="1:35" ht="19.899999999999999" customHeight="1" x14ac:dyDescent="0.25">
      <c r="A105" s="615"/>
      <c r="B105" s="152">
        <v>1</v>
      </c>
      <c r="C105" s="44" t="s">
        <v>47</v>
      </c>
      <c r="D105" s="45">
        <v>11</v>
      </c>
      <c r="E105" s="46" t="s">
        <v>48</v>
      </c>
      <c r="F105" s="290" t="s">
        <v>49</v>
      </c>
      <c r="G105" s="47" t="s">
        <v>50</v>
      </c>
      <c r="H105" s="47">
        <v>36</v>
      </c>
      <c r="I105" s="47" t="s">
        <v>94</v>
      </c>
      <c r="J105" s="47" t="s">
        <v>95</v>
      </c>
      <c r="K105" s="47" t="s">
        <v>96</v>
      </c>
      <c r="L105" s="48" t="s">
        <v>97</v>
      </c>
      <c r="M105" s="48" t="s">
        <v>98</v>
      </c>
      <c r="N105" s="47" t="s">
        <v>99</v>
      </c>
      <c r="O105" s="47">
        <v>53</v>
      </c>
      <c r="P105" s="47">
        <v>54</v>
      </c>
      <c r="Q105" s="47" t="s">
        <v>913</v>
      </c>
      <c r="R105" s="47" t="s">
        <v>100</v>
      </c>
      <c r="S105" s="47" t="s">
        <v>101</v>
      </c>
      <c r="T105" s="47" t="s">
        <v>57</v>
      </c>
      <c r="U105" s="47" t="s">
        <v>102</v>
      </c>
      <c r="V105" s="47" t="s">
        <v>103</v>
      </c>
      <c r="W105" s="47" t="s">
        <v>104</v>
      </c>
      <c r="X105" s="47" t="s">
        <v>105</v>
      </c>
      <c r="Y105" s="47" t="s">
        <v>106</v>
      </c>
      <c r="Z105" s="47" t="s">
        <v>107</v>
      </c>
      <c r="AA105" s="47" t="s">
        <v>108</v>
      </c>
      <c r="AB105" s="45" t="s">
        <v>109</v>
      </c>
      <c r="AC105" s="47" t="s">
        <v>110</v>
      </c>
      <c r="AD105" s="45">
        <v>120</v>
      </c>
      <c r="AE105" s="45">
        <v>121</v>
      </c>
      <c r="AF105" s="49" t="s">
        <v>111</v>
      </c>
    </row>
    <row r="106" spans="1:35" outlineLevel="1" x14ac:dyDescent="0.25">
      <c r="A106" s="615"/>
      <c r="B106" s="152">
        <v>1</v>
      </c>
      <c r="C106" s="45">
        <v>9</v>
      </c>
      <c r="D106" s="45">
        <v>1</v>
      </c>
      <c r="E106" s="50">
        <v>13</v>
      </c>
      <c r="F106" s="291">
        <v>2</v>
      </c>
      <c r="G106" s="45">
        <v>9</v>
      </c>
      <c r="H106" s="45">
        <v>1</v>
      </c>
      <c r="I106" s="45">
        <v>2</v>
      </c>
      <c r="J106" s="45">
        <v>2</v>
      </c>
      <c r="K106" s="45">
        <v>3</v>
      </c>
      <c r="L106" s="51">
        <v>6</v>
      </c>
      <c r="M106" s="51">
        <v>1</v>
      </c>
      <c r="N106" s="45">
        <v>2</v>
      </c>
      <c r="O106" s="45">
        <v>1</v>
      </c>
      <c r="P106" s="45">
        <v>1</v>
      </c>
      <c r="Q106" s="45">
        <v>9</v>
      </c>
      <c r="R106" s="45">
        <v>2</v>
      </c>
      <c r="S106" s="45">
        <v>2</v>
      </c>
      <c r="T106" s="45">
        <v>6</v>
      </c>
      <c r="U106" s="45">
        <v>5</v>
      </c>
      <c r="V106" s="45">
        <v>2</v>
      </c>
      <c r="W106" s="45">
        <v>6</v>
      </c>
      <c r="X106" s="45">
        <v>2</v>
      </c>
      <c r="Y106" s="45">
        <v>7</v>
      </c>
      <c r="Z106" s="45">
        <v>7</v>
      </c>
      <c r="AA106" s="45">
        <v>3</v>
      </c>
      <c r="AB106" s="45">
        <v>7</v>
      </c>
      <c r="AC106" s="45">
        <v>7</v>
      </c>
      <c r="AD106" s="45">
        <v>1</v>
      </c>
      <c r="AE106" s="45">
        <v>1</v>
      </c>
      <c r="AF106" s="49">
        <v>7</v>
      </c>
    </row>
    <row r="107" spans="1:35" outlineLevel="1" x14ac:dyDescent="0.25">
      <c r="A107" s="615"/>
      <c r="B107" s="152" t="s">
        <v>1</v>
      </c>
      <c r="C107" s="45" t="s">
        <v>1</v>
      </c>
      <c r="D107" s="45" t="s">
        <v>69</v>
      </c>
      <c r="E107" s="50" t="s">
        <v>69</v>
      </c>
      <c r="F107" s="291" t="s">
        <v>1</v>
      </c>
      <c r="G107" s="45" t="s">
        <v>1</v>
      </c>
      <c r="H107" s="45" t="s">
        <v>69</v>
      </c>
      <c r="I107" s="45" t="s">
        <v>1</v>
      </c>
      <c r="J107" s="45" t="s">
        <v>1</v>
      </c>
      <c r="K107" s="45" t="s">
        <v>1</v>
      </c>
      <c r="L107" s="52" t="s">
        <v>1</v>
      </c>
      <c r="M107" s="52" t="s">
        <v>1</v>
      </c>
      <c r="N107" s="45" t="s">
        <v>69</v>
      </c>
      <c r="O107" s="45" t="s">
        <v>69</v>
      </c>
      <c r="P107" s="53" t="s">
        <v>69</v>
      </c>
      <c r="Q107" s="45" t="s">
        <v>1</v>
      </c>
      <c r="R107" s="45" t="s">
        <v>1</v>
      </c>
      <c r="S107" s="45" t="s">
        <v>1</v>
      </c>
      <c r="T107" s="45" t="s">
        <v>1</v>
      </c>
      <c r="U107" s="45" t="s">
        <v>69</v>
      </c>
      <c r="V107" s="45" t="s">
        <v>1</v>
      </c>
      <c r="W107" s="45" t="s">
        <v>1</v>
      </c>
      <c r="X107" s="45" t="s">
        <v>1</v>
      </c>
      <c r="Y107" s="45" t="s">
        <v>1</v>
      </c>
      <c r="Z107" s="45" t="s">
        <v>1</v>
      </c>
      <c r="AA107" s="45" t="s">
        <v>1</v>
      </c>
      <c r="AB107" s="45" t="s">
        <v>1</v>
      </c>
      <c r="AC107" s="45" t="s">
        <v>1</v>
      </c>
      <c r="AD107" s="45" t="s">
        <v>69</v>
      </c>
      <c r="AE107" s="45" t="s">
        <v>1</v>
      </c>
      <c r="AF107" s="49" t="s">
        <v>1</v>
      </c>
    </row>
    <row r="108" spans="1:35" outlineLevel="1" x14ac:dyDescent="0.25">
      <c r="A108" s="615"/>
      <c r="B108" s="152" t="s">
        <v>0</v>
      </c>
      <c r="C108" s="45" t="s">
        <v>0</v>
      </c>
      <c r="D108" s="45" t="s">
        <v>4</v>
      </c>
      <c r="E108" s="50" t="s">
        <v>0</v>
      </c>
      <c r="F108" s="291" t="s">
        <v>0</v>
      </c>
      <c r="G108" s="45" t="s">
        <v>0</v>
      </c>
      <c r="H108" s="45" t="s">
        <v>4</v>
      </c>
      <c r="I108" s="45" t="s">
        <v>4</v>
      </c>
      <c r="J108" s="45" t="s">
        <v>4</v>
      </c>
      <c r="K108" s="45" t="s">
        <v>4</v>
      </c>
      <c r="L108" s="52" t="s">
        <v>4</v>
      </c>
      <c r="M108" s="52" t="s">
        <v>0</v>
      </c>
      <c r="N108" s="45" t="s">
        <v>4</v>
      </c>
      <c r="O108" s="45" t="s">
        <v>4</v>
      </c>
      <c r="P108" s="45" t="s">
        <v>4</v>
      </c>
      <c r="Q108" s="45" t="s">
        <v>4</v>
      </c>
      <c r="R108" s="45" t="s">
        <v>4</v>
      </c>
      <c r="S108" s="45" t="s">
        <v>112</v>
      </c>
      <c r="T108" s="45" t="s">
        <v>0</v>
      </c>
      <c r="U108" s="45" t="s">
        <v>0</v>
      </c>
      <c r="V108" s="45" t="s">
        <v>0</v>
      </c>
      <c r="W108" s="45" t="s">
        <v>0</v>
      </c>
      <c r="X108" s="45" t="s">
        <v>0</v>
      </c>
      <c r="Y108" s="45" t="s">
        <v>0</v>
      </c>
      <c r="Z108" s="45" t="s">
        <v>0</v>
      </c>
      <c r="AA108" s="45" t="s">
        <v>0</v>
      </c>
      <c r="AB108" s="45" t="s">
        <v>0</v>
      </c>
      <c r="AC108" s="45" t="s">
        <v>0</v>
      </c>
      <c r="AD108" s="45" t="s">
        <v>4</v>
      </c>
      <c r="AE108" s="45" t="s">
        <v>4</v>
      </c>
      <c r="AF108" s="49" t="s">
        <v>4</v>
      </c>
    </row>
    <row r="109" spans="1:35" ht="30" customHeight="1" thickBot="1" x14ac:dyDescent="0.3">
      <c r="A109" s="616"/>
      <c r="B109" s="149" t="s">
        <v>10</v>
      </c>
      <c r="C109" s="54" t="s">
        <v>544</v>
      </c>
      <c r="D109" s="55" t="s">
        <v>8</v>
      </c>
      <c r="E109" s="54" t="s">
        <v>198</v>
      </c>
      <c r="F109" s="288">
        <v>77</v>
      </c>
      <c r="G109" s="54">
        <v>250000001</v>
      </c>
      <c r="H109" s="193" t="s">
        <v>8</v>
      </c>
      <c r="I109" s="193" t="s">
        <v>5</v>
      </c>
      <c r="J109" s="55" t="s">
        <v>5</v>
      </c>
      <c r="K109" s="55" t="s">
        <v>6</v>
      </c>
      <c r="L109" s="55" t="s">
        <v>208</v>
      </c>
      <c r="M109" s="193" t="s">
        <v>397</v>
      </c>
      <c r="N109" s="55" t="s">
        <v>210</v>
      </c>
      <c r="O109" s="55" t="s">
        <v>8</v>
      </c>
      <c r="P109" s="55" t="s">
        <v>8</v>
      </c>
      <c r="Q109" s="54" t="s">
        <v>544</v>
      </c>
      <c r="R109" s="55" t="s">
        <v>5</v>
      </c>
      <c r="S109" s="55" t="s">
        <v>5</v>
      </c>
      <c r="T109" s="33" t="s">
        <v>756</v>
      </c>
      <c r="U109" s="228" t="s">
        <v>244</v>
      </c>
      <c r="V109" s="33" t="s">
        <v>202</v>
      </c>
      <c r="W109" s="54" t="s">
        <v>590</v>
      </c>
      <c r="X109" s="33" t="s">
        <v>207</v>
      </c>
      <c r="Y109" s="54" t="s">
        <v>595</v>
      </c>
      <c r="Z109" s="96" t="s">
        <v>595</v>
      </c>
      <c r="AA109" s="54" t="s">
        <v>6</v>
      </c>
      <c r="AB109" s="54" t="s">
        <v>212</v>
      </c>
      <c r="AC109" s="54" t="s">
        <v>212</v>
      </c>
      <c r="AD109" s="193" t="s">
        <v>498</v>
      </c>
      <c r="AE109" s="193" t="s">
        <v>200</v>
      </c>
      <c r="AF109" s="54" t="s">
        <v>212</v>
      </c>
      <c r="AG109" s="188" t="s">
        <v>589</v>
      </c>
      <c r="AH109" s="76"/>
      <c r="AI109" s="76"/>
    </row>
    <row r="110" spans="1:35" s="75" customFormat="1" ht="15.75" thickBot="1" x14ac:dyDescent="0.3">
      <c r="B110" s="150" t="s">
        <v>586</v>
      </c>
      <c r="C110" s="75" t="s">
        <v>586</v>
      </c>
      <c r="D110" s="75" t="s">
        <v>586</v>
      </c>
      <c r="E110" s="75" t="s">
        <v>586</v>
      </c>
      <c r="F110" s="276" t="s">
        <v>586</v>
      </c>
      <c r="G110" s="75" t="s">
        <v>586</v>
      </c>
      <c r="H110" s="75" t="s">
        <v>586</v>
      </c>
      <c r="I110" s="75" t="s">
        <v>586</v>
      </c>
      <c r="J110" s="75" t="s">
        <v>586</v>
      </c>
      <c r="K110" s="75" t="s">
        <v>586</v>
      </c>
      <c r="L110" s="75" t="s">
        <v>586</v>
      </c>
      <c r="M110" s="75" t="s">
        <v>586</v>
      </c>
      <c r="N110" s="75" t="s">
        <v>586</v>
      </c>
      <c r="O110" s="75" t="s">
        <v>586</v>
      </c>
      <c r="P110" s="75" t="s">
        <v>586</v>
      </c>
      <c r="Q110" s="75" t="s">
        <v>586</v>
      </c>
      <c r="R110" s="75" t="s">
        <v>586</v>
      </c>
      <c r="S110" s="75" t="s">
        <v>586</v>
      </c>
      <c r="T110" s="75" t="s">
        <v>586</v>
      </c>
      <c r="U110" s="75" t="s">
        <v>586</v>
      </c>
      <c r="V110" s="75" t="s">
        <v>586</v>
      </c>
      <c r="W110" s="75" t="s">
        <v>586</v>
      </c>
      <c r="X110" s="75" t="s">
        <v>586</v>
      </c>
      <c r="Y110" s="75" t="s">
        <v>586</v>
      </c>
      <c r="Z110" s="75" t="s">
        <v>586</v>
      </c>
      <c r="AA110" s="75" t="s">
        <v>586</v>
      </c>
      <c r="AB110" s="75" t="s">
        <v>586</v>
      </c>
      <c r="AC110" s="75" t="s">
        <v>586</v>
      </c>
      <c r="AD110" s="75" t="s">
        <v>586</v>
      </c>
      <c r="AE110" s="75" t="s">
        <v>586</v>
      </c>
      <c r="AF110" s="75" t="s">
        <v>586</v>
      </c>
    </row>
    <row r="111" spans="1:35" ht="100.15" customHeight="1" x14ac:dyDescent="0.25">
      <c r="A111" s="620" t="s">
        <v>918</v>
      </c>
      <c r="B111" s="151" t="s">
        <v>13</v>
      </c>
      <c r="C111" s="40" t="s">
        <v>14</v>
      </c>
      <c r="D111" s="40" t="s">
        <v>15</v>
      </c>
      <c r="E111" s="41" t="s">
        <v>16</v>
      </c>
      <c r="F111" s="289" t="s">
        <v>17</v>
      </c>
      <c r="G111" s="40" t="s">
        <v>70</v>
      </c>
      <c r="H111" s="40" t="s">
        <v>71</v>
      </c>
      <c r="I111" s="40" t="s">
        <v>72</v>
      </c>
      <c r="J111" s="40" t="s">
        <v>2</v>
      </c>
      <c r="K111" s="40" t="s">
        <v>73</v>
      </c>
      <c r="L111" s="42" t="s">
        <v>74</v>
      </c>
      <c r="M111" s="42" t="s">
        <v>75</v>
      </c>
      <c r="N111" s="40" t="s">
        <v>76</v>
      </c>
      <c r="O111" s="40" t="s">
        <v>77</v>
      </c>
      <c r="P111" s="40" t="s">
        <v>78</v>
      </c>
      <c r="Q111" s="40" t="s">
        <v>79</v>
      </c>
      <c r="R111" s="40" t="s">
        <v>80</v>
      </c>
      <c r="S111" s="40" t="s">
        <v>81</v>
      </c>
      <c r="T111" s="40" t="s">
        <v>82</v>
      </c>
      <c r="U111" s="40" t="s">
        <v>83</v>
      </c>
      <c r="V111" s="40" t="s">
        <v>84</v>
      </c>
      <c r="W111" s="40" t="s">
        <v>3</v>
      </c>
      <c r="X111" s="40" t="s">
        <v>85</v>
      </c>
      <c r="Y111" s="40" t="s">
        <v>86</v>
      </c>
      <c r="Z111" s="40" t="s">
        <v>87</v>
      </c>
      <c r="AA111" s="40" t="s">
        <v>88</v>
      </c>
      <c r="AB111" s="40" t="s">
        <v>89</v>
      </c>
      <c r="AC111" s="40" t="s">
        <v>90</v>
      </c>
      <c r="AD111" s="40" t="s">
        <v>91</v>
      </c>
      <c r="AE111" s="40" t="s">
        <v>92</v>
      </c>
      <c r="AF111" s="43" t="s">
        <v>93</v>
      </c>
      <c r="AG111" s="2"/>
    </row>
    <row r="112" spans="1:35" ht="19.899999999999999" customHeight="1" x14ac:dyDescent="0.25">
      <c r="A112" s="615"/>
      <c r="B112" s="152">
        <v>1</v>
      </c>
      <c r="C112" s="44" t="s">
        <v>47</v>
      </c>
      <c r="D112" s="45">
        <v>11</v>
      </c>
      <c r="E112" s="46" t="s">
        <v>48</v>
      </c>
      <c r="F112" s="290" t="s">
        <v>49</v>
      </c>
      <c r="G112" s="47" t="s">
        <v>50</v>
      </c>
      <c r="H112" s="47">
        <v>36</v>
      </c>
      <c r="I112" s="47" t="s">
        <v>94</v>
      </c>
      <c r="J112" s="47" t="s">
        <v>95</v>
      </c>
      <c r="K112" s="47" t="s">
        <v>96</v>
      </c>
      <c r="L112" s="48" t="s">
        <v>97</v>
      </c>
      <c r="M112" s="48" t="s">
        <v>98</v>
      </c>
      <c r="N112" s="47" t="s">
        <v>99</v>
      </c>
      <c r="O112" s="47">
        <v>53</v>
      </c>
      <c r="P112" s="47">
        <v>54</v>
      </c>
      <c r="Q112" s="47" t="s">
        <v>913</v>
      </c>
      <c r="R112" s="47" t="s">
        <v>100</v>
      </c>
      <c r="S112" s="47" t="s">
        <v>101</v>
      </c>
      <c r="T112" s="47" t="s">
        <v>57</v>
      </c>
      <c r="U112" s="47" t="s">
        <v>102</v>
      </c>
      <c r="V112" s="47" t="s">
        <v>103</v>
      </c>
      <c r="W112" s="47" t="s">
        <v>104</v>
      </c>
      <c r="X112" s="47" t="s">
        <v>105</v>
      </c>
      <c r="Y112" s="47" t="s">
        <v>106</v>
      </c>
      <c r="Z112" s="47" t="s">
        <v>107</v>
      </c>
      <c r="AA112" s="47" t="s">
        <v>108</v>
      </c>
      <c r="AB112" s="45" t="s">
        <v>109</v>
      </c>
      <c r="AC112" s="47" t="s">
        <v>110</v>
      </c>
      <c r="AD112" s="45">
        <v>120</v>
      </c>
      <c r="AE112" s="45">
        <v>121</v>
      </c>
      <c r="AF112" s="49" t="s">
        <v>111</v>
      </c>
    </row>
    <row r="113" spans="1:35" outlineLevel="1" x14ac:dyDescent="0.25">
      <c r="A113" s="615"/>
      <c r="B113" s="152">
        <v>1</v>
      </c>
      <c r="C113" s="45">
        <v>9</v>
      </c>
      <c r="D113" s="45">
        <v>1</v>
      </c>
      <c r="E113" s="50">
        <v>13</v>
      </c>
      <c r="F113" s="291">
        <v>2</v>
      </c>
      <c r="G113" s="45">
        <v>9</v>
      </c>
      <c r="H113" s="45">
        <v>1</v>
      </c>
      <c r="I113" s="45">
        <v>2</v>
      </c>
      <c r="J113" s="45">
        <v>2</v>
      </c>
      <c r="K113" s="45">
        <v>3</v>
      </c>
      <c r="L113" s="51">
        <v>6</v>
      </c>
      <c r="M113" s="51">
        <v>1</v>
      </c>
      <c r="N113" s="45">
        <v>2</v>
      </c>
      <c r="O113" s="45">
        <v>1</v>
      </c>
      <c r="P113" s="45">
        <v>1</v>
      </c>
      <c r="Q113" s="45">
        <v>9</v>
      </c>
      <c r="R113" s="45">
        <v>2</v>
      </c>
      <c r="S113" s="45">
        <v>2</v>
      </c>
      <c r="T113" s="45">
        <v>6</v>
      </c>
      <c r="U113" s="45">
        <v>5</v>
      </c>
      <c r="V113" s="45">
        <v>2</v>
      </c>
      <c r="W113" s="45">
        <v>6</v>
      </c>
      <c r="X113" s="45">
        <v>2</v>
      </c>
      <c r="Y113" s="45">
        <v>7</v>
      </c>
      <c r="Z113" s="45">
        <v>7</v>
      </c>
      <c r="AA113" s="45">
        <v>3</v>
      </c>
      <c r="AB113" s="45">
        <v>7</v>
      </c>
      <c r="AC113" s="45">
        <v>7</v>
      </c>
      <c r="AD113" s="45">
        <v>1</v>
      </c>
      <c r="AE113" s="45">
        <v>1</v>
      </c>
      <c r="AF113" s="49">
        <v>7</v>
      </c>
    </row>
    <row r="114" spans="1:35" outlineLevel="1" x14ac:dyDescent="0.25">
      <c r="A114" s="615"/>
      <c r="B114" s="152" t="s">
        <v>1</v>
      </c>
      <c r="C114" s="45" t="s">
        <v>1</v>
      </c>
      <c r="D114" s="45" t="s">
        <v>69</v>
      </c>
      <c r="E114" s="50" t="s">
        <v>69</v>
      </c>
      <c r="F114" s="291" t="s">
        <v>1</v>
      </c>
      <c r="G114" s="45" t="s">
        <v>1</v>
      </c>
      <c r="H114" s="45" t="s">
        <v>69</v>
      </c>
      <c r="I114" s="45" t="s">
        <v>1</v>
      </c>
      <c r="J114" s="45" t="s">
        <v>1</v>
      </c>
      <c r="K114" s="45" t="s">
        <v>1</v>
      </c>
      <c r="L114" s="52" t="s">
        <v>1</v>
      </c>
      <c r="M114" s="52" t="s">
        <v>1</v>
      </c>
      <c r="N114" s="45" t="s">
        <v>69</v>
      </c>
      <c r="O114" s="45" t="s">
        <v>69</v>
      </c>
      <c r="P114" s="53" t="s">
        <v>69</v>
      </c>
      <c r="Q114" s="45" t="s">
        <v>1</v>
      </c>
      <c r="R114" s="45" t="s">
        <v>1</v>
      </c>
      <c r="S114" s="45" t="s">
        <v>1</v>
      </c>
      <c r="T114" s="45" t="s">
        <v>1</v>
      </c>
      <c r="U114" s="45" t="s">
        <v>69</v>
      </c>
      <c r="V114" s="45" t="s">
        <v>1</v>
      </c>
      <c r="W114" s="45" t="s">
        <v>1</v>
      </c>
      <c r="X114" s="45" t="s">
        <v>1</v>
      </c>
      <c r="Y114" s="45" t="s">
        <v>1</v>
      </c>
      <c r="Z114" s="45" t="s">
        <v>1</v>
      </c>
      <c r="AA114" s="45" t="s">
        <v>1</v>
      </c>
      <c r="AB114" s="45" t="s">
        <v>1</v>
      </c>
      <c r="AC114" s="45" t="s">
        <v>1</v>
      </c>
      <c r="AD114" s="45" t="s">
        <v>69</v>
      </c>
      <c r="AE114" s="45" t="s">
        <v>1</v>
      </c>
      <c r="AF114" s="49" t="s">
        <v>1</v>
      </c>
    </row>
    <row r="115" spans="1:35" outlineLevel="1" x14ac:dyDescent="0.25">
      <c r="A115" s="615"/>
      <c r="B115" s="152" t="s">
        <v>0</v>
      </c>
      <c r="C115" s="45" t="s">
        <v>0</v>
      </c>
      <c r="D115" s="45" t="s">
        <v>4</v>
      </c>
      <c r="E115" s="50" t="s">
        <v>0</v>
      </c>
      <c r="F115" s="291" t="s">
        <v>0</v>
      </c>
      <c r="G115" s="45" t="s">
        <v>0</v>
      </c>
      <c r="H115" s="45" t="s">
        <v>4</v>
      </c>
      <c r="I115" s="45" t="s">
        <v>4</v>
      </c>
      <c r="J115" s="45" t="s">
        <v>4</v>
      </c>
      <c r="K115" s="45" t="s">
        <v>4</v>
      </c>
      <c r="L115" s="52" t="s">
        <v>4</v>
      </c>
      <c r="M115" s="52" t="s">
        <v>0</v>
      </c>
      <c r="N115" s="45" t="s">
        <v>4</v>
      </c>
      <c r="O115" s="45" t="s">
        <v>4</v>
      </c>
      <c r="P115" s="45" t="s">
        <v>4</v>
      </c>
      <c r="Q115" s="45" t="s">
        <v>4</v>
      </c>
      <c r="R115" s="45" t="s">
        <v>4</v>
      </c>
      <c r="S115" s="45" t="s">
        <v>112</v>
      </c>
      <c r="T115" s="45" t="s">
        <v>0</v>
      </c>
      <c r="U115" s="45" t="s">
        <v>0</v>
      </c>
      <c r="V115" s="45" t="s">
        <v>0</v>
      </c>
      <c r="W115" s="45" t="s">
        <v>0</v>
      </c>
      <c r="X115" s="45" t="s">
        <v>0</v>
      </c>
      <c r="Y115" s="45" t="s">
        <v>0</v>
      </c>
      <c r="Z115" s="45" t="s">
        <v>0</v>
      </c>
      <c r="AA115" s="45" t="s">
        <v>0</v>
      </c>
      <c r="AB115" s="45" t="s">
        <v>0</v>
      </c>
      <c r="AC115" s="45" t="s">
        <v>0</v>
      </c>
      <c r="AD115" s="45" t="s">
        <v>4</v>
      </c>
      <c r="AE115" s="45" t="s">
        <v>4</v>
      </c>
      <c r="AF115" s="49" t="s">
        <v>4</v>
      </c>
    </row>
    <row r="116" spans="1:35" ht="30" customHeight="1" thickBot="1" x14ac:dyDescent="0.3">
      <c r="A116" s="616"/>
      <c r="B116" s="149" t="s">
        <v>10</v>
      </c>
      <c r="C116" s="54" t="s">
        <v>544</v>
      </c>
      <c r="D116" s="55" t="s">
        <v>8</v>
      </c>
      <c r="E116" s="54" t="s">
        <v>198</v>
      </c>
      <c r="F116" s="288">
        <v>77</v>
      </c>
      <c r="G116" s="54">
        <v>250000001</v>
      </c>
      <c r="H116" s="193" t="s">
        <v>8</v>
      </c>
      <c r="I116" s="193" t="s">
        <v>5</v>
      </c>
      <c r="J116" s="55" t="s">
        <v>5</v>
      </c>
      <c r="K116" s="55" t="s">
        <v>6</v>
      </c>
      <c r="L116" s="55" t="s">
        <v>208</v>
      </c>
      <c r="M116" s="193" t="s">
        <v>397</v>
      </c>
      <c r="N116" s="55" t="s">
        <v>210</v>
      </c>
      <c r="O116" s="55" t="s">
        <v>8</v>
      </c>
      <c r="P116" s="55" t="s">
        <v>8</v>
      </c>
      <c r="Q116" s="54" t="s">
        <v>544</v>
      </c>
      <c r="R116" s="55" t="s">
        <v>5</v>
      </c>
      <c r="S116" s="55" t="s">
        <v>5</v>
      </c>
      <c r="T116" s="33" t="s">
        <v>756</v>
      </c>
      <c r="U116" s="228" t="s">
        <v>245</v>
      </c>
      <c r="V116" s="33" t="s">
        <v>649</v>
      </c>
      <c r="W116" s="54" t="s">
        <v>590</v>
      </c>
      <c r="X116" s="33" t="s">
        <v>207</v>
      </c>
      <c r="Y116" s="54" t="s">
        <v>595</v>
      </c>
      <c r="Z116" s="96" t="s">
        <v>770</v>
      </c>
      <c r="AA116" s="54" t="s">
        <v>6</v>
      </c>
      <c r="AB116" s="54" t="s">
        <v>212</v>
      </c>
      <c r="AC116" s="54" t="s">
        <v>212</v>
      </c>
      <c r="AD116" s="193" t="s">
        <v>498</v>
      </c>
      <c r="AE116" s="193" t="s">
        <v>200</v>
      </c>
      <c r="AF116" s="54" t="s">
        <v>212</v>
      </c>
      <c r="AG116" s="188" t="s">
        <v>589</v>
      </c>
      <c r="AH116" s="76"/>
      <c r="AI116" s="76"/>
    </row>
    <row r="117" spans="1:35" s="75" customFormat="1" ht="15.75" thickBot="1" x14ac:dyDescent="0.3">
      <c r="B117" s="150" t="s">
        <v>586</v>
      </c>
      <c r="C117" s="75" t="s">
        <v>586</v>
      </c>
      <c r="D117" s="75" t="s">
        <v>586</v>
      </c>
      <c r="E117" s="75" t="s">
        <v>586</v>
      </c>
      <c r="F117" s="276" t="s">
        <v>586</v>
      </c>
      <c r="G117" s="75" t="s">
        <v>586</v>
      </c>
      <c r="H117" s="75" t="s">
        <v>586</v>
      </c>
      <c r="I117" s="75" t="s">
        <v>586</v>
      </c>
      <c r="J117" s="75" t="s">
        <v>586</v>
      </c>
      <c r="K117" s="75" t="s">
        <v>586</v>
      </c>
      <c r="L117" s="75" t="s">
        <v>586</v>
      </c>
      <c r="M117" s="75" t="s">
        <v>586</v>
      </c>
      <c r="N117" s="75" t="s">
        <v>586</v>
      </c>
      <c r="O117" s="75" t="s">
        <v>586</v>
      </c>
      <c r="P117" s="75" t="s">
        <v>586</v>
      </c>
      <c r="Q117" s="75" t="s">
        <v>586</v>
      </c>
      <c r="R117" s="75" t="s">
        <v>586</v>
      </c>
      <c r="S117" s="75" t="s">
        <v>586</v>
      </c>
      <c r="T117" s="75" t="s">
        <v>586</v>
      </c>
      <c r="U117" s="75" t="s">
        <v>586</v>
      </c>
      <c r="V117" s="75" t="s">
        <v>586</v>
      </c>
      <c r="W117" s="75" t="s">
        <v>586</v>
      </c>
      <c r="X117" s="75" t="s">
        <v>586</v>
      </c>
      <c r="Y117" s="75" t="s">
        <v>586</v>
      </c>
      <c r="Z117" s="75" t="s">
        <v>586</v>
      </c>
      <c r="AA117" s="75" t="s">
        <v>586</v>
      </c>
      <c r="AB117" s="75" t="s">
        <v>586</v>
      </c>
      <c r="AC117" s="75" t="s">
        <v>586</v>
      </c>
      <c r="AD117" s="75" t="s">
        <v>586</v>
      </c>
      <c r="AE117" s="75" t="s">
        <v>586</v>
      </c>
      <c r="AF117" s="75" t="s">
        <v>586</v>
      </c>
    </row>
    <row r="118" spans="1:35" ht="100.15" customHeight="1" x14ac:dyDescent="0.25">
      <c r="A118" s="620" t="s">
        <v>921</v>
      </c>
      <c r="B118" s="151" t="s">
        <v>13</v>
      </c>
      <c r="C118" s="40" t="s">
        <v>14</v>
      </c>
      <c r="D118" s="40" t="s">
        <v>15</v>
      </c>
      <c r="E118" s="41" t="s">
        <v>16</v>
      </c>
      <c r="F118" s="289" t="s">
        <v>17</v>
      </c>
      <c r="G118" s="40" t="s">
        <v>70</v>
      </c>
      <c r="H118" s="40" t="s">
        <v>71</v>
      </c>
      <c r="I118" s="40" t="s">
        <v>72</v>
      </c>
      <c r="J118" s="40" t="s">
        <v>2</v>
      </c>
      <c r="K118" s="40" t="s">
        <v>73</v>
      </c>
      <c r="L118" s="42" t="s">
        <v>74</v>
      </c>
      <c r="M118" s="42" t="s">
        <v>75</v>
      </c>
      <c r="N118" s="40" t="s">
        <v>76</v>
      </c>
      <c r="O118" s="40" t="s">
        <v>77</v>
      </c>
      <c r="P118" s="40" t="s">
        <v>78</v>
      </c>
      <c r="Q118" s="40" t="s">
        <v>79</v>
      </c>
      <c r="R118" s="40" t="s">
        <v>80</v>
      </c>
      <c r="S118" s="40" t="s">
        <v>81</v>
      </c>
      <c r="T118" s="40" t="s">
        <v>82</v>
      </c>
      <c r="U118" s="40" t="s">
        <v>83</v>
      </c>
      <c r="V118" s="40" t="s">
        <v>84</v>
      </c>
      <c r="W118" s="40" t="s">
        <v>3</v>
      </c>
      <c r="X118" s="40" t="s">
        <v>85</v>
      </c>
      <c r="Y118" s="40" t="s">
        <v>86</v>
      </c>
      <c r="Z118" s="40" t="s">
        <v>87</v>
      </c>
      <c r="AA118" s="40" t="s">
        <v>88</v>
      </c>
      <c r="AB118" s="40" t="s">
        <v>89</v>
      </c>
      <c r="AC118" s="40" t="s">
        <v>90</v>
      </c>
      <c r="AD118" s="40" t="s">
        <v>91</v>
      </c>
      <c r="AE118" s="40" t="s">
        <v>92</v>
      </c>
      <c r="AF118" s="43" t="s">
        <v>93</v>
      </c>
      <c r="AG118" s="2"/>
    </row>
    <row r="119" spans="1:35" ht="19.899999999999999" customHeight="1" x14ac:dyDescent="0.25">
      <c r="A119" s="615"/>
      <c r="B119" s="152">
        <v>1</v>
      </c>
      <c r="C119" s="44" t="s">
        <v>47</v>
      </c>
      <c r="D119" s="45">
        <v>11</v>
      </c>
      <c r="E119" s="46" t="s">
        <v>48</v>
      </c>
      <c r="F119" s="290" t="s">
        <v>49</v>
      </c>
      <c r="G119" s="47" t="s">
        <v>50</v>
      </c>
      <c r="H119" s="47">
        <v>36</v>
      </c>
      <c r="I119" s="47" t="s">
        <v>94</v>
      </c>
      <c r="J119" s="47" t="s">
        <v>95</v>
      </c>
      <c r="K119" s="47" t="s">
        <v>96</v>
      </c>
      <c r="L119" s="48" t="s">
        <v>97</v>
      </c>
      <c r="M119" s="48" t="s">
        <v>98</v>
      </c>
      <c r="N119" s="47" t="s">
        <v>99</v>
      </c>
      <c r="O119" s="47">
        <v>53</v>
      </c>
      <c r="P119" s="47">
        <v>54</v>
      </c>
      <c r="Q119" s="47" t="s">
        <v>913</v>
      </c>
      <c r="R119" s="47" t="s">
        <v>100</v>
      </c>
      <c r="S119" s="47" t="s">
        <v>101</v>
      </c>
      <c r="T119" s="47" t="s">
        <v>57</v>
      </c>
      <c r="U119" s="47" t="s">
        <v>102</v>
      </c>
      <c r="V119" s="47" t="s">
        <v>103</v>
      </c>
      <c r="W119" s="47" t="s">
        <v>104</v>
      </c>
      <c r="X119" s="47" t="s">
        <v>105</v>
      </c>
      <c r="Y119" s="47" t="s">
        <v>106</v>
      </c>
      <c r="Z119" s="47" t="s">
        <v>107</v>
      </c>
      <c r="AA119" s="47" t="s">
        <v>108</v>
      </c>
      <c r="AB119" s="45" t="s">
        <v>109</v>
      </c>
      <c r="AC119" s="47" t="s">
        <v>110</v>
      </c>
      <c r="AD119" s="45">
        <v>120</v>
      </c>
      <c r="AE119" s="45">
        <v>121</v>
      </c>
      <c r="AF119" s="49" t="s">
        <v>111</v>
      </c>
    </row>
    <row r="120" spans="1:35" outlineLevel="1" x14ac:dyDescent="0.25">
      <c r="A120" s="615"/>
      <c r="B120" s="152">
        <v>1</v>
      </c>
      <c r="C120" s="45">
        <v>9</v>
      </c>
      <c r="D120" s="45">
        <v>1</v>
      </c>
      <c r="E120" s="50">
        <v>13</v>
      </c>
      <c r="F120" s="291">
        <v>2</v>
      </c>
      <c r="G120" s="45">
        <v>9</v>
      </c>
      <c r="H120" s="45">
        <v>1</v>
      </c>
      <c r="I120" s="45">
        <v>2</v>
      </c>
      <c r="J120" s="45">
        <v>2</v>
      </c>
      <c r="K120" s="45">
        <v>3</v>
      </c>
      <c r="L120" s="51">
        <v>6</v>
      </c>
      <c r="M120" s="51">
        <v>1</v>
      </c>
      <c r="N120" s="45">
        <v>2</v>
      </c>
      <c r="O120" s="45">
        <v>1</v>
      </c>
      <c r="P120" s="45">
        <v>1</v>
      </c>
      <c r="Q120" s="45">
        <v>9</v>
      </c>
      <c r="R120" s="45">
        <v>2</v>
      </c>
      <c r="S120" s="45">
        <v>2</v>
      </c>
      <c r="T120" s="45">
        <v>6</v>
      </c>
      <c r="U120" s="45">
        <v>5</v>
      </c>
      <c r="V120" s="45">
        <v>2</v>
      </c>
      <c r="W120" s="45">
        <v>6</v>
      </c>
      <c r="X120" s="45">
        <v>2</v>
      </c>
      <c r="Y120" s="45">
        <v>7</v>
      </c>
      <c r="Z120" s="45">
        <v>7</v>
      </c>
      <c r="AA120" s="45">
        <v>3</v>
      </c>
      <c r="AB120" s="45">
        <v>7</v>
      </c>
      <c r="AC120" s="45">
        <v>7</v>
      </c>
      <c r="AD120" s="45">
        <v>1</v>
      </c>
      <c r="AE120" s="45">
        <v>1</v>
      </c>
      <c r="AF120" s="49">
        <v>7</v>
      </c>
    </row>
    <row r="121" spans="1:35" outlineLevel="1" x14ac:dyDescent="0.25">
      <c r="A121" s="615"/>
      <c r="B121" s="152" t="s">
        <v>1</v>
      </c>
      <c r="C121" s="45" t="s">
        <v>1</v>
      </c>
      <c r="D121" s="45" t="s">
        <v>69</v>
      </c>
      <c r="E121" s="50" t="s">
        <v>69</v>
      </c>
      <c r="F121" s="291" t="s">
        <v>1</v>
      </c>
      <c r="G121" s="45" t="s">
        <v>1</v>
      </c>
      <c r="H121" s="45" t="s">
        <v>69</v>
      </c>
      <c r="I121" s="45" t="s">
        <v>1</v>
      </c>
      <c r="J121" s="45" t="s">
        <v>1</v>
      </c>
      <c r="K121" s="45" t="s">
        <v>1</v>
      </c>
      <c r="L121" s="52" t="s">
        <v>1</v>
      </c>
      <c r="M121" s="52" t="s">
        <v>1</v>
      </c>
      <c r="N121" s="45" t="s">
        <v>69</v>
      </c>
      <c r="O121" s="45" t="s">
        <v>69</v>
      </c>
      <c r="P121" s="53" t="s">
        <v>69</v>
      </c>
      <c r="Q121" s="45" t="s">
        <v>1</v>
      </c>
      <c r="R121" s="45" t="s">
        <v>1</v>
      </c>
      <c r="S121" s="45" t="s">
        <v>1</v>
      </c>
      <c r="T121" s="45" t="s">
        <v>1</v>
      </c>
      <c r="U121" s="45" t="s">
        <v>69</v>
      </c>
      <c r="V121" s="45" t="s">
        <v>1</v>
      </c>
      <c r="W121" s="45" t="s">
        <v>1</v>
      </c>
      <c r="X121" s="45" t="s">
        <v>1</v>
      </c>
      <c r="Y121" s="45" t="s">
        <v>1</v>
      </c>
      <c r="Z121" s="45" t="s">
        <v>1</v>
      </c>
      <c r="AA121" s="45" t="s">
        <v>1</v>
      </c>
      <c r="AB121" s="45" t="s">
        <v>1</v>
      </c>
      <c r="AC121" s="45" t="s">
        <v>1</v>
      </c>
      <c r="AD121" s="45" t="s">
        <v>69</v>
      </c>
      <c r="AE121" s="45" t="s">
        <v>1</v>
      </c>
      <c r="AF121" s="49" t="s">
        <v>1</v>
      </c>
    </row>
    <row r="122" spans="1:35" outlineLevel="1" x14ac:dyDescent="0.25">
      <c r="A122" s="615"/>
      <c r="B122" s="152" t="s">
        <v>0</v>
      </c>
      <c r="C122" s="45" t="s">
        <v>0</v>
      </c>
      <c r="D122" s="45" t="s">
        <v>4</v>
      </c>
      <c r="E122" s="50" t="s">
        <v>0</v>
      </c>
      <c r="F122" s="291" t="s">
        <v>0</v>
      </c>
      <c r="G122" s="45" t="s">
        <v>0</v>
      </c>
      <c r="H122" s="45" t="s">
        <v>4</v>
      </c>
      <c r="I122" s="45" t="s">
        <v>4</v>
      </c>
      <c r="J122" s="45" t="s">
        <v>4</v>
      </c>
      <c r="K122" s="45" t="s">
        <v>4</v>
      </c>
      <c r="L122" s="52" t="s">
        <v>4</v>
      </c>
      <c r="M122" s="52" t="s">
        <v>0</v>
      </c>
      <c r="N122" s="45" t="s">
        <v>4</v>
      </c>
      <c r="O122" s="45" t="s">
        <v>4</v>
      </c>
      <c r="P122" s="45" t="s">
        <v>4</v>
      </c>
      <c r="Q122" s="45" t="s">
        <v>4</v>
      </c>
      <c r="R122" s="45" t="s">
        <v>4</v>
      </c>
      <c r="S122" s="45" t="s">
        <v>112</v>
      </c>
      <c r="T122" s="45" t="s">
        <v>0</v>
      </c>
      <c r="U122" s="45" t="s">
        <v>0</v>
      </c>
      <c r="V122" s="45" t="s">
        <v>0</v>
      </c>
      <c r="W122" s="45" t="s">
        <v>0</v>
      </c>
      <c r="X122" s="45" t="s">
        <v>0</v>
      </c>
      <c r="Y122" s="45" t="s">
        <v>0</v>
      </c>
      <c r="Z122" s="45" t="s">
        <v>0</v>
      </c>
      <c r="AA122" s="45" t="s">
        <v>0</v>
      </c>
      <c r="AB122" s="45" t="s">
        <v>0</v>
      </c>
      <c r="AC122" s="45" t="s">
        <v>0</v>
      </c>
      <c r="AD122" s="45" t="s">
        <v>4</v>
      </c>
      <c r="AE122" s="45" t="s">
        <v>4</v>
      </c>
      <c r="AF122" s="49" t="s">
        <v>4</v>
      </c>
    </row>
    <row r="123" spans="1:35" ht="30" customHeight="1" thickBot="1" x14ac:dyDescent="0.3">
      <c r="A123" s="616"/>
      <c r="B123" s="149" t="s">
        <v>10</v>
      </c>
      <c r="C123" s="54" t="s">
        <v>544</v>
      </c>
      <c r="D123" s="55" t="s">
        <v>8</v>
      </c>
      <c r="E123" s="54" t="s">
        <v>198</v>
      </c>
      <c r="F123" s="288">
        <v>77</v>
      </c>
      <c r="G123" s="54">
        <v>250000001</v>
      </c>
      <c r="H123" s="193" t="s">
        <v>8</v>
      </c>
      <c r="I123" s="193" t="s">
        <v>5</v>
      </c>
      <c r="J123" s="55" t="s">
        <v>5</v>
      </c>
      <c r="K123" s="55" t="s">
        <v>6</v>
      </c>
      <c r="L123" s="55" t="s">
        <v>208</v>
      </c>
      <c r="M123" s="193" t="s">
        <v>397</v>
      </c>
      <c r="N123" s="55" t="s">
        <v>210</v>
      </c>
      <c r="O123" s="55" t="s">
        <v>8</v>
      </c>
      <c r="P123" s="55" t="s">
        <v>8</v>
      </c>
      <c r="Q123" s="54" t="s">
        <v>544</v>
      </c>
      <c r="R123" s="55" t="s">
        <v>5</v>
      </c>
      <c r="S123" s="55" t="s">
        <v>5</v>
      </c>
      <c r="T123" s="33" t="s">
        <v>756</v>
      </c>
      <c r="U123" s="228" t="s">
        <v>246</v>
      </c>
      <c r="V123" s="33" t="s">
        <v>649</v>
      </c>
      <c r="W123" s="54" t="s">
        <v>590</v>
      </c>
      <c r="X123" s="33" t="s">
        <v>207</v>
      </c>
      <c r="Y123" s="54" t="s">
        <v>595</v>
      </c>
      <c r="Z123" s="96" t="s">
        <v>770</v>
      </c>
      <c r="AA123" s="54" t="s">
        <v>6</v>
      </c>
      <c r="AB123" s="54" t="s">
        <v>212</v>
      </c>
      <c r="AC123" s="54" t="s">
        <v>212</v>
      </c>
      <c r="AD123" s="193" t="s">
        <v>498</v>
      </c>
      <c r="AE123" s="193" t="s">
        <v>200</v>
      </c>
      <c r="AF123" s="54" t="s">
        <v>212</v>
      </c>
      <c r="AG123" s="188" t="s">
        <v>589</v>
      </c>
      <c r="AH123" s="76"/>
      <c r="AI123" s="76"/>
    </row>
    <row r="124" spans="1:35" s="75" customFormat="1" ht="15.75" thickBot="1" x14ac:dyDescent="0.3">
      <c r="B124" s="150" t="s">
        <v>586</v>
      </c>
      <c r="C124" s="75" t="s">
        <v>586</v>
      </c>
      <c r="D124" s="75" t="s">
        <v>586</v>
      </c>
      <c r="E124" s="75" t="s">
        <v>586</v>
      </c>
      <c r="F124" s="276" t="s">
        <v>586</v>
      </c>
      <c r="G124" s="75" t="s">
        <v>586</v>
      </c>
      <c r="H124" s="75" t="s">
        <v>586</v>
      </c>
      <c r="I124" s="75" t="s">
        <v>586</v>
      </c>
      <c r="J124" s="75" t="s">
        <v>586</v>
      </c>
      <c r="K124" s="75" t="s">
        <v>586</v>
      </c>
      <c r="L124" s="75" t="s">
        <v>586</v>
      </c>
      <c r="M124" s="75" t="s">
        <v>586</v>
      </c>
      <c r="N124" s="75" t="s">
        <v>586</v>
      </c>
      <c r="O124" s="75" t="s">
        <v>586</v>
      </c>
      <c r="P124" s="75" t="s">
        <v>586</v>
      </c>
      <c r="Q124" s="75" t="s">
        <v>586</v>
      </c>
      <c r="R124" s="75" t="s">
        <v>586</v>
      </c>
      <c r="S124" s="75" t="s">
        <v>586</v>
      </c>
      <c r="T124" s="75" t="s">
        <v>586</v>
      </c>
      <c r="U124" s="75" t="s">
        <v>586</v>
      </c>
      <c r="V124" s="75" t="s">
        <v>586</v>
      </c>
      <c r="W124" s="75" t="s">
        <v>586</v>
      </c>
      <c r="X124" s="75" t="s">
        <v>586</v>
      </c>
      <c r="Y124" s="75" t="s">
        <v>586</v>
      </c>
      <c r="Z124" s="75" t="s">
        <v>586</v>
      </c>
      <c r="AA124" s="75" t="s">
        <v>586</v>
      </c>
      <c r="AB124" s="75" t="s">
        <v>586</v>
      </c>
      <c r="AC124" s="75" t="s">
        <v>586</v>
      </c>
      <c r="AD124" s="75" t="s">
        <v>586</v>
      </c>
      <c r="AE124" s="75" t="s">
        <v>586</v>
      </c>
      <c r="AF124" s="75" t="s">
        <v>586</v>
      </c>
    </row>
    <row r="125" spans="1:35" ht="100.15" customHeight="1" x14ac:dyDescent="0.25">
      <c r="A125" s="620" t="s">
        <v>922</v>
      </c>
      <c r="B125" s="151" t="s">
        <v>13</v>
      </c>
      <c r="C125" s="40" t="s">
        <v>14</v>
      </c>
      <c r="D125" s="40" t="s">
        <v>15</v>
      </c>
      <c r="E125" s="41" t="s">
        <v>16</v>
      </c>
      <c r="F125" s="289" t="s">
        <v>17</v>
      </c>
      <c r="G125" s="40" t="s">
        <v>70</v>
      </c>
      <c r="H125" s="40" t="s">
        <v>71</v>
      </c>
      <c r="I125" s="40" t="s">
        <v>72</v>
      </c>
      <c r="J125" s="40" t="s">
        <v>2</v>
      </c>
      <c r="K125" s="40" t="s">
        <v>73</v>
      </c>
      <c r="L125" s="42" t="s">
        <v>74</v>
      </c>
      <c r="M125" s="42" t="s">
        <v>75</v>
      </c>
      <c r="N125" s="40" t="s">
        <v>76</v>
      </c>
      <c r="O125" s="40" t="s">
        <v>77</v>
      </c>
      <c r="P125" s="40" t="s">
        <v>78</v>
      </c>
      <c r="Q125" s="40" t="s">
        <v>79</v>
      </c>
      <c r="R125" s="40" t="s">
        <v>80</v>
      </c>
      <c r="S125" s="40" t="s">
        <v>81</v>
      </c>
      <c r="T125" s="40" t="s">
        <v>82</v>
      </c>
      <c r="U125" s="40" t="s">
        <v>83</v>
      </c>
      <c r="V125" s="40" t="s">
        <v>84</v>
      </c>
      <c r="W125" s="40" t="s">
        <v>3</v>
      </c>
      <c r="X125" s="40" t="s">
        <v>85</v>
      </c>
      <c r="Y125" s="40" t="s">
        <v>86</v>
      </c>
      <c r="Z125" s="40" t="s">
        <v>87</v>
      </c>
      <c r="AA125" s="40" t="s">
        <v>88</v>
      </c>
      <c r="AB125" s="40" t="s">
        <v>89</v>
      </c>
      <c r="AC125" s="40" t="s">
        <v>90</v>
      </c>
      <c r="AD125" s="40" t="s">
        <v>91</v>
      </c>
      <c r="AE125" s="40" t="s">
        <v>92</v>
      </c>
      <c r="AF125" s="43" t="s">
        <v>93</v>
      </c>
      <c r="AG125" s="2"/>
    </row>
    <row r="126" spans="1:35" ht="19.899999999999999" customHeight="1" x14ac:dyDescent="0.25">
      <c r="A126" s="615"/>
      <c r="B126" s="152">
        <v>1</v>
      </c>
      <c r="C126" s="44" t="s">
        <v>47</v>
      </c>
      <c r="D126" s="45">
        <v>11</v>
      </c>
      <c r="E126" s="46" t="s">
        <v>48</v>
      </c>
      <c r="F126" s="290" t="s">
        <v>49</v>
      </c>
      <c r="G126" s="47" t="s">
        <v>50</v>
      </c>
      <c r="H126" s="47">
        <v>36</v>
      </c>
      <c r="I126" s="47" t="s">
        <v>94</v>
      </c>
      <c r="J126" s="47" t="s">
        <v>95</v>
      </c>
      <c r="K126" s="47" t="s">
        <v>96</v>
      </c>
      <c r="L126" s="48" t="s">
        <v>97</v>
      </c>
      <c r="M126" s="48" t="s">
        <v>98</v>
      </c>
      <c r="N126" s="47" t="s">
        <v>99</v>
      </c>
      <c r="O126" s="47">
        <v>53</v>
      </c>
      <c r="P126" s="47">
        <v>54</v>
      </c>
      <c r="Q126" s="47" t="s">
        <v>913</v>
      </c>
      <c r="R126" s="47" t="s">
        <v>100</v>
      </c>
      <c r="S126" s="47" t="s">
        <v>101</v>
      </c>
      <c r="T126" s="47" t="s">
        <v>57</v>
      </c>
      <c r="U126" s="47" t="s">
        <v>102</v>
      </c>
      <c r="V126" s="47" t="s">
        <v>103</v>
      </c>
      <c r="W126" s="47" t="s">
        <v>104</v>
      </c>
      <c r="X126" s="47" t="s">
        <v>105</v>
      </c>
      <c r="Y126" s="47" t="s">
        <v>106</v>
      </c>
      <c r="Z126" s="47" t="s">
        <v>107</v>
      </c>
      <c r="AA126" s="47" t="s">
        <v>108</v>
      </c>
      <c r="AB126" s="45" t="s">
        <v>109</v>
      </c>
      <c r="AC126" s="47" t="s">
        <v>110</v>
      </c>
      <c r="AD126" s="45">
        <v>120</v>
      </c>
      <c r="AE126" s="45">
        <v>121</v>
      </c>
      <c r="AF126" s="49" t="s">
        <v>111</v>
      </c>
    </row>
    <row r="127" spans="1:35" outlineLevel="1" x14ac:dyDescent="0.25">
      <c r="A127" s="615"/>
      <c r="B127" s="152">
        <v>1</v>
      </c>
      <c r="C127" s="45">
        <v>9</v>
      </c>
      <c r="D127" s="45">
        <v>1</v>
      </c>
      <c r="E127" s="50">
        <v>13</v>
      </c>
      <c r="F127" s="291">
        <v>2</v>
      </c>
      <c r="G127" s="45">
        <v>9</v>
      </c>
      <c r="H127" s="45">
        <v>1</v>
      </c>
      <c r="I127" s="45">
        <v>2</v>
      </c>
      <c r="J127" s="45">
        <v>2</v>
      </c>
      <c r="K127" s="45">
        <v>3</v>
      </c>
      <c r="L127" s="51">
        <v>6</v>
      </c>
      <c r="M127" s="51">
        <v>1</v>
      </c>
      <c r="N127" s="45">
        <v>2</v>
      </c>
      <c r="O127" s="45">
        <v>1</v>
      </c>
      <c r="P127" s="45">
        <v>1</v>
      </c>
      <c r="Q127" s="45">
        <v>9</v>
      </c>
      <c r="R127" s="45">
        <v>2</v>
      </c>
      <c r="S127" s="45">
        <v>2</v>
      </c>
      <c r="T127" s="45">
        <v>6</v>
      </c>
      <c r="U127" s="45">
        <v>5</v>
      </c>
      <c r="V127" s="45">
        <v>2</v>
      </c>
      <c r="W127" s="45">
        <v>6</v>
      </c>
      <c r="X127" s="45">
        <v>2</v>
      </c>
      <c r="Y127" s="45">
        <v>7</v>
      </c>
      <c r="Z127" s="45">
        <v>7</v>
      </c>
      <c r="AA127" s="45">
        <v>3</v>
      </c>
      <c r="AB127" s="45">
        <v>7</v>
      </c>
      <c r="AC127" s="45">
        <v>7</v>
      </c>
      <c r="AD127" s="45">
        <v>1</v>
      </c>
      <c r="AE127" s="45">
        <v>1</v>
      </c>
      <c r="AF127" s="49">
        <v>7</v>
      </c>
    </row>
    <row r="128" spans="1:35" outlineLevel="1" x14ac:dyDescent="0.25">
      <c r="A128" s="615"/>
      <c r="B128" s="152" t="s">
        <v>1</v>
      </c>
      <c r="C128" s="45" t="s">
        <v>1</v>
      </c>
      <c r="D128" s="45" t="s">
        <v>69</v>
      </c>
      <c r="E128" s="50" t="s">
        <v>69</v>
      </c>
      <c r="F128" s="291" t="s">
        <v>1</v>
      </c>
      <c r="G128" s="45" t="s">
        <v>1</v>
      </c>
      <c r="H128" s="45" t="s">
        <v>69</v>
      </c>
      <c r="I128" s="45" t="s">
        <v>1</v>
      </c>
      <c r="J128" s="45" t="s">
        <v>1</v>
      </c>
      <c r="K128" s="45" t="s">
        <v>1</v>
      </c>
      <c r="L128" s="52" t="s">
        <v>1</v>
      </c>
      <c r="M128" s="52" t="s">
        <v>1</v>
      </c>
      <c r="N128" s="45" t="s">
        <v>69</v>
      </c>
      <c r="O128" s="45" t="s">
        <v>69</v>
      </c>
      <c r="P128" s="53" t="s">
        <v>69</v>
      </c>
      <c r="Q128" s="45" t="s">
        <v>1</v>
      </c>
      <c r="R128" s="45" t="s">
        <v>1</v>
      </c>
      <c r="S128" s="45" t="s">
        <v>1</v>
      </c>
      <c r="T128" s="45" t="s">
        <v>1</v>
      </c>
      <c r="U128" s="45" t="s">
        <v>69</v>
      </c>
      <c r="V128" s="45" t="s">
        <v>1</v>
      </c>
      <c r="W128" s="45" t="s">
        <v>1</v>
      </c>
      <c r="X128" s="45" t="s">
        <v>1</v>
      </c>
      <c r="Y128" s="45" t="s">
        <v>1</v>
      </c>
      <c r="Z128" s="45" t="s">
        <v>1</v>
      </c>
      <c r="AA128" s="45" t="s">
        <v>1</v>
      </c>
      <c r="AB128" s="45" t="s">
        <v>1</v>
      </c>
      <c r="AC128" s="45" t="s">
        <v>1</v>
      </c>
      <c r="AD128" s="45" t="s">
        <v>69</v>
      </c>
      <c r="AE128" s="45" t="s">
        <v>1</v>
      </c>
      <c r="AF128" s="49" t="s">
        <v>1</v>
      </c>
    </row>
    <row r="129" spans="1:35" outlineLevel="1" x14ac:dyDescent="0.25">
      <c r="A129" s="615"/>
      <c r="B129" s="152" t="s">
        <v>0</v>
      </c>
      <c r="C129" s="45" t="s">
        <v>0</v>
      </c>
      <c r="D129" s="45" t="s">
        <v>4</v>
      </c>
      <c r="E129" s="50" t="s">
        <v>0</v>
      </c>
      <c r="F129" s="291" t="s">
        <v>0</v>
      </c>
      <c r="G129" s="45" t="s">
        <v>0</v>
      </c>
      <c r="H129" s="45" t="s">
        <v>4</v>
      </c>
      <c r="I129" s="45" t="s">
        <v>4</v>
      </c>
      <c r="J129" s="45" t="s">
        <v>4</v>
      </c>
      <c r="K129" s="45" t="s">
        <v>4</v>
      </c>
      <c r="L129" s="52" t="s">
        <v>4</v>
      </c>
      <c r="M129" s="52" t="s">
        <v>0</v>
      </c>
      <c r="N129" s="45" t="s">
        <v>4</v>
      </c>
      <c r="O129" s="45" t="s">
        <v>4</v>
      </c>
      <c r="P129" s="45" t="s">
        <v>4</v>
      </c>
      <c r="Q129" s="45" t="s">
        <v>4</v>
      </c>
      <c r="R129" s="45" t="s">
        <v>4</v>
      </c>
      <c r="S129" s="45" t="s">
        <v>112</v>
      </c>
      <c r="T129" s="45" t="s">
        <v>0</v>
      </c>
      <c r="U129" s="45" t="s">
        <v>0</v>
      </c>
      <c r="V129" s="45" t="s">
        <v>0</v>
      </c>
      <c r="W129" s="45" t="s">
        <v>0</v>
      </c>
      <c r="X129" s="45" t="s">
        <v>0</v>
      </c>
      <c r="Y129" s="45" t="s">
        <v>0</v>
      </c>
      <c r="Z129" s="45" t="s">
        <v>0</v>
      </c>
      <c r="AA129" s="45" t="s">
        <v>0</v>
      </c>
      <c r="AB129" s="45" t="s">
        <v>0</v>
      </c>
      <c r="AC129" s="45" t="s">
        <v>0</v>
      </c>
      <c r="AD129" s="45" t="s">
        <v>4</v>
      </c>
      <c r="AE129" s="45" t="s">
        <v>4</v>
      </c>
      <c r="AF129" s="49" t="s">
        <v>4</v>
      </c>
    </row>
    <row r="130" spans="1:35" ht="30" customHeight="1" thickBot="1" x14ac:dyDescent="0.3">
      <c r="A130" s="616"/>
      <c r="B130" s="149" t="s">
        <v>10</v>
      </c>
      <c r="C130" s="54" t="s">
        <v>544</v>
      </c>
      <c r="D130" s="55" t="s">
        <v>8</v>
      </c>
      <c r="E130" s="54" t="s">
        <v>198</v>
      </c>
      <c r="F130" s="288">
        <v>77</v>
      </c>
      <c r="G130" s="54">
        <v>250000001</v>
      </c>
      <c r="H130" s="193" t="s">
        <v>8</v>
      </c>
      <c r="I130" s="193" t="s">
        <v>5</v>
      </c>
      <c r="J130" s="55" t="s">
        <v>5</v>
      </c>
      <c r="K130" s="55" t="s">
        <v>6</v>
      </c>
      <c r="L130" s="55" t="s">
        <v>208</v>
      </c>
      <c r="M130" s="193" t="s">
        <v>397</v>
      </c>
      <c r="N130" s="55" t="s">
        <v>210</v>
      </c>
      <c r="O130" s="55" t="s">
        <v>8</v>
      </c>
      <c r="P130" s="55" t="s">
        <v>8</v>
      </c>
      <c r="Q130" s="54" t="s">
        <v>544</v>
      </c>
      <c r="R130" s="55" t="s">
        <v>5</v>
      </c>
      <c r="S130" s="55" t="s">
        <v>5</v>
      </c>
      <c r="T130" s="33" t="s">
        <v>756</v>
      </c>
      <c r="U130" s="228" t="s">
        <v>239</v>
      </c>
      <c r="V130" s="33" t="s">
        <v>649</v>
      </c>
      <c r="W130" s="54" t="s">
        <v>590</v>
      </c>
      <c r="X130" s="33" t="s">
        <v>207</v>
      </c>
      <c r="Y130" s="54" t="s">
        <v>595</v>
      </c>
      <c r="Z130" s="96" t="s">
        <v>770</v>
      </c>
      <c r="AA130" s="54" t="s">
        <v>6</v>
      </c>
      <c r="AB130" s="54" t="s">
        <v>212</v>
      </c>
      <c r="AC130" s="54" t="s">
        <v>212</v>
      </c>
      <c r="AD130" s="193" t="s">
        <v>498</v>
      </c>
      <c r="AE130" s="193" t="s">
        <v>200</v>
      </c>
      <c r="AF130" s="54" t="s">
        <v>212</v>
      </c>
      <c r="AG130" s="188" t="s">
        <v>589</v>
      </c>
      <c r="AH130" s="76"/>
      <c r="AI130" s="76"/>
    </row>
    <row r="131" spans="1:35" s="75" customFormat="1" ht="15.75" thickBot="1" x14ac:dyDescent="0.3">
      <c r="B131" s="150" t="s">
        <v>586</v>
      </c>
      <c r="C131" s="75" t="s">
        <v>586</v>
      </c>
      <c r="D131" s="75" t="s">
        <v>586</v>
      </c>
      <c r="E131" s="75" t="s">
        <v>586</v>
      </c>
      <c r="F131" s="276" t="s">
        <v>586</v>
      </c>
      <c r="G131" s="75" t="s">
        <v>586</v>
      </c>
      <c r="H131" s="75" t="s">
        <v>586</v>
      </c>
      <c r="I131" s="75" t="s">
        <v>586</v>
      </c>
      <c r="J131" s="75" t="s">
        <v>586</v>
      </c>
      <c r="K131" s="75" t="s">
        <v>586</v>
      </c>
      <c r="L131" s="75" t="s">
        <v>586</v>
      </c>
      <c r="M131" s="75" t="s">
        <v>586</v>
      </c>
      <c r="N131" s="75" t="s">
        <v>586</v>
      </c>
      <c r="O131" s="75" t="s">
        <v>586</v>
      </c>
      <c r="P131" s="75" t="s">
        <v>586</v>
      </c>
      <c r="Q131" s="75" t="s">
        <v>586</v>
      </c>
      <c r="R131" s="75" t="s">
        <v>586</v>
      </c>
      <c r="S131" s="75" t="s">
        <v>586</v>
      </c>
      <c r="T131" s="75" t="s">
        <v>586</v>
      </c>
      <c r="U131" s="75" t="s">
        <v>586</v>
      </c>
      <c r="V131" s="75" t="s">
        <v>586</v>
      </c>
      <c r="W131" s="75" t="s">
        <v>586</v>
      </c>
      <c r="X131" s="75" t="s">
        <v>586</v>
      </c>
      <c r="Y131" s="75" t="s">
        <v>586</v>
      </c>
      <c r="Z131" s="75" t="s">
        <v>586</v>
      </c>
      <c r="AA131" s="75" t="s">
        <v>586</v>
      </c>
      <c r="AB131" s="75" t="s">
        <v>586</v>
      </c>
      <c r="AC131" s="75" t="s">
        <v>586</v>
      </c>
      <c r="AD131" s="75" t="s">
        <v>586</v>
      </c>
      <c r="AE131" s="75" t="s">
        <v>586</v>
      </c>
      <c r="AF131" s="75" t="s">
        <v>586</v>
      </c>
    </row>
    <row r="132" spans="1:35" ht="100.15" customHeight="1" x14ac:dyDescent="0.25">
      <c r="A132" s="620" t="s">
        <v>919</v>
      </c>
      <c r="B132" s="151" t="s">
        <v>13</v>
      </c>
      <c r="C132" s="40" t="s">
        <v>14</v>
      </c>
      <c r="D132" s="40" t="s">
        <v>15</v>
      </c>
      <c r="E132" s="41" t="s">
        <v>16</v>
      </c>
      <c r="F132" s="289" t="s">
        <v>17</v>
      </c>
      <c r="G132" s="40" t="s">
        <v>70</v>
      </c>
      <c r="H132" s="40" t="s">
        <v>71</v>
      </c>
      <c r="I132" s="40" t="s">
        <v>72</v>
      </c>
      <c r="J132" s="40" t="s">
        <v>2</v>
      </c>
      <c r="K132" s="40" t="s">
        <v>73</v>
      </c>
      <c r="L132" s="42" t="s">
        <v>74</v>
      </c>
      <c r="M132" s="42" t="s">
        <v>75</v>
      </c>
      <c r="N132" s="40" t="s">
        <v>76</v>
      </c>
      <c r="O132" s="40" t="s">
        <v>77</v>
      </c>
      <c r="P132" s="40" t="s">
        <v>78</v>
      </c>
      <c r="Q132" s="40" t="s">
        <v>79</v>
      </c>
      <c r="R132" s="40" t="s">
        <v>80</v>
      </c>
      <c r="S132" s="40" t="s">
        <v>81</v>
      </c>
      <c r="T132" s="40" t="s">
        <v>82</v>
      </c>
      <c r="U132" s="40" t="s">
        <v>83</v>
      </c>
      <c r="V132" s="40" t="s">
        <v>84</v>
      </c>
      <c r="W132" s="40" t="s">
        <v>3</v>
      </c>
      <c r="X132" s="40" t="s">
        <v>85</v>
      </c>
      <c r="Y132" s="40" t="s">
        <v>86</v>
      </c>
      <c r="Z132" s="40" t="s">
        <v>87</v>
      </c>
      <c r="AA132" s="40" t="s">
        <v>88</v>
      </c>
      <c r="AB132" s="40" t="s">
        <v>89</v>
      </c>
      <c r="AC132" s="40" t="s">
        <v>90</v>
      </c>
      <c r="AD132" s="40" t="s">
        <v>91</v>
      </c>
      <c r="AE132" s="40" t="s">
        <v>92</v>
      </c>
      <c r="AF132" s="43" t="s">
        <v>93</v>
      </c>
      <c r="AG132" s="2"/>
    </row>
    <row r="133" spans="1:35" ht="19.899999999999999" customHeight="1" x14ac:dyDescent="0.25">
      <c r="A133" s="615"/>
      <c r="B133" s="152">
        <v>1</v>
      </c>
      <c r="C133" s="44" t="s">
        <v>47</v>
      </c>
      <c r="D133" s="45">
        <v>11</v>
      </c>
      <c r="E133" s="46" t="s">
        <v>48</v>
      </c>
      <c r="F133" s="290" t="s">
        <v>49</v>
      </c>
      <c r="G133" s="47" t="s">
        <v>50</v>
      </c>
      <c r="H133" s="47">
        <v>36</v>
      </c>
      <c r="I133" s="47" t="s">
        <v>94</v>
      </c>
      <c r="J133" s="47" t="s">
        <v>95</v>
      </c>
      <c r="K133" s="47" t="s">
        <v>96</v>
      </c>
      <c r="L133" s="48" t="s">
        <v>97</v>
      </c>
      <c r="M133" s="48" t="s">
        <v>98</v>
      </c>
      <c r="N133" s="47" t="s">
        <v>99</v>
      </c>
      <c r="O133" s="47">
        <v>53</v>
      </c>
      <c r="P133" s="47">
        <v>54</v>
      </c>
      <c r="Q133" s="47" t="s">
        <v>913</v>
      </c>
      <c r="R133" s="47" t="s">
        <v>100</v>
      </c>
      <c r="S133" s="47" t="s">
        <v>101</v>
      </c>
      <c r="T133" s="47" t="s">
        <v>57</v>
      </c>
      <c r="U133" s="47" t="s">
        <v>102</v>
      </c>
      <c r="V133" s="47" t="s">
        <v>103</v>
      </c>
      <c r="W133" s="47" t="s">
        <v>104</v>
      </c>
      <c r="X133" s="47" t="s">
        <v>105</v>
      </c>
      <c r="Y133" s="47" t="s">
        <v>106</v>
      </c>
      <c r="Z133" s="47" t="s">
        <v>107</v>
      </c>
      <c r="AA133" s="47" t="s">
        <v>108</v>
      </c>
      <c r="AB133" s="45" t="s">
        <v>109</v>
      </c>
      <c r="AC133" s="47" t="s">
        <v>110</v>
      </c>
      <c r="AD133" s="45">
        <v>120</v>
      </c>
      <c r="AE133" s="45">
        <v>121</v>
      </c>
      <c r="AF133" s="49" t="s">
        <v>111</v>
      </c>
    </row>
    <row r="134" spans="1:35" outlineLevel="1" x14ac:dyDescent="0.25">
      <c r="A134" s="615"/>
      <c r="B134" s="152">
        <v>1</v>
      </c>
      <c r="C134" s="45">
        <v>9</v>
      </c>
      <c r="D134" s="45">
        <v>1</v>
      </c>
      <c r="E134" s="50">
        <v>13</v>
      </c>
      <c r="F134" s="291">
        <v>2</v>
      </c>
      <c r="G134" s="45">
        <v>9</v>
      </c>
      <c r="H134" s="45">
        <v>1</v>
      </c>
      <c r="I134" s="45">
        <v>2</v>
      </c>
      <c r="J134" s="45">
        <v>2</v>
      </c>
      <c r="K134" s="45">
        <v>3</v>
      </c>
      <c r="L134" s="51">
        <v>6</v>
      </c>
      <c r="M134" s="51">
        <v>1</v>
      </c>
      <c r="N134" s="45">
        <v>2</v>
      </c>
      <c r="O134" s="45">
        <v>1</v>
      </c>
      <c r="P134" s="45">
        <v>1</v>
      </c>
      <c r="Q134" s="45">
        <v>9</v>
      </c>
      <c r="R134" s="45">
        <v>2</v>
      </c>
      <c r="S134" s="45">
        <v>2</v>
      </c>
      <c r="T134" s="45">
        <v>6</v>
      </c>
      <c r="U134" s="45">
        <v>5</v>
      </c>
      <c r="V134" s="45">
        <v>2</v>
      </c>
      <c r="W134" s="45">
        <v>6</v>
      </c>
      <c r="X134" s="45">
        <v>2</v>
      </c>
      <c r="Y134" s="45">
        <v>7</v>
      </c>
      <c r="Z134" s="45">
        <v>7</v>
      </c>
      <c r="AA134" s="45">
        <v>3</v>
      </c>
      <c r="AB134" s="45">
        <v>7</v>
      </c>
      <c r="AC134" s="45">
        <v>7</v>
      </c>
      <c r="AD134" s="45">
        <v>1</v>
      </c>
      <c r="AE134" s="45">
        <v>1</v>
      </c>
      <c r="AF134" s="49">
        <v>7</v>
      </c>
    </row>
    <row r="135" spans="1:35" outlineLevel="1" x14ac:dyDescent="0.25">
      <c r="A135" s="615"/>
      <c r="B135" s="152" t="s">
        <v>1</v>
      </c>
      <c r="C135" s="45" t="s">
        <v>1</v>
      </c>
      <c r="D135" s="45" t="s">
        <v>69</v>
      </c>
      <c r="E135" s="50" t="s">
        <v>69</v>
      </c>
      <c r="F135" s="291" t="s">
        <v>1</v>
      </c>
      <c r="G135" s="45" t="s">
        <v>1</v>
      </c>
      <c r="H135" s="45" t="s">
        <v>69</v>
      </c>
      <c r="I135" s="45" t="s">
        <v>1</v>
      </c>
      <c r="J135" s="45" t="s">
        <v>1</v>
      </c>
      <c r="K135" s="45" t="s">
        <v>1</v>
      </c>
      <c r="L135" s="52" t="s">
        <v>1</v>
      </c>
      <c r="M135" s="52" t="s">
        <v>1</v>
      </c>
      <c r="N135" s="45" t="s">
        <v>69</v>
      </c>
      <c r="O135" s="45" t="s">
        <v>69</v>
      </c>
      <c r="P135" s="53" t="s">
        <v>69</v>
      </c>
      <c r="Q135" s="45" t="s">
        <v>1</v>
      </c>
      <c r="R135" s="45" t="s">
        <v>1</v>
      </c>
      <c r="S135" s="45" t="s">
        <v>1</v>
      </c>
      <c r="T135" s="45" t="s">
        <v>1</v>
      </c>
      <c r="U135" s="45" t="s">
        <v>69</v>
      </c>
      <c r="V135" s="45" t="s">
        <v>1</v>
      </c>
      <c r="W135" s="45" t="s">
        <v>1</v>
      </c>
      <c r="X135" s="45" t="s">
        <v>1</v>
      </c>
      <c r="Y135" s="45" t="s">
        <v>1</v>
      </c>
      <c r="Z135" s="45" t="s">
        <v>1</v>
      </c>
      <c r="AA135" s="45" t="s">
        <v>1</v>
      </c>
      <c r="AB135" s="45" t="s">
        <v>1</v>
      </c>
      <c r="AC135" s="45" t="s">
        <v>1</v>
      </c>
      <c r="AD135" s="45" t="s">
        <v>69</v>
      </c>
      <c r="AE135" s="45" t="s">
        <v>1</v>
      </c>
      <c r="AF135" s="49" t="s">
        <v>1</v>
      </c>
    </row>
    <row r="136" spans="1:35" ht="13.5" customHeight="1" outlineLevel="1" x14ac:dyDescent="0.25">
      <c r="A136" s="615"/>
      <c r="B136" s="152" t="s">
        <v>0</v>
      </c>
      <c r="C136" s="45" t="s">
        <v>0</v>
      </c>
      <c r="D136" s="45" t="s">
        <v>4</v>
      </c>
      <c r="E136" s="50" t="s">
        <v>0</v>
      </c>
      <c r="F136" s="291" t="s">
        <v>0</v>
      </c>
      <c r="G136" s="45" t="s">
        <v>0</v>
      </c>
      <c r="H136" s="45" t="s">
        <v>4</v>
      </c>
      <c r="I136" s="45" t="s">
        <v>4</v>
      </c>
      <c r="J136" s="45" t="s">
        <v>4</v>
      </c>
      <c r="K136" s="45" t="s">
        <v>4</v>
      </c>
      <c r="L136" s="52" t="s">
        <v>4</v>
      </c>
      <c r="M136" s="52" t="s">
        <v>0</v>
      </c>
      <c r="N136" s="45" t="s">
        <v>4</v>
      </c>
      <c r="O136" s="45" t="s">
        <v>4</v>
      </c>
      <c r="P136" s="45" t="s">
        <v>4</v>
      </c>
      <c r="Q136" s="45" t="s">
        <v>4</v>
      </c>
      <c r="R136" s="45" t="s">
        <v>4</v>
      </c>
      <c r="S136" s="45" t="s">
        <v>112</v>
      </c>
      <c r="T136" s="45" t="s">
        <v>0</v>
      </c>
      <c r="U136" s="45" t="s">
        <v>0</v>
      </c>
      <c r="V136" s="45" t="s">
        <v>0</v>
      </c>
      <c r="W136" s="45" t="s">
        <v>0</v>
      </c>
      <c r="X136" s="45" t="s">
        <v>0</v>
      </c>
      <c r="Y136" s="45" t="s">
        <v>0</v>
      </c>
      <c r="Z136" s="45" t="s">
        <v>0</v>
      </c>
      <c r="AA136" s="45" t="s">
        <v>0</v>
      </c>
      <c r="AB136" s="45" t="s">
        <v>0</v>
      </c>
      <c r="AC136" s="45" t="s">
        <v>0</v>
      </c>
      <c r="AD136" s="45" t="s">
        <v>4</v>
      </c>
      <c r="AE136" s="45" t="s">
        <v>4</v>
      </c>
      <c r="AF136" s="49" t="s">
        <v>4</v>
      </c>
    </row>
    <row r="137" spans="1:35" ht="30" customHeight="1" thickBot="1" x14ac:dyDescent="0.3">
      <c r="A137" s="616"/>
      <c r="B137" s="149" t="s">
        <v>10</v>
      </c>
      <c r="C137" s="54" t="s">
        <v>544</v>
      </c>
      <c r="D137" s="55" t="s">
        <v>8</v>
      </c>
      <c r="E137" s="54" t="s">
        <v>198</v>
      </c>
      <c r="F137" s="288">
        <v>77</v>
      </c>
      <c r="G137" s="54">
        <v>250000001</v>
      </c>
      <c r="H137" s="193" t="s">
        <v>8</v>
      </c>
      <c r="I137" s="193" t="s">
        <v>5</v>
      </c>
      <c r="J137" s="55" t="s">
        <v>5</v>
      </c>
      <c r="K137" s="55" t="s">
        <v>6</v>
      </c>
      <c r="L137" s="55" t="s">
        <v>208</v>
      </c>
      <c r="M137" s="193" t="s">
        <v>397</v>
      </c>
      <c r="N137" s="55" t="s">
        <v>210</v>
      </c>
      <c r="O137" s="55" t="s">
        <v>8</v>
      </c>
      <c r="P137" s="55" t="s">
        <v>8</v>
      </c>
      <c r="Q137" s="54" t="s">
        <v>544</v>
      </c>
      <c r="R137" s="55" t="s">
        <v>5</v>
      </c>
      <c r="S137" s="55" t="s">
        <v>5</v>
      </c>
      <c r="T137" s="33" t="s">
        <v>756</v>
      </c>
      <c r="U137" s="228" t="s">
        <v>280</v>
      </c>
      <c r="V137" s="33" t="s">
        <v>649</v>
      </c>
      <c r="W137" s="54" t="s">
        <v>590</v>
      </c>
      <c r="X137" s="33" t="s">
        <v>207</v>
      </c>
      <c r="Y137" s="54" t="s">
        <v>595</v>
      </c>
      <c r="Z137" s="96" t="s">
        <v>770</v>
      </c>
      <c r="AA137" s="54" t="s">
        <v>6</v>
      </c>
      <c r="AB137" s="54" t="s">
        <v>212</v>
      </c>
      <c r="AC137" s="54" t="s">
        <v>212</v>
      </c>
      <c r="AD137" s="193" t="s">
        <v>498</v>
      </c>
      <c r="AE137" s="193" t="s">
        <v>200</v>
      </c>
      <c r="AF137" s="54" t="s">
        <v>212</v>
      </c>
      <c r="AG137" s="188" t="s">
        <v>589</v>
      </c>
      <c r="AH137" s="76"/>
      <c r="AI137" s="76"/>
    </row>
    <row r="138" spans="1:35" s="75" customFormat="1" ht="15.75" thickBot="1" x14ac:dyDescent="0.3">
      <c r="A138" s="77"/>
      <c r="B138" s="144"/>
      <c r="C138" s="77"/>
      <c r="D138" s="77"/>
      <c r="E138" s="77"/>
      <c r="F138" s="271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</row>
    <row r="139" spans="1:35" ht="100.15" customHeight="1" x14ac:dyDescent="0.25">
      <c r="A139" s="614" t="s">
        <v>360</v>
      </c>
      <c r="B139" s="147" t="s">
        <v>13</v>
      </c>
      <c r="C139" s="24" t="s">
        <v>14</v>
      </c>
      <c r="D139" s="24" t="s">
        <v>15</v>
      </c>
      <c r="E139" s="25" t="s">
        <v>16</v>
      </c>
      <c r="F139" s="282" t="s">
        <v>17</v>
      </c>
      <c r="G139" s="24" t="s">
        <v>70</v>
      </c>
      <c r="H139" s="24" t="s">
        <v>15</v>
      </c>
      <c r="I139" s="24" t="s">
        <v>220</v>
      </c>
      <c r="J139" s="24" t="s">
        <v>221</v>
      </c>
      <c r="K139" s="26" t="s">
        <v>222</v>
      </c>
      <c r="L139" s="26" t="s">
        <v>223</v>
      </c>
      <c r="M139" s="24" t="s">
        <v>224</v>
      </c>
      <c r="N139" s="24" t="s">
        <v>225</v>
      </c>
      <c r="O139" s="24" t="s">
        <v>226</v>
      </c>
      <c r="P139" s="24" t="s">
        <v>221</v>
      </c>
      <c r="Q139" s="24" t="s">
        <v>227</v>
      </c>
      <c r="R139" s="24" t="s">
        <v>15</v>
      </c>
      <c r="S139" s="27" t="s">
        <v>228</v>
      </c>
    </row>
    <row r="140" spans="1:35" ht="19.899999999999999" customHeight="1" x14ac:dyDescent="0.25">
      <c r="A140" s="615"/>
      <c r="B140" s="148">
        <v>1</v>
      </c>
      <c r="C140" s="5" t="s">
        <v>47</v>
      </c>
      <c r="D140" s="4">
        <v>11</v>
      </c>
      <c r="E140" s="6" t="s">
        <v>48</v>
      </c>
      <c r="F140" s="283" t="s">
        <v>49</v>
      </c>
      <c r="G140" s="7" t="s">
        <v>50</v>
      </c>
      <c r="H140" s="7" t="s">
        <v>229</v>
      </c>
      <c r="I140" s="7" t="s">
        <v>216</v>
      </c>
      <c r="J140" s="7" t="s">
        <v>230</v>
      </c>
      <c r="K140" s="8" t="s">
        <v>217</v>
      </c>
      <c r="L140" s="8" t="s">
        <v>218</v>
      </c>
      <c r="M140" s="7" t="s">
        <v>179</v>
      </c>
      <c r="N140" s="7" t="s">
        <v>219</v>
      </c>
      <c r="O140" s="7">
        <v>90</v>
      </c>
      <c r="P140" s="7" t="s">
        <v>231</v>
      </c>
      <c r="Q140" s="7">
        <v>94</v>
      </c>
      <c r="R140" s="7" t="s">
        <v>232</v>
      </c>
      <c r="S140" s="28" t="s">
        <v>233</v>
      </c>
    </row>
    <row r="141" spans="1:35" outlineLevel="1" x14ac:dyDescent="0.25">
      <c r="A141" s="615"/>
      <c r="B141" s="148">
        <v>1</v>
      </c>
      <c r="C141" s="4">
        <v>9</v>
      </c>
      <c r="D141" s="4">
        <v>1</v>
      </c>
      <c r="E141" s="9">
        <v>13</v>
      </c>
      <c r="F141" s="284">
        <v>2</v>
      </c>
      <c r="G141" s="4">
        <v>9</v>
      </c>
      <c r="H141" s="4">
        <v>3</v>
      </c>
      <c r="I141" s="4">
        <v>3</v>
      </c>
      <c r="J141" s="4">
        <v>16</v>
      </c>
      <c r="K141" s="10">
        <v>8</v>
      </c>
      <c r="L141" s="10">
        <v>8</v>
      </c>
      <c r="M141" s="4">
        <v>8</v>
      </c>
      <c r="N141" s="4">
        <v>8</v>
      </c>
      <c r="O141" s="4">
        <v>1</v>
      </c>
      <c r="P141" s="4">
        <v>3</v>
      </c>
      <c r="Q141" s="4">
        <v>1</v>
      </c>
      <c r="R141" s="4">
        <v>2</v>
      </c>
      <c r="S141" s="29">
        <v>32</v>
      </c>
    </row>
    <row r="142" spans="1:35" ht="13.5" customHeight="1" outlineLevel="1" x14ac:dyDescent="0.25">
      <c r="A142" s="615"/>
      <c r="B142" s="148" t="s">
        <v>1</v>
      </c>
      <c r="C142" s="4" t="s">
        <v>1</v>
      </c>
      <c r="D142" s="4" t="s">
        <v>69</v>
      </c>
      <c r="E142" s="9" t="s">
        <v>69</v>
      </c>
      <c r="F142" s="284" t="s">
        <v>1</v>
      </c>
      <c r="G142" s="4" t="s">
        <v>1</v>
      </c>
      <c r="H142" s="4" t="s">
        <v>69</v>
      </c>
      <c r="I142" s="4" t="s">
        <v>1</v>
      </c>
      <c r="J142" s="4" t="s">
        <v>69</v>
      </c>
      <c r="K142" s="12" t="s">
        <v>1</v>
      </c>
      <c r="L142" s="12" t="s">
        <v>1</v>
      </c>
      <c r="M142" s="4" t="s">
        <v>1</v>
      </c>
      <c r="N142" s="4" t="s">
        <v>1</v>
      </c>
      <c r="O142" s="4" t="s">
        <v>69</v>
      </c>
      <c r="P142" s="4" t="s">
        <v>69</v>
      </c>
      <c r="Q142" s="4" t="s">
        <v>69</v>
      </c>
      <c r="R142" s="4" t="s">
        <v>69</v>
      </c>
      <c r="S142" s="29" t="s">
        <v>69</v>
      </c>
    </row>
    <row r="143" spans="1:35" outlineLevel="1" x14ac:dyDescent="0.25">
      <c r="A143" s="615"/>
      <c r="B143" s="148" t="s">
        <v>0</v>
      </c>
      <c r="C143" s="4" t="s">
        <v>0</v>
      </c>
      <c r="D143" s="4" t="s">
        <v>4</v>
      </c>
      <c r="E143" s="9" t="s">
        <v>0</v>
      </c>
      <c r="F143" s="284" t="s">
        <v>0</v>
      </c>
      <c r="G143" s="4" t="s">
        <v>0</v>
      </c>
      <c r="H143" s="4" t="s">
        <v>4</v>
      </c>
      <c r="I143" s="4" t="s">
        <v>0</v>
      </c>
      <c r="J143" s="4" t="s">
        <v>0</v>
      </c>
      <c r="K143" s="12" t="s">
        <v>0</v>
      </c>
      <c r="L143" s="12" t="s">
        <v>0</v>
      </c>
      <c r="M143" s="4" t="s">
        <v>0</v>
      </c>
      <c r="N143" s="4" t="s">
        <v>4</v>
      </c>
      <c r="O143" s="4" t="s">
        <v>4</v>
      </c>
      <c r="P143" s="4" t="s">
        <v>0</v>
      </c>
      <c r="Q143" s="4" t="s">
        <v>0</v>
      </c>
      <c r="R143" s="4" t="s">
        <v>4</v>
      </c>
      <c r="S143" s="29" t="s">
        <v>4</v>
      </c>
    </row>
    <row r="144" spans="1:35" s="163" customFormat="1" ht="30" customHeight="1" thickBot="1" x14ac:dyDescent="0.3">
      <c r="A144" s="616"/>
      <c r="B144" s="157">
        <v>5</v>
      </c>
      <c r="C144" s="54" t="s">
        <v>544</v>
      </c>
      <c r="D144" s="55" t="s">
        <v>8</v>
      </c>
      <c r="E144" s="55" t="s">
        <v>198</v>
      </c>
      <c r="F144" s="270">
        <v>77</v>
      </c>
      <c r="G144" s="55">
        <v>250000001</v>
      </c>
      <c r="H144" s="98" t="s">
        <v>9</v>
      </c>
      <c r="I144" s="496" t="s">
        <v>906</v>
      </c>
      <c r="J144" s="98" t="s">
        <v>234</v>
      </c>
      <c r="K144" s="56" t="s">
        <v>771</v>
      </c>
      <c r="L144" s="56" t="s">
        <v>771</v>
      </c>
      <c r="M144" s="56" t="s">
        <v>599</v>
      </c>
      <c r="N144" s="56" t="s">
        <v>599</v>
      </c>
      <c r="O144" s="56" t="s">
        <v>8</v>
      </c>
      <c r="P144" s="56" t="s">
        <v>9</v>
      </c>
      <c r="Q144" s="56" t="s">
        <v>8</v>
      </c>
      <c r="R144" s="56" t="s">
        <v>210</v>
      </c>
      <c r="S144" s="99" t="s">
        <v>235</v>
      </c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</row>
    <row r="145" spans="1:35" ht="15.75" thickBot="1" x14ac:dyDescent="0.3">
      <c r="A145" s="75"/>
      <c r="B145" s="150" t="s">
        <v>586</v>
      </c>
      <c r="C145" s="75" t="s">
        <v>586</v>
      </c>
      <c r="D145" s="75" t="s">
        <v>586</v>
      </c>
      <c r="E145" s="75" t="s">
        <v>586</v>
      </c>
      <c r="F145" s="276" t="s">
        <v>586</v>
      </c>
      <c r="G145" s="75" t="s">
        <v>586</v>
      </c>
      <c r="H145" s="75" t="s">
        <v>586</v>
      </c>
      <c r="I145" s="75" t="s">
        <v>586</v>
      </c>
      <c r="J145" s="75" t="s">
        <v>586</v>
      </c>
      <c r="K145" s="75" t="s">
        <v>586</v>
      </c>
      <c r="L145" s="75" t="s">
        <v>586</v>
      </c>
      <c r="M145" s="75" t="s">
        <v>586</v>
      </c>
      <c r="N145" s="75" t="s">
        <v>586</v>
      </c>
      <c r="O145" s="75" t="s">
        <v>586</v>
      </c>
      <c r="P145" s="75" t="s">
        <v>586</v>
      </c>
      <c r="Q145" s="75" t="s">
        <v>586</v>
      </c>
      <c r="R145" s="75" t="s">
        <v>586</v>
      </c>
      <c r="S145" s="75" t="s">
        <v>586</v>
      </c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</row>
    <row r="146" spans="1:35" ht="100.15" customHeight="1" x14ac:dyDescent="0.25">
      <c r="A146" s="608" t="s">
        <v>361</v>
      </c>
      <c r="B146" s="327" t="s">
        <v>13</v>
      </c>
      <c r="C146" s="328" t="s">
        <v>14</v>
      </c>
      <c r="D146" s="328" t="s">
        <v>339</v>
      </c>
      <c r="E146" s="329" t="s">
        <v>469</v>
      </c>
      <c r="F146" s="330" t="s">
        <v>470</v>
      </c>
      <c r="G146" s="328" t="s">
        <v>471</v>
      </c>
      <c r="H146" s="328" t="s">
        <v>340</v>
      </c>
      <c r="I146" s="328" t="s">
        <v>473</v>
      </c>
      <c r="J146" s="328" t="s">
        <v>472</v>
      </c>
      <c r="K146" s="331" t="s">
        <v>312</v>
      </c>
      <c r="L146" s="331" t="s">
        <v>341</v>
      </c>
      <c r="M146" s="328" t="s">
        <v>25</v>
      </c>
      <c r="N146" s="328" t="s">
        <v>15</v>
      </c>
      <c r="O146" s="328" t="s">
        <v>474</v>
      </c>
      <c r="P146" s="328" t="s">
        <v>342</v>
      </c>
      <c r="Q146" s="328" t="s">
        <v>15</v>
      </c>
      <c r="R146" s="328" t="s">
        <v>343</v>
      </c>
      <c r="S146" s="332" t="s">
        <v>228</v>
      </c>
    </row>
    <row r="147" spans="1:35" ht="19.899999999999999" customHeight="1" x14ac:dyDescent="0.25">
      <c r="A147" s="609"/>
      <c r="B147" s="158">
        <v>1</v>
      </c>
      <c r="C147" s="102" t="s">
        <v>47</v>
      </c>
      <c r="D147" s="103" t="s">
        <v>344</v>
      </c>
      <c r="E147" s="104" t="s">
        <v>345</v>
      </c>
      <c r="F147" s="298" t="s">
        <v>346</v>
      </c>
      <c r="G147" s="103" t="s">
        <v>347</v>
      </c>
      <c r="H147" s="103" t="s">
        <v>348</v>
      </c>
      <c r="I147" s="103" t="s">
        <v>349</v>
      </c>
      <c r="J147" s="103" t="s">
        <v>350</v>
      </c>
      <c r="K147" s="105" t="s">
        <v>351</v>
      </c>
      <c r="L147" s="105" t="s">
        <v>352</v>
      </c>
      <c r="M147" s="103" t="s">
        <v>353</v>
      </c>
      <c r="N147" s="103" t="s">
        <v>354</v>
      </c>
      <c r="O147" s="103" t="s">
        <v>355</v>
      </c>
      <c r="P147" s="103" t="s">
        <v>356</v>
      </c>
      <c r="Q147" s="103" t="s">
        <v>357</v>
      </c>
      <c r="R147" s="103" t="s">
        <v>358</v>
      </c>
      <c r="S147" s="333" t="s">
        <v>233</v>
      </c>
    </row>
    <row r="148" spans="1:35" outlineLevel="1" x14ac:dyDescent="0.25">
      <c r="A148" s="609"/>
      <c r="B148" s="158">
        <v>1</v>
      </c>
      <c r="C148" s="101">
        <v>9</v>
      </c>
      <c r="D148" s="101">
        <v>3</v>
      </c>
      <c r="E148" s="101">
        <v>4</v>
      </c>
      <c r="F148" s="299">
        <v>4</v>
      </c>
      <c r="G148" s="101">
        <v>3</v>
      </c>
      <c r="H148" s="101">
        <v>9</v>
      </c>
      <c r="I148" s="101">
        <v>9</v>
      </c>
      <c r="J148" s="101">
        <v>9</v>
      </c>
      <c r="K148" s="107">
        <v>3</v>
      </c>
      <c r="L148" s="107">
        <v>1</v>
      </c>
      <c r="M148" s="101">
        <v>1</v>
      </c>
      <c r="N148" s="101">
        <v>4</v>
      </c>
      <c r="O148" s="101">
        <v>12</v>
      </c>
      <c r="P148" s="101">
        <v>12</v>
      </c>
      <c r="Q148" s="103">
        <v>3</v>
      </c>
      <c r="R148" s="101">
        <v>9</v>
      </c>
      <c r="S148" s="334">
        <v>32</v>
      </c>
    </row>
    <row r="149" spans="1:35" outlineLevel="1" x14ac:dyDescent="0.25">
      <c r="A149" s="609"/>
      <c r="B149" s="158" t="s">
        <v>1</v>
      </c>
      <c r="C149" s="101" t="s">
        <v>1</v>
      </c>
      <c r="D149" s="197" t="s">
        <v>1</v>
      </c>
      <c r="E149" s="106" t="s">
        <v>1</v>
      </c>
      <c r="F149" s="299" t="s">
        <v>1</v>
      </c>
      <c r="G149" s="101" t="s">
        <v>1</v>
      </c>
      <c r="H149" s="101" t="s">
        <v>1</v>
      </c>
      <c r="I149" s="101" t="s">
        <v>1</v>
      </c>
      <c r="J149" s="101" t="s">
        <v>1</v>
      </c>
      <c r="K149" s="108" t="s">
        <v>1</v>
      </c>
      <c r="L149" s="108" t="s">
        <v>69</v>
      </c>
      <c r="M149" s="101" t="s">
        <v>69</v>
      </c>
      <c r="N149" s="101" t="s">
        <v>69</v>
      </c>
      <c r="O149" s="101" t="s">
        <v>69</v>
      </c>
      <c r="P149" s="101" t="s">
        <v>1</v>
      </c>
      <c r="Q149" s="101" t="s">
        <v>69</v>
      </c>
      <c r="R149" s="101" t="s">
        <v>1</v>
      </c>
      <c r="S149" s="334" t="s">
        <v>1</v>
      </c>
    </row>
    <row r="150" spans="1:35" outlineLevel="1" x14ac:dyDescent="0.25">
      <c r="A150" s="609"/>
      <c r="B150" s="158" t="s">
        <v>0</v>
      </c>
      <c r="C150" s="101" t="s">
        <v>0</v>
      </c>
      <c r="D150" s="101" t="s">
        <v>0</v>
      </c>
      <c r="E150" s="106" t="s">
        <v>0</v>
      </c>
      <c r="F150" s="299" t="s">
        <v>0</v>
      </c>
      <c r="G150" s="101" t="s">
        <v>0</v>
      </c>
      <c r="H150" s="101" t="s">
        <v>0</v>
      </c>
      <c r="I150" s="101" t="s">
        <v>0</v>
      </c>
      <c r="J150" s="101" t="s">
        <v>0</v>
      </c>
      <c r="K150" s="108" t="s">
        <v>0</v>
      </c>
      <c r="L150" s="108" t="s">
        <v>4</v>
      </c>
      <c r="M150" s="101" t="s">
        <v>4</v>
      </c>
      <c r="N150" s="101" t="s">
        <v>4</v>
      </c>
      <c r="O150" s="101" t="s">
        <v>4</v>
      </c>
      <c r="P150" s="101" t="s">
        <v>4</v>
      </c>
      <c r="Q150" s="101" t="s">
        <v>4</v>
      </c>
      <c r="R150" s="101" t="s">
        <v>4</v>
      </c>
      <c r="S150" s="334" t="s">
        <v>0</v>
      </c>
    </row>
    <row r="151" spans="1:35" s="163" customFormat="1" ht="30" customHeight="1" thickBot="1" x14ac:dyDescent="0.3">
      <c r="A151" s="610"/>
      <c r="B151" s="183">
        <v>6</v>
      </c>
      <c r="C151" s="335" t="s">
        <v>544</v>
      </c>
      <c r="D151" s="185" t="s">
        <v>195</v>
      </c>
      <c r="E151" s="336" t="s">
        <v>733</v>
      </c>
      <c r="F151" s="337" t="s">
        <v>521</v>
      </c>
      <c r="G151" s="185" t="s">
        <v>195</v>
      </c>
      <c r="H151" s="184" t="s">
        <v>772</v>
      </c>
      <c r="I151" s="184" t="s">
        <v>772</v>
      </c>
      <c r="J151" s="184" t="s">
        <v>209</v>
      </c>
      <c r="K151" s="184" t="s">
        <v>195</v>
      </c>
      <c r="L151" s="186" t="s">
        <v>8</v>
      </c>
      <c r="M151" s="186" t="s">
        <v>8</v>
      </c>
      <c r="N151" s="186" t="s">
        <v>387</v>
      </c>
      <c r="O151" s="186" t="s">
        <v>941</v>
      </c>
      <c r="P151" s="186" t="s">
        <v>388</v>
      </c>
      <c r="Q151" s="186" t="s">
        <v>9</v>
      </c>
      <c r="R151" s="186" t="s">
        <v>389</v>
      </c>
      <c r="S151" s="187" t="s">
        <v>235</v>
      </c>
    </row>
    <row r="152" spans="1:35" ht="9.75" customHeight="1" thickBot="1" x14ac:dyDescent="0.3">
      <c r="B152" s="150" t="s">
        <v>586</v>
      </c>
      <c r="C152" s="150" t="s">
        <v>586</v>
      </c>
      <c r="D152" s="150" t="s">
        <v>586</v>
      </c>
      <c r="E152" s="150" t="s">
        <v>586</v>
      </c>
      <c r="F152" s="276" t="s">
        <v>586</v>
      </c>
      <c r="G152" s="150" t="s">
        <v>586</v>
      </c>
      <c r="H152" s="150" t="s">
        <v>586</v>
      </c>
      <c r="I152" s="150" t="s">
        <v>586</v>
      </c>
      <c r="J152" s="150" t="s">
        <v>586</v>
      </c>
      <c r="K152" s="150" t="s">
        <v>586</v>
      </c>
      <c r="L152" s="150" t="s">
        <v>586</v>
      </c>
      <c r="M152" s="150" t="s">
        <v>586</v>
      </c>
      <c r="N152" s="150" t="s">
        <v>586</v>
      </c>
      <c r="O152" s="150" t="s">
        <v>586</v>
      </c>
      <c r="P152" s="150" t="s">
        <v>586</v>
      </c>
      <c r="Q152" s="150" t="s">
        <v>586</v>
      </c>
      <c r="R152" s="150" t="s">
        <v>586</v>
      </c>
      <c r="S152" s="150" t="s">
        <v>586</v>
      </c>
    </row>
    <row r="153" spans="1:35" ht="100.15" customHeight="1" x14ac:dyDescent="0.25">
      <c r="A153" s="611" t="s">
        <v>371</v>
      </c>
      <c r="B153" s="159" t="s">
        <v>13</v>
      </c>
      <c r="C153" s="117" t="s">
        <v>363</v>
      </c>
      <c r="D153" s="117" t="s">
        <v>364</v>
      </c>
      <c r="E153" s="118" t="s">
        <v>15</v>
      </c>
      <c r="F153" s="300" t="s">
        <v>283</v>
      </c>
      <c r="G153" s="117" t="s">
        <v>365</v>
      </c>
      <c r="H153" s="117" t="s">
        <v>15</v>
      </c>
      <c r="I153" s="117" t="s">
        <v>286</v>
      </c>
      <c r="J153" s="117" t="s">
        <v>287</v>
      </c>
      <c r="K153" s="119" t="s">
        <v>366</v>
      </c>
      <c r="L153" s="119" t="s">
        <v>15</v>
      </c>
      <c r="M153" s="117" t="s">
        <v>367</v>
      </c>
      <c r="N153" s="120" t="s">
        <v>15</v>
      </c>
    </row>
    <row r="154" spans="1:35" ht="19.899999999999999" customHeight="1" x14ac:dyDescent="0.25">
      <c r="A154" s="612"/>
      <c r="B154" s="198" t="s">
        <v>293</v>
      </c>
      <c r="C154" s="110" t="s">
        <v>294</v>
      </c>
      <c r="D154" s="111" t="s">
        <v>295</v>
      </c>
      <c r="E154" s="112" t="s">
        <v>296</v>
      </c>
      <c r="F154" s="301" t="s">
        <v>297</v>
      </c>
      <c r="G154" s="111" t="s">
        <v>298</v>
      </c>
      <c r="H154" s="111" t="s">
        <v>299</v>
      </c>
      <c r="I154" s="111" t="s">
        <v>300</v>
      </c>
      <c r="J154" s="111" t="s">
        <v>301</v>
      </c>
      <c r="K154" s="113" t="s">
        <v>368</v>
      </c>
      <c r="L154" s="113" t="s">
        <v>369</v>
      </c>
      <c r="M154" s="111" t="s">
        <v>307</v>
      </c>
      <c r="N154" s="121" t="s">
        <v>370</v>
      </c>
    </row>
    <row r="155" spans="1:35" outlineLevel="1" x14ac:dyDescent="0.25">
      <c r="A155" s="612"/>
      <c r="B155" s="160">
        <v>3</v>
      </c>
      <c r="C155" s="109">
        <v>2</v>
      </c>
      <c r="D155" s="109">
        <v>14</v>
      </c>
      <c r="E155" s="109">
        <v>6</v>
      </c>
      <c r="F155" s="302">
        <v>2</v>
      </c>
      <c r="G155" s="109">
        <v>14</v>
      </c>
      <c r="H155" s="109">
        <v>6</v>
      </c>
      <c r="I155" s="109">
        <v>2</v>
      </c>
      <c r="J155" s="109">
        <v>6</v>
      </c>
      <c r="K155" s="115">
        <v>8</v>
      </c>
      <c r="L155" s="115">
        <v>19</v>
      </c>
      <c r="M155" s="109">
        <v>3</v>
      </c>
      <c r="N155" s="122">
        <v>43</v>
      </c>
    </row>
    <row r="156" spans="1:35" outlineLevel="1" x14ac:dyDescent="0.25">
      <c r="A156" s="612"/>
      <c r="B156" s="160" t="s">
        <v>1</v>
      </c>
      <c r="C156" s="109" t="s">
        <v>69</v>
      </c>
      <c r="D156" s="109" t="s">
        <v>1</v>
      </c>
      <c r="E156" s="114" t="s">
        <v>69</v>
      </c>
      <c r="F156" s="302" t="s">
        <v>69</v>
      </c>
      <c r="G156" s="109" t="s">
        <v>1</v>
      </c>
      <c r="H156" s="109" t="s">
        <v>69</v>
      </c>
      <c r="I156" s="109" t="s">
        <v>69</v>
      </c>
      <c r="J156" s="109" t="s">
        <v>69</v>
      </c>
      <c r="K156" s="116" t="s">
        <v>1</v>
      </c>
      <c r="L156" s="116" t="s">
        <v>69</v>
      </c>
      <c r="M156" s="109" t="s">
        <v>1</v>
      </c>
      <c r="N156" s="122" t="s">
        <v>69</v>
      </c>
    </row>
    <row r="157" spans="1:35" outlineLevel="1" x14ac:dyDescent="0.25">
      <c r="A157" s="612"/>
      <c r="B157" s="160" t="s">
        <v>0</v>
      </c>
      <c r="C157" s="109" t="s">
        <v>0</v>
      </c>
      <c r="D157" s="109" t="s">
        <v>0</v>
      </c>
      <c r="E157" s="114" t="s">
        <v>4</v>
      </c>
      <c r="F157" s="302" t="s">
        <v>0</v>
      </c>
      <c r="G157" s="109" t="s">
        <v>0</v>
      </c>
      <c r="H157" s="109" t="s">
        <v>4</v>
      </c>
      <c r="I157" s="109" t="s">
        <v>0</v>
      </c>
      <c r="J157" s="109" t="s">
        <v>0</v>
      </c>
      <c r="K157" s="116" t="s">
        <v>0</v>
      </c>
      <c r="L157" s="116" t="s">
        <v>4</v>
      </c>
      <c r="M157" s="109" t="s">
        <v>0</v>
      </c>
      <c r="N157" s="122" t="s">
        <v>4</v>
      </c>
    </row>
    <row r="158" spans="1:35" ht="30" customHeight="1" thickBot="1" x14ac:dyDescent="0.3">
      <c r="A158" s="613"/>
      <c r="B158" s="183">
        <v>999</v>
      </c>
      <c r="C158" s="186" t="s">
        <v>373</v>
      </c>
      <c r="D158" s="174" t="s">
        <v>584</v>
      </c>
      <c r="E158" s="186" t="s">
        <v>374</v>
      </c>
      <c r="F158" s="303" t="s">
        <v>375</v>
      </c>
      <c r="G158" s="174" t="s">
        <v>585</v>
      </c>
      <c r="H158" s="186" t="s">
        <v>374</v>
      </c>
      <c r="I158" s="186" t="s">
        <v>376</v>
      </c>
      <c r="J158" s="184" t="s">
        <v>377</v>
      </c>
      <c r="K158" s="497" t="s">
        <v>911</v>
      </c>
      <c r="L158" s="186" t="s">
        <v>390</v>
      </c>
      <c r="M158" s="185" t="s">
        <v>195</v>
      </c>
      <c r="N158" s="187" t="s">
        <v>391</v>
      </c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</row>
    <row r="159" spans="1:35" x14ac:dyDescent="0.25">
      <c r="B159" s="150" t="s">
        <v>586</v>
      </c>
      <c r="C159" s="150" t="s">
        <v>586</v>
      </c>
      <c r="D159" s="150" t="s">
        <v>586</v>
      </c>
      <c r="E159" s="150" t="s">
        <v>586</v>
      </c>
      <c r="F159" s="276" t="s">
        <v>586</v>
      </c>
      <c r="G159" s="150" t="s">
        <v>586</v>
      </c>
      <c r="H159" s="150" t="s">
        <v>586</v>
      </c>
      <c r="I159" s="150" t="s">
        <v>586</v>
      </c>
      <c r="J159" s="150" t="s">
        <v>586</v>
      </c>
      <c r="K159" s="150" t="s">
        <v>586</v>
      </c>
      <c r="L159" s="150" t="s">
        <v>586</v>
      </c>
      <c r="M159" s="150" t="s">
        <v>586</v>
      </c>
      <c r="N159" s="150" t="s">
        <v>586</v>
      </c>
    </row>
  </sheetData>
  <sheetProtection algorithmName="SHA-512" hashValue="oE1O1RMSLbRXR46+StvZyV8bcy9cdSbaRdsxIPYbeoOx/Oqk3FkBoN1pPkDLL89BS8WPbZDzqo2G76WXhtooaA==" saltValue="6bk6SpyJ4qg73B38GH9DDA==" spinCount="100000" sheet="1" sort="0"/>
  <mergeCells count="34">
    <mergeCell ref="A13:A18"/>
    <mergeCell ref="A20:A25"/>
    <mergeCell ref="A76:A81"/>
    <mergeCell ref="A83:A88"/>
    <mergeCell ref="A27:A32"/>
    <mergeCell ref="A34:A39"/>
    <mergeCell ref="A41:A46"/>
    <mergeCell ref="A48:A53"/>
    <mergeCell ref="A55:A60"/>
    <mergeCell ref="A62:A67"/>
    <mergeCell ref="A132:A137"/>
    <mergeCell ref="A139:A144"/>
    <mergeCell ref="A146:A151"/>
    <mergeCell ref="A153:A158"/>
    <mergeCell ref="B1:AI1"/>
    <mergeCell ref="A3:C3"/>
    <mergeCell ref="D3:F3"/>
    <mergeCell ref="G3:H3"/>
    <mergeCell ref="I3:X3"/>
    <mergeCell ref="A104:A109"/>
    <mergeCell ref="A111:A116"/>
    <mergeCell ref="A118:A123"/>
    <mergeCell ref="A125:A130"/>
    <mergeCell ref="A90:A95"/>
    <mergeCell ref="A97:A102"/>
    <mergeCell ref="A69:A74"/>
    <mergeCell ref="Z3:AE3"/>
    <mergeCell ref="AG3:AI3"/>
    <mergeCell ref="A11:AI11"/>
    <mergeCell ref="H5:H9"/>
    <mergeCell ref="E5:E9"/>
    <mergeCell ref="D5:D9"/>
    <mergeCell ref="A5:A9"/>
    <mergeCell ref="B5:B9"/>
  </mergeCells>
  <conditionalFormatting sqref="B32">
    <cfRule type="expression" dxfId="17" priority="2">
      <formula>"B17&lt;&gt;0"</formula>
    </cfRule>
  </conditionalFormatting>
  <conditionalFormatting sqref="F32">
    <cfRule type="expression" dxfId="16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tabColor theme="8" tint="-0.499984740745262"/>
    <pageSetUpPr fitToPage="1"/>
  </sheetPr>
  <dimension ref="A1:AI123"/>
  <sheetViews>
    <sheetView view="pageBreakPreview" topLeftCell="M100" zoomScale="85" zoomScaleNormal="40" zoomScaleSheetLayoutView="85" workbookViewId="0">
      <selection activeCell="O115" sqref="O115"/>
    </sheetView>
  </sheetViews>
  <sheetFormatPr baseColWidth="10" defaultColWidth="11.42578125" defaultRowHeight="15" outlineLevelRow="2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661" t="str">
        <f>'LISTE DES CAS ANNEXE 30'!A42</f>
        <v>CONVENTION CAS 17</v>
      </c>
      <c r="B5" s="664">
        <f>'LISTE DES CAS ANNEXE 30'!B42</f>
        <v>4</v>
      </c>
      <c r="C5" s="462">
        <f>'LISTE DES CAS ANNEXE 30'!C42</f>
        <v>1</v>
      </c>
      <c r="D5" s="666" t="str">
        <f>'LISTE DES CAS ANNEXE 30'!D42</f>
        <v>MALADIE</v>
      </c>
      <c r="E5" s="669">
        <f>'LISTE DES CAS ANNEXE 30'!E42</f>
        <v>0.55000000000000004</v>
      </c>
      <c r="F5" s="463" t="str">
        <f>'LISTE DES CAS ANNEXE 30'!H42</f>
        <v>OUI</v>
      </c>
      <c r="G5" s="464" t="str">
        <f>'LISTE DES CAS ANNEXE 30'!I42</f>
        <v>so</v>
      </c>
      <c r="H5" s="672" t="str">
        <f>'LISTE DES CAS ANNEXE 30'!J42</f>
        <v>15 - TP AMO &amp; TP AMC</v>
      </c>
      <c r="I5" s="465" t="str">
        <f>'LISTE DES CAS ANNEXE 30'!K42</f>
        <v>69-LYON</v>
      </c>
      <c r="J5" s="466" t="str">
        <f>'LISTE DES CAS ANNEXE 30'!L42</f>
        <v>42-SAINT-ETIENNE</v>
      </c>
      <c r="K5" s="346" t="str">
        <f>'LISTE DES CAS ANNEXE 30'!M42</f>
        <v>Samedi 06/12/2025 à 19h00</v>
      </c>
      <c r="L5" s="346" t="str">
        <f>'LISTE DES CAS ANNEXE 30'!N42</f>
        <v>Samedi 06/12/2025 à 20h15</v>
      </c>
      <c r="M5" s="467" t="str">
        <f>'LISTE DES CAS ANNEXE 30'!O42</f>
        <v>EE-003-FF</v>
      </c>
      <c r="N5" s="467" t="str">
        <f>'LISTE DES CAS ANNEXE 30'!P42</f>
        <v>69123
(LYON)</v>
      </c>
      <c r="O5" s="467" t="str">
        <f>'LISTE DES CAS ANNEXE 30'!Q42</f>
        <v>069</v>
      </c>
      <c r="P5" s="467" t="str">
        <f>'LISTE DES CAS ANNEXE 30'!R42</f>
        <v xml:space="preserve">691 - CPAM DU RHONE </v>
      </c>
      <c r="Q5" s="468">
        <f>'LISTE DES CAS ANNEXE 30'!S42</f>
        <v>63</v>
      </c>
      <c r="R5" s="469" t="str">
        <f>'LISTE DES CAS ANNEXE 30'!T42</f>
        <v>DIM / J FERIE</v>
      </c>
      <c r="S5" s="470">
        <f>'LISTE DES CAS ANNEXE 30'!U42</f>
        <v>1</v>
      </c>
      <c r="T5" s="346" t="str">
        <f>'LISTE DES CAS ANNEXE 30'!V42</f>
        <v>NON</v>
      </c>
      <c r="U5" s="346" t="str">
        <f>'LISTE DES CAS ANNEXE 30'!W42</f>
        <v>NON</v>
      </c>
      <c r="V5" s="346" t="str">
        <f>'LISTE DES CAS ANNEXE 30'!X42</f>
        <v>NON</v>
      </c>
      <c r="W5" s="346" t="str">
        <f>'LISTE DES CAS ANNEXE 30'!Y42</f>
        <v>NON</v>
      </c>
      <c r="X5" s="471" t="str">
        <f>'LISTE DES CAS ANNEXE 30'!Z42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58.5" customHeight="1" x14ac:dyDescent="0.25">
      <c r="A6" s="662"/>
      <c r="B6" s="570"/>
      <c r="C6" s="472">
        <f>'LISTE DES CAS ANNEXE 30'!C43</f>
        <v>2</v>
      </c>
      <c r="D6" s="667"/>
      <c r="E6" s="670"/>
      <c r="F6" s="473" t="str">
        <f>'LISTE DES CAS ANNEXE 30'!H43</f>
        <v>OUI</v>
      </c>
      <c r="G6" s="474" t="str">
        <f>'LISTE DES CAS ANNEXE 30'!I43</f>
        <v>so</v>
      </c>
      <c r="H6" s="673"/>
      <c r="I6" s="475" t="str">
        <f>'LISTE DES CAS ANNEXE 30'!K43</f>
        <v>69-LYON</v>
      </c>
      <c r="J6" s="476" t="str">
        <f>'LISTE DES CAS ANNEXE 30'!L43</f>
        <v>42-SAINT-ETIENNE</v>
      </c>
      <c r="K6" s="207" t="str">
        <f>'LISTE DES CAS ANNEXE 30'!M43</f>
        <v>Samedi 13/12/2025 à 19h30</v>
      </c>
      <c r="L6" s="207" t="str">
        <f>'LISTE DES CAS ANNEXE 30'!N43</f>
        <v>Samedi 13/12/2025 à 20h45</v>
      </c>
      <c r="M6" s="477" t="str">
        <f>'LISTE DES CAS ANNEXE 30'!O43</f>
        <v>EE-003-FF</v>
      </c>
      <c r="N6" s="477" t="str">
        <f>'LISTE DES CAS ANNEXE 30'!P43</f>
        <v>69123
(LYON)</v>
      </c>
      <c r="O6" s="477" t="str">
        <f>'LISTE DES CAS ANNEXE 30'!Q43</f>
        <v>069</v>
      </c>
      <c r="P6" s="477" t="str">
        <f>'LISTE DES CAS ANNEXE 30'!R43</f>
        <v xml:space="preserve">691 - CPAM DU RHONE </v>
      </c>
      <c r="Q6" s="478">
        <f>'LISTE DES CAS ANNEXE 30'!S43</f>
        <v>63</v>
      </c>
      <c r="R6" s="210" t="str">
        <f>'LISTE DES CAS ANNEXE 30'!T43</f>
        <v>NUIT</v>
      </c>
      <c r="S6" s="479">
        <f>'LISTE DES CAS ANNEXE 30'!U43</f>
        <v>1</v>
      </c>
      <c r="T6" s="207" t="str">
        <f>'LISTE DES CAS ANNEXE 30'!V43</f>
        <v>NON</v>
      </c>
      <c r="U6" s="207" t="str">
        <f>'LISTE DES CAS ANNEXE 30'!W43</f>
        <v>NON</v>
      </c>
      <c r="V6" s="207" t="str">
        <f>'LISTE DES CAS ANNEXE 30'!X43</f>
        <v>NON</v>
      </c>
      <c r="W6" s="207" t="str">
        <f>'LISTE DES CAS ANNEXE 30'!Y43</f>
        <v>NON</v>
      </c>
      <c r="X6" s="344" t="str">
        <f>'LISTE DES CAS ANNEXE 30'!Z43</f>
        <v>Sans objet</v>
      </c>
    </row>
    <row r="7" spans="1:35" ht="58.5" customHeight="1" x14ac:dyDescent="0.25">
      <c r="A7" s="662"/>
      <c r="B7" s="570"/>
      <c r="C7" s="472">
        <f>'LISTE DES CAS ANNEXE 30'!C44</f>
        <v>3</v>
      </c>
      <c r="D7" s="667"/>
      <c r="E7" s="670"/>
      <c r="F7" s="473" t="str">
        <f>'LISTE DES CAS ANNEXE 30'!H44</f>
        <v>OUI</v>
      </c>
      <c r="G7" s="474" t="str">
        <f>'LISTE DES CAS ANNEXE 30'!I44</f>
        <v>so</v>
      </c>
      <c r="H7" s="673"/>
      <c r="I7" s="475" t="str">
        <f>'LISTE DES CAS ANNEXE 30'!K44</f>
        <v>69-LYON</v>
      </c>
      <c r="J7" s="476" t="str">
        <f>'LISTE DES CAS ANNEXE 30'!L44</f>
        <v>42-SAINT-ETIENNE</v>
      </c>
      <c r="K7" s="207" t="str">
        <f>'LISTE DES CAS ANNEXE 30'!M44</f>
        <v>Dimanche 21/12/2025 à 7h00</v>
      </c>
      <c r="L7" s="207" t="str">
        <f>'LISTE DES CAS ANNEXE 30'!N44</f>
        <v>Dimanche 21/12/2025 à 8h15</v>
      </c>
      <c r="M7" s="477" t="str">
        <f>'LISTE DES CAS ANNEXE 30'!O44</f>
        <v>EE-003-FF</v>
      </c>
      <c r="N7" s="477" t="str">
        <f>'LISTE DES CAS ANNEXE 30'!P44</f>
        <v>69123
(LYON)</v>
      </c>
      <c r="O7" s="477" t="str">
        <f>'LISTE DES CAS ANNEXE 30'!Q44</f>
        <v>069</v>
      </c>
      <c r="P7" s="477" t="str">
        <f>'LISTE DES CAS ANNEXE 30'!R44</f>
        <v xml:space="preserve">691 - CPAM DU RHONE </v>
      </c>
      <c r="Q7" s="478">
        <f>'LISTE DES CAS ANNEXE 30'!S44</f>
        <v>63</v>
      </c>
      <c r="R7" s="210" t="str">
        <f>'LISTE DES CAS ANNEXE 30'!T44</f>
        <v>NUIT</v>
      </c>
      <c r="S7" s="479">
        <f>'LISTE DES CAS ANNEXE 30'!U44</f>
        <v>1</v>
      </c>
      <c r="T7" s="207" t="str">
        <f>'LISTE DES CAS ANNEXE 30'!V44</f>
        <v>NON</v>
      </c>
      <c r="U7" s="207" t="str">
        <f>'LISTE DES CAS ANNEXE 30'!W44</f>
        <v>NON</v>
      </c>
      <c r="V7" s="207" t="str">
        <f>'LISTE DES CAS ANNEXE 30'!X44</f>
        <v>NON</v>
      </c>
      <c r="W7" s="207" t="str">
        <f>'LISTE DES CAS ANNEXE 30'!Y44</f>
        <v>NON</v>
      </c>
      <c r="X7" s="344" t="str">
        <f>'LISTE DES CAS ANNEXE 30'!Z44</f>
        <v>Sans objet</v>
      </c>
    </row>
    <row r="8" spans="1:35" ht="58.5" customHeight="1" thickBot="1" x14ac:dyDescent="0.3">
      <c r="A8" s="663"/>
      <c r="B8" s="665"/>
      <c r="C8" s="480">
        <f>'LISTE DES CAS ANNEXE 30'!C45</f>
        <v>4</v>
      </c>
      <c r="D8" s="668"/>
      <c r="E8" s="671"/>
      <c r="F8" s="481" t="str">
        <f>'LISTE DES CAS ANNEXE 30'!H45</f>
        <v>OUI</v>
      </c>
      <c r="G8" s="482" t="str">
        <f>'LISTE DES CAS ANNEXE 30'!I45</f>
        <v>so</v>
      </c>
      <c r="H8" s="674"/>
      <c r="I8" s="483" t="str">
        <f>'LISTE DES CAS ANNEXE 30'!K45</f>
        <v>69-LYON</v>
      </c>
      <c r="J8" s="484" t="str">
        <f>'LISTE DES CAS ANNEXE 30'!L45</f>
        <v>42-SAINT-ETIENNE</v>
      </c>
      <c r="K8" s="485" t="str">
        <f>'LISTE DES CAS ANNEXE 30'!M45</f>
        <v>Dimanche 28/12/2025 à 7h30</v>
      </c>
      <c r="L8" s="485" t="str">
        <f>'LISTE DES CAS ANNEXE 30'!N45</f>
        <v>Dimanche 28/12/2025 à 8h45</v>
      </c>
      <c r="M8" s="486" t="str">
        <f>'LISTE DES CAS ANNEXE 30'!O45</f>
        <v>EE-003-FF</v>
      </c>
      <c r="N8" s="486" t="str">
        <f>'LISTE DES CAS ANNEXE 30'!P45</f>
        <v>69123
(LYON)</v>
      </c>
      <c r="O8" s="486" t="str">
        <f>'LISTE DES CAS ANNEXE 30'!Q45</f>
        <v>069</v>
      </c>
      <c r="P8" s="486" t="str">
        <f>'LISTE DES CAS ANNEXE 30'!R45</f>
        <v xml:space="preserve">691 - CPAM DU RHONE </v>
      </c>
      <c r="Q8" s="487">
        <f>'LISTE DES CAS ANNEXE 30'!S45</f>
        <v>63</v>
      </c>
      <c r="R8" s="488" t="str">
        <f>'LISTE DES CAS ANNEXE 30'!T45</f>
        <v>DIM / J FERIE</v>
      </c>
      <c r="S8" s="489">
        <f>'LISTE DES CAS ANNEXE 30'!U45</f>
        <v>1</v>
      </c>
      <c r="T8" s="485" t="str">
        <f>'LISTE DES CAS ANNEXE 30'!V45</f>
        <v>NON</v>
      </c>
      <c r="U8" s="485" t="str">
        <f>'LISTE DES CAS ANNEXE 30'!W45</f>
        <v>NON</v>
      </c>
      <c r="V8" s="485" t="str">
        <f>'LISTE DES CAS ANNEXE 30'!X45</f>
        <v>NON</v>
      </c>
      <c r="W8" s="485" t="str">
        <f>'LISTE DES CAS ANNEXE 30'!Y45</f>
        <v>NON</v>
      </c>
      <c r="X8" s="345" t="str">
        <f>'LISTE DES CAS ANNEXE 30'!Z45</f>
        <v>Sans objet</v>
      </c>
    </row>
    <row r="9" spans="1:35" ht="15.75" thickBot="1" x14ac:dyDescent="0.3">
      <c r="C9" s="78"/>
    </row>
    <row r="10" spans="1:35" ht="80.099999999999994" customHeight="1" thickBot="1" x14ac:dyDescent="0.3">
      <c r="A10" s="597" t="s">
        <v>819</v>
      </c>
      <c r="B10" s="601"/>
      <c r="C10" s="601"/>
      <c r="D10" s="601"/>
      <c r="E10" s="601"/>
      <c r="F10" s="601"/>
      <c r="G10" s="601"/>
      <c r="H10" s="601"/>
      <c r="I10" s="601"/>
      <c r="J10" s="601"/>
      <c r="K10" s="601"/>
      <c r="L10" s="601"/>
      <c r="M10" s="601"/>
      <c r="N10" s="601"/>
      <c r="O10" s="601"/>
      <c r="P10" s="601"/>
      <c r="Q10" s="601"/>
      <c r="R10" s="601"/>
      <c r="S10" s="601"/>
      <c r="T10" s="601"/>
      <c r="U10" s="601"/>
      <c r="V10" s="601"/>
      <c r="W10" s="601"/>
      <c r="X10" s="601"/>
      <c r="Y10" s="599"/>
      <c r="Z10" s="599"/>
      <c r="AA10" s="599"/>
      <c r="AB10" s="599"/>
      <c r="AC10" s="599"/>
      <c r="AD10" s="599"/>
      <c r="AE10" s="599"/>
      <c r="AF10" s="599"/>
      <c r="AG10" s="599"/>
      <c r="AH10" s="599"/>
      <c r="AI10" s="600"/>
    </row>
    <row r="11" spans="1:35" ht="15.75" thickBot="1" x14ac:dyDescent="0.3">
      <c r="C11" s="78"/>
    </row>
    <row r="12" spans="1:35" ht="100.15" customHeight="1" x14ac:dyDescent="0.25">
      <c r="A12" s="623" t="s">
        <v>372</v>
      </c>
      <c r="B12" s="164" t="s">
        <v>13</v>
      </c>
      <c r="C12" s="165" t="s">
        <v>281</v>
      </c>
      <c r="D12" s="165" t="s">
        <v>282</v>
      </c>
      <c r="E12" s="165" t="s">
        <v>15</v>
      </c>
      <c r="F12" s="272" t="s">
        <v>283</v>
      </c>
      <c r="G12" s="165" t="s">
        <v>284</v>
      </c>
      <c r="H12" s="165" t="s">
        <v>285</v>
      </c>
      <c r="I12" s="165" t="s">
        <v>286</v>
      </c>
      <c r="J12" s="165" t="s">
        <v>287</v>
      </c>
      <c r="K12" s="165" t="s">
        <v>288</v>
      </c>
      <c r="L12" s="166" t="s">
        <v>289</v>
      </c>
      <c r="M12" s="166" t="s">
        <v>290</v>
      </c>
      <c r="N12" s="165" t="s">
        <v>15</v>
      </c>
      <c r="O12" s="165" t="s">
        <v>15</v>
      </c>
      <c r="P12" s="165" t="s">
        <v>15</v>
      </c>
      <c r="Q12" s="165" t="s">
        <v>15</v>
      </c>
      <c r="R12" s="165" t="s">
        <v>291</v>
      </c>
      <c r="S12" s="165" t="s">
        <v>15</v>
      </c>
      <c r="T12" s="167" t="s">
        <v>292</v>
      </c>
    </row>
    <row r="13" spans="1:35" ht="19.899999999999999" customHeight="1" x14ac:dyDescent="0.25">
      <c r="A13" s="624"/>
      <c r="B13" s="168" t="s">
        <v>293</v>
      </c>
      <c r="C13" s="123" t="s">
        <v>294</v>
      </c>
      <c r="D13" s="123" t="s">
        <v>295</v>
      </c>
      <c r="E13" s="124" t="s">
        <v>296</v>
      </c>
      <c r="F13" s="273" t="s">
        <v>297</v>
      </c>
      <c r="G13" s="124" t="s">
        <v>298</v>
      </c>
      <c r="H13" s="124" t="s">
        <v>299</v>
      </c>
      <c r="I13" s="124" t="s">
        <v>300</v>
      </c>
      <c r="J13" s="124" t="s">
        <v>301</v>
      </c>
      <c r="K13" s="124" t="s">
        <v>302</v>
      </c>
      <c r="L13" s="125" t="s">
        <v>303</v>
      </c>
      <c r="M13" s="125" t="s">
        <v>101</v>
      </c>
      <c r="N13" s="124" t="s">
        <v>304</v>
      </c>
      <c r="O13" s="124" t="s">
        <v>255</v>
      </c>
      <c r="P13" s="124" t="s">
        <v>305</v>
      </c>
      <c r="Q13" s="124" t="s">
        <v>306</v>
      </c>
      <c r="R13" s="124" t="s">
        <v>307</v>
      </c>
      <c r="S13" s="124" t="s">
        <v>308</v>
      </c>
      <c r="T13" s="169" t="s">
        <v>309</v>
      </c>
    </row>
    <row r="14" spans="1:35" outlineLevel="1" x14ac:dyDescent="0.25">
      <c r="A14" s="624"/>
      <c r="B14" s="170">
        <v>3</v>
      </c>
      <c r="C14" s="100">
        <v>2</v>
      </c>
      <c r="D14" s="100">
        <v>14</v>
      </c>
      <c r="E14" s="100">
        <v>6</v>
      </c>
      <c r="F14" s="274" t="s">
        <v>204</v>
      </c>
      <c r="G14" s="100">
        <v>14</v>
      </c>
      <c r="H14" s="100">
        <v>6</v>
      </c>
      <c r="I14" s="100">
        <v>2</v>
      </c>
      <c r="J14" s="100">
        <v>6</v>
      </c>
      <c r="K14" s="100">
        <v>6</v>
      </c>
      <c r="L14" s="126">
        <v>4</v>
      </c>
      <c r="M14" s="126">
        <v>2</v>
      </c>
      <c r="N14" s="100">
        <v>1</v>
      </c>
      <c r="O14" s="100">
        <v>1</v>
      </c>
      <c r="P14" s="100">
        <v>3</v>
      </c>
      <c r="Q14" s="100">
        <v>10</v>
      </c>
      <c r="R14" s="100">
        <v>3</v>
      </c>
      <c r="S14" s="100">
        <v>6</v>
      </c>
      <c r="T14" s="171">
        <v>37</v>
      </c>
    </row>
    <row r="15" spans="1:35" outlineLevel="1" x14ac:dyDescent="0.25">
      <c r="A15" s="624"/>
      <c r="B15" s="170" t="s">
        <v>1</v>
      </c>
      <c r="C15" s="100" t="s">
        <v>69</v>
      </c>
      <c r="D15" s="127" t="s">
        <v>1</v>
      </c>
      <c r="E15" s="100" t="s">
        <v>69</v>
      </c>
      <c r="F15" s="274" t="s">
        <v>69</v>
      </c>
      <c r="G15" s="100" t="s">
        <v>1</v>
      </c>
      <c r="H15" s="100" t="s">
        <v>69</v>
      </c>
      <c r="I15" s="100" t="s">
        <v>69</v>
      </c>
      <c r="J15" s="100" t="s">
        <v>69</v>
      </c>
      <c r="K15" s="100" t="s">
        <v>1</v>
      </c>
      <c r="L15" s="128" t="s">
        <v>69</v>
      </c>
      <c r="M15" s="128" t="s">
        <v>69</v>
      </c>
      <c r="N15" s="100" t="s">
        <v>69</v>
      </c>
      <c r="O15" s="100" t="s">
        <v>69</v>
      </c>
      <c r="P15" s="100" t="s">
        <v>69</v>
      </c>
      <c r="Q15" s="100" t="s">
        <v>69</v>
      </c>
      <c r="R15" s="100" t="s">
        <v>1</v>
      </c>
      <c r="S15" s="100" t="s">
        <v>69</v>
      </c>
      <c r="T15" s="171" t="s">
        <v>1</v>
      </c>
    </row>
    <row r="16" spans="1:35" outlineLevel="1" x14ac:dyDescent="0.25">
      <c r="A16" s="624"/>
      <c r="B16" s="170" t="s">
        <v>0</v>
      </c>
      <c r="C16" s="100" t="s">
        <v>0</v>
      </c>
      <c r="D16" s="100" t="s">
        <v>0</v>
      </c>
      <c r="E16" s="100" t="s">
        <v>4</v>
      </c>
      <c r="F16" s="274" t="s">
        <v>0</v>
      </c>
      <c r="G16" s="100" t="s">
        <v>0</v>
      </c>
      <c r="H16" s="100" t="s">
        <v>0</v>
      </c>
      <c r="I16" s="100" t="s">
        <v>0</v>
      </c>
      <c r="J16" s="100" t="s">
        <v>0</v>
      </c>
      <c r="K16" s="100" t="s">
        <v>0</v>
      </c>
      <c r="L16" s="128" t="s">
        <v>0</v>
      </c>
      <c r="M16" s="128" t="s">
        <v>0</v>
      </c>
      <c r="N16" s="100" t="s">
        <v>4</v>
      </c>
      <c r="O16" s="100" t="s">
        <v>4</v>
      </c>
      <c r="P16" s="100" t="s">
        <v>4</v>
      </c>
      <c r="Q16" s="100" t="s">
        <v>4</v>
      </c>
      <c r="R16" s="100" t="s">
        <v>4</v>
      </c>
      <c r="S16" s="100" t="s">
        <v>4</v>
      </c>
      <c r="T16" s="171" t="s">
        <v>0</v>
      </c>
    </row>
    <row r="17" spans="1:35" s="163" customFormat="1" ht="30" customHeight="1" thickBot="1" x14ac:dyDescent="0.3">
      <c r="A17" s="625"/>
      <c r="B17" s="172" t="s">
        <v>6</v>
      </c>
      <c r="C17" s="173" t="s">
        <v>373</v>
      </c>
      <c r="D17" s="174" t="s">
        <v>584</v>
      </c>
      <c r="E17" s="175" t="s">
        <v>374</v>
      </c>
      <c r="F17" s="275" t="s">
        <v>375</v>
      </c>
      <c r="G17" s="174" t="s">
        <v>585</v>
      </c>
      <c r="H17" s="269" t="s">
        <v>482</v>
      </c>
      <c r="I17" s="176" t="s">
        <v>376</v>
      </c>
      <c r="J17" s="176" t="s">
        <v>377</v>
      </c>
      <c r="K17" s="55" t="s">
        <v>482</v>
      </c>
      <c r="L17" s="176" t="s">
        <v>382</v>
      </c>
      <c r="M17" s="176" t="s">
        <v>379</v>
      </c>
      <c r="N17" s="175" t="s">
        <v>8</v>
      </c>
      <c r="O17" s="175" t="s">
        <v>8</v>
      </c>
      <c r="P17" s="175" t="s">
        <v>9</v>
      </c>
      <c r="Q17" s="175" t="s">
        <v>380</v>
      </c>
      <c r="R17" s="175" t="s">
        <v>511</v>
      </c>
      <c r="S17" s="175" t="s">
        <v>374</v>
      </c>
      <c r="T17" s="177" t="s">
        <v>381</v>
      </c>
    </row>
    <row r="18" spans="1:35" ht="15.75" thickBot="1" x14ac:dyDescent="0.3">
      <c r="B18" s="150" t="s">
        <v>586</v>
      </c>
      <c r="C18" s="150" t="s">
        <v>586</v>
      </c>
      <c r="D18" s="150" t="s">
        <v>586</v>
      </c>
      <c r="E18" s="150" t="s">
        <v>586</v>
      </c>
      <c r="F18" s="276" t="s">
        <v>586</v>
      </c>
      <c r="G18" s="150" t="s">
        <v>586</v>
      </c>
      <c r="H18" s="150" t="s">
        <v>586</v>
      </c>
      <c r="I18" s="150" t="s">
        <v>586</v>
      </c>
      <c r="J18" s="150" t="s">
        <v>586</v>
      </c>
      <c r="K18" s="150" t="s">
        <v>586</v>
      </c>
      <c r="L18" s="150" t="s">
        <v>586</v>
      </c>
      <c r="M18" s="150" t="s">
        <v>586</v>
      </c>
      <c r="N18" s="150" t="s">
        <v>586</v>
      </c>
      <c r="O18" s="150" t="s">
        <v>586</v>
      </c>
      <c r="P18" s="150" t="s">
        <v>586</v>
      </c>
      <c r="Q18" s="150" t="s">
        <v>586</v>
      </c>
      <c r="R18" s="150" t="s">
        <v>586</v>
      </c>
      <c r="S18" s="150" t="s">
        <v>586</v>
      </c>
      <c r="T18" s="150" t="s">
        <v>586</v>
      </c>
    </row>
    <row r="19" spans="1:35" ht="100.15" customHeight="1" x14ac:dyDescent="0.25">
      <c r="A19" s="626" t="s">
        <v>362</v>
      </c>
      <c r="B19" s="145" t="s">
        <v>13</v>
      </c>
      <c r="C19" s="129" t="s">
        <v>14</v>
      </c>
      <c r="D19" s="129" t="s">
        <v>310</v>
      </c>
      <c r="E19" s="130" t="s">
        <v>311</v>
      </c>
      <c r="F19" s="277" t="s">
        <v>312</v>
      </c>
      <c r="G19" s="129" t="s">
        <v>313</v>
      </c>
      <c r="H19" s="129" t="s">
        <v>314</v>
      </c>
      <c r="I19" s="129" t="s">
        <v>315</v>
      </c>
      <c r="J19" s="129" t="s">
        <v>316</v>
      </c>
      <c r="K19" s="131" t="s">
        <v>317</v>
      </c>
      <c r="L19" s="131" t="s">
        <v>318</v>
      </c>
      <c r="M19" s="129" t="s">
        <v>114</v>
      </c>
      <c r="N19" s="129" t="s">
        <v>319</v>
      </c>
      <c r="O19" s="129" t="s">
        <v>320</v>
      </c>
      <c r="P19" s="129" t="s">
        <v>321</v>
      </c>
      <c r="Q19" s="129" t="s">
        <v>322</v>
      </c>
      <c r="R19" s="129" t="s">
        <v>465</v>
      </c>
      <c r="S19" s="129" t="s">
        <v>323</v>
      </c>
      <c r="T19" s="129" t="s">
        <v>324</v>
      </c>
      <c r="U19" s="132" t="s">
        <v>15</v>
      </c>
    </row>
    <row r="20" spans="1:35" ht="19.899999999999999" customHeight="1" x14ac:dyDescent="0.25">
      <c r="A20" s="627"/>
      <c r="B20" s="146">
        <v>1</v>
      </c>
      <c r="C20" s="133" t="s">
        <v>47</v>
      </c>
      <c r="D20" s="134" t="s">
        <v>325</v>
      </c>
      <c r="E20" s="135" t="s">
        <v>326</v>
      </c>
      <c r="F20" s="278" t="s">
        <v>327</v>
      </c>
      <c r="G20" s="134" t="s">
        <v>328</v>
      </c>
      <c r="H20" s="134" t="s">
        <v>297</v>
      </c>
      <c r="I20" s="134" t="s">
        <v>329</v>
      </c>
      <c r="J20" s="134" t="s">
        <v>330</v>
      </c>
      <c r="K20" s="134" t="s">
        <v>331</v>
      </c>
      <c r="L20" s="136" t="s">
        <v>332</v>
      </c>
      <c r="M20" s="134" t="s">
        <v>333</v>
      </c>
      <c r="N20" s="134" t="s">
        <v>103</v>
      </c>
      <c r="O20" s="137">
        <v>81</v>
      </c>
      <c r="P20" s="134" t="s">
        <v>334</v>
      </c>
      <c r="Q20" s="134" t="s">
        <v>335</v>
      </c>
      <c r="R20" s="134" t="s">
        <v>336</v>
      </c>
      <c r="S20" s="134" t="s">
        <v>231</v>
      </c>
      <c r="T20" s="134" t="s">
        <v>337</v>
      </c>
      <c r="U20" s="138" t="s">
        <v>338</v>
      </c>
    </row>
    <row r="21" spans="1:35" outlineLevel="1" x14ac:dyDescent="0.25">
      <c r="A21" s="627"/>
      <c r="B21" s="180">
        <v>1</v>
      </c>
      <c r="C21" s="140">
        <v>9</v>
      </c>
      <c r="D21" s="181">
        <v>6</v>
      </c>
      <c r="E21" s="140">
        <v>3</v>
      </c>
      <c r="F21" s="279">
        <v>3</v>
      </c>
      <c r="G21" s="140">
        <v>3</v>
      </c>
      <c r="H21" s="140">
        <v>2</v>
      </c>
      <c r="I21" s="140">
        <v>2</v>
      </c>
      <c r="J21" s="140">
        <v>40</v>
      </c>
      <c r="K21" s="140">
        <v>2</v>
      </c>
      <c r="L21" s="140">
        <v>6</v>
      </c>
      <c r="M21" s="140">
        <v>1</v>
      </c>
      <c r="N21" s="140">
        <v>2</v>
      </c>
      <c r="O21" s="140">
        <v>1</v>
      </c>
      <c r="P21" s="140">
        <v>6</v>
      </c>
      <c r="Q21" s="140">
        <v>1</v>
      </c>
      <c r="R21" s="140">
        <v>2</v>
      </c>
      <c r="S21" s="140">
        <v>3</v>
      </c>
      <c r="T21" s="140">
        <v>1</v>
      </c>
      <c r="U21" s="182">
        <v>34</v>
      </c>
    </row>
    <row r="22" spans="1:35" outlineLevel="1" x14ac:dyDescent="0.25">
      <c r="A22" s="627"/>
      <c r="B22" s="146" t="s">
        <v>1</v>
      </c>
      <c r="C22" s="137" t="s">
        <v>1</v>
      </c>
      <c r="D22" s="137" t="s">
        <v>69</v>
      </c>
      <c r="E22" s="139" t="s">
        <v>1</v>
      </c>
      <c r="F22" s="280" t="s">
        <v>1</v>
      </c>
      <c r="G22" s="137" t="s">
        <v>69</v>
      </c>
      <c r="H22" s="137" t="s">
        <v>69</v>
      </c>
      <c r="I22" s="137" t="s">
        <v>69</v>
      </c>
      <c r="J22" s="137" t="s">
        <v>69</v>
      </c>
      <c r="K22" s="142" t="s">
        <v>69</v>
      </c>
      <c r="L22" s="142" t="s">
        <v>1</v>
      </c>
      <c r="M22" s="137" t="s">
        <v>69</v>
      </c>
      <c r="N22" s="137" t="s">
        <v>69</v>
      </c>
      <c r="O22" s="137" t="s">
        <v>69</v>
      </c>
      <c r="P22" s="137" t="s">
        <v>1</v>
      </c>
      <c r="Q22" s="137" t="s">
        <v>69</v>
      </c>
      <c r="R22" s="137" t="s">
        <v>69</v>
      </c>
      <c r="S22" s="137" t="s">
        <v>69</v>
      </c>
      <c r="T22" s="137" t="s">
        <v>1</v>
      </c>
      <c r="U22" s="141" t="s">
        <v>69</v>
      </c>
    </row>
    <row r="23" spans="1:35" outlineLevel="1" x14ac:dyDescent="0.25">
      <c r="A23" s="627"/>
      <c r="B23" s="146" t="s">
        <v>0</v>
      </c>
      <c r="C23" s="137" t="s">
        <v>0</v>
      </c>
      <c r="D23" s="137" t="s">
        <v>4</v>
      </c>
      <c r="E23" s="139" t="s">
        <v>0</v>
      </c>
      <c r="F23" s="280" t="s">
        <v>0</v>
      </c>
      <c r="G23" s="137" t="s">
        <v>4</v>
      </c>
      <c r="H23" s="137" t="s">
        <v>4</v>
      </c>
      <c r="I23" s="137" t="s">
        <v>4</v>
      </c>
      <c r="J23" s="137" t="s">
        <v>0</v>
      </c>
      <c r="K23" s="142" t="s">
        <v>0</v>
      </c>
      <c r="L23" s="142" t="s">
        <v>0</v>
      </c>
      <c r="M23" s="137" t="s">
        <v>4</v>
      </c>
      <c r="N23" s="137" t="s">
        <v>0</v>
      </c>
      <c r="O23" s="137" t="s">
        <v>4</v>
      </c>
      <c r="P23" s="137" t="s">
        <v>0</v>
      </c>
      <c r="Q23" s="137" t="s">
        <v>4</v>
      </c>
      <c r="R23" s="137" t="s">
        <v>4</v>
      </c>
      <c r="S23" s="137" t="s">
        <v>4</v>
      </c>
      <c r="T23" s="137" t="s">
        <v>4</v>
      </c>
      <c r="U23" s="141" t="s">
        <v>15</v>
      </c>
    </row>
    <row r="24" spans="1:35" s="163" customFormat="1" ht="30" customHeight="1" thickBot="1" x14ac:dyDescent="0.3">
      <c r="A24" s="628"/>
      <c r="B24" s="178">
        <v>1</v>
      </c>
      <c r="C24" s="54" t="s">
        <v>544</v>
      </c>
      <c r="D24" s="161" t="s">
        <v>374</v>
      </c>
      <c r="E24" s="179" t="s">
        <v>274</v>
      </c>
      <c r="F24" s="281" t="s">
        <v>195</v>
      </c>
      <c r="G24" s="162" t="s">
        <v>9</v>
      </c>
      <c r="H24" s="162" t="s">
        <v>210</v>
      </c>
      <c r="I24" s="162" t="s">
        <v>210</v>
      </c>
      <c r="J24" s="162" t="s">
        <v>383</v>
      </c>
      <c r="K24" s="162" t="s">
        <v>379</v>
      </c>
      <c r="L24" s="55" t="s">
        <v>482</v>
      </c>
      <c r="M24" s="162" t="s">
        <v>8</v>
      </c>
      <c r="N24" s="162" t="s">
        <v>378</v>
      </c>
      <c r="O24" s="162" t="s">
        <v>8</v>
      </c>
      <c r="P24" s="161" t="s">
        <v>384</v>
      </c>
      <c r="Q24" s="162" t="s">
        <v>11</v>
      </c>
      <c r="R24" s="162" t="s">
        <v>210</v>
      </c>
      <c r="S24" s="162" t="s">
        <v>9</v>
      </c>
      <c r="T24" s="162" t="s">
        <v>8</v>
      </c>
      <c r="U24" s="177" t="s">
        <v>385</v>
      </c>
    </row>
    <row r="25" spans="1:35" ht="15.75" thickBot="1" x14ac:dyDescent="0.3">
      <c r="A25" s="2"/>
      <c r="B25" s="150" t="s">
        <v>586</v>
      </c>
      <c r="C25" s="150" t="s">
        <v>586</v>
      </c>
      <c r="D25" s="150" t="s">
        <v>586</v>
      </c>
      <c r="E25" s="150" t="s">
        <v>586</v>
      </c>
      <c r="F25" s="276" t="s">
        <v>586</v>
      </c>
      <c r="G25" s="150" t="s">
        <v>586</v>
      </c>
      <c r="H25" s="150" t="s">
        <v>586</v>
      </c>
      <c r="I25" s="150" t="s">
        <v>586</v>
      </c>
      <c r="J25" s="150" t="s">
        <v>586</v>
      </c>
      <c r="K25" s="150" t="s">
        <v>586</v>
      </c>
      <c r="L25" s="150" t="s">
        <v>586</v>
      </c>
      <c r="M25" s="150" t="s">
        <v>586</v>
      </c>
      <c r="N25" s="150" t="s">
        <v>586</v>
      </c>
      <c r="O25" s="150" t="s">
        <v>586</v>
      </c>
      <c r="P25" s="150" t="s">
        <v>586</v>
      </c>
      <c r="Q25" s="150" t="s">
        <v>586</v>
      </c>
      <c r="R25" s="150" t="s">
        <v>586</v>
      </c>
      <c r="S25" s="150" t="s">
        <v>586</v>
      </c>
      <c r="T25" s="150" t="s">
        <v>586</v>
      </c>
      <c r="U25" s="150" t="s">
        <v>586</v>
      </c>
    </row>
    <row r="26" spans="1:35" ht="100.15" customHeight="1" x14ac:dyDescent="0.25">
      <c r="A26" s="614" t="s">
        <v>359</v>
      </c>
      <c r="B26" s="147" t="s">
        <v>13</v>
      </c>
      <c r="C26" s="24" t="s">
        <v>14</v>
      </c>
      <c r="D26" s="24" t="s">
        <v>15</v>
      </c>
      <c r="E26" s="25" t="s">
        <v>16</v>
      </c>
      <c r="F26" s="282" t="s">
        <v>17</v>
      </c>
      <c r="G26" s="24" t="s">
        <v>18</v>
      </c>
      <c r="H26" s="24" t="s">
        <v>19</v>
      </c>
      <c r="I26" s="24" t="s">
        <v>20</v>
      </c>
      <c r="J26" s="24" t="s">
        <v>21</v>
      </c>
      <c r="K26" s="26" t="s">
        <v>22</v>
      </c>
      <c r="L26" s="26" t="s">
        <v>23</v>
      </c>
      <c r="M26" s="24" t="s">
        <v>24</v>
      </c>
      <c r="N26" s="24" t="s">
        <v>25</v>
      </c>
      <c r="O26" s="24" t="s">
        <v>26</v>
      </c>
      <c r="P26" s="24" t="s">
        <v>27</v>
      </c>
      <c r="Q26" s="24" t="s">
        <v>28</v>
      </c>
      <c r="R26" s="24" t="s">
        <v>29</v>
      </c>
      <c r="S26" s="24" t="s">
        <v>30</v>
      </c>
      <c r="T26" s="24" t="s">
        <v>31</v>
      </c>
      <c r="U26" s="24" t="s">
        <v>32</v>
      </c>
      <c r="V26" s="24" t="s">
        <v>33</v>
      </c>
      <c r="W26" s="24" t="s">
        <v>34</v>
      </c>
      <c r="X26" s="24" t="s">
        <v>35</v>
      </c>
      <c r="Y26" s="24" t="s">
        <v>36</v>
      </c>
      <c r="Z26" s="24" t="s">
        <v>37</v>
      </c>
      <c r="AA26" s="24" t="s">
        <v>38</v>
      </c>
      <c r="AB26" s="24" t="s">
        <v>39</v>
      </c>
      <c r="AC26" s="24" t="s">
        <v>40</v>
      </c>
      <c r="AD26" s="24" t="s">
        <v>41</v>
      </c>
      <c r="AE26" s="24" t="s">
        <v>42</v>
      </c>
      <c r="AF26" s="24" t="s">
        <v>43</v>
      </c>
      <c r="AG26" s="24" t="s">
        <v>44</v>
      </c>
      <c r="AH26" s="24" t="s">
        <v>45</v>
      </c>
      <c r="AI26" s="27" t="s">
        <v>46</v>
      </c>
    </row>
    <row r="27" spans="1:35" ht="19.899999999999999" customHeight="1" x14ac:dyDescent="0.25">
      <c r="A27" s="615"/>
      <c r="B27" s="148">
        <v>1</v>
      </c>
      <c r="C27" s="5" t="s">
        <v>47</v>
      </c>
      <c r="D27" s="4">
        <v>11</v>
      </c>
      <c r="E27" s="6" t="s">
        <v>48</v>
      </c>
      <c r="F27" s="283" t="s">
        <v>49</v>
      </c>
      <c r="G27" s="7" t="s">
        <v>50</v>
      </c>
      <c r="H27" s="7">
        <v>36</v>
      </c>
      <c r="I27" s="7">
        <v>37</v>
      </c>
      <c r="J27" s="7">
        <v>38</v>
      </c>
      <c r="K27" s="8" t="s">
        <v>51</v>
      </c>
      <c r="L27" s="8" t="s">
        <v>52</v>
      </c>
      <c r="M27" s="7">
        <v>46</v>
      </c>
      <c r="N27" s="7">
        <v>47</v>
      </c>
      <c r="O27" s="7">
        <v>48</v>
      </c>
      <c r="P27" s="7" t="s">
        <v>53</v>
      </c>
      <c r="Q27" s="7" t="s">
        <v>54</v>
      </c>
      <c r="R27" s="7" t="s">
        <v>55</v>
      </c>
      <c r="S27" s="7">
        <v>58</v>
      </c>
      <c r="T27" s="7" t="s">
        <v>56</v>
      </c>
      <c r="U27" s="7" t="s">
        <v>57</v>
      </c>
      <c r="V27" s="7" t="s">
        <v>58</v>
      </c>
      <c r="W27" s="7" t="s">
        <v>59</v>
      </c>
      <c r="X27" s="7">
        <v>79</v>
      </c>
      <c r="Y27" s="7" t="s">
        <v>60</v>
      </c>
      <c r="Z27" s="7" t="s">
        <v>61</v>
      </c>
      <c r="AA27" s="7">
        <v>95</v>
      </c>
      <c r="AB27" s="7" t="s">
        <v>62</v>
      </c>
      <c r="AC27" s="7">
        <v>102</v>
      </c>
      <c r="AD27" s="7" t="s">
        <v>63</v>
      </c>
      <c r="AE27" s="7" t="s">
        <v>64</v>
      </c>
      <c r="AF27" s="7" t="s">
        <v>65</v>
      </c>
      <c r="AG27" s="7" t="s">
        <v>66</v>
      </c>
      <c r="AH27" s="7" t="s">
        <v>67</v>
      </c>
      <c r="AI27" s="28" t="s">
        <v>68</v>
      </c>
    </row>
    <row r="28" spans="1:35" outlineLevel="1" x14ac:dyDescent="0.25">
      <c r="A28" s="615"/>
      <c r="B28" s="148">
        <v>1</v>
      </c>
      <c r="C28" s="4">
        <v>9</v>
      </c>
      <c r="D28" s="4">
        <v>1</v>
      </c>
      <c r="E28" s="9">
        <v>13</v>
      </c>
      <c r="F28" s="284">
        <v>2</v>
      </c>
      <c r="G28" s="4">
        <v>9</v>
      </c>
      <c r="H28" s="4">
        <v>1</v>
      </c>
      <c r="I28" s="4">
        <v>1</v>
      </c>
      <c r="J28" s="4">
        <v>1</v>
      </c>
      <c r="K28" s="10">
        <v>1</v>
      </c>
      <c r="L28" s="10">
        <v>6</v>
      </c>
      <c r="M28" s="4">
        <v>1</v>
      </c>
      <c r="N28" s="4">
        <v>1</v>
      </c>
      <c r="O28" s="4">
        <v>1</v>
      </c>
      <c r="P28" s="4">
        <v>2</v>
      </c>
      <c r="Q28" s="4">
        <v>3</v>
      </c>
      <c r="R28" s="4">
        <v>4</v>
      </c>
      <c r="S28" s="4">
        <v>1</v>
      </c>
      <c r="T28" s="4">
        <v>9</v>
      </c>
      <c r="U28" s="4">
        <v>6</v>
      </c>
      <c r="V28" s="4">
        <v>3</v>
      </c>
      <c r="W28" s="4">
        <v>2</v>
      </c>
      <c r="X28" s="4">
        <v>1</v>
      </c>
      <c r="Y28" s="4">
        <v>6</v>
      </c>
      <c r="Z28" s="4">
        <v>9</v>
      </c>
      <c r="AA28" s="4">
        <v>1</v>
      </c>
      <c r="AB28" s="4">
        <v>6</v>
      </c>
      <c r="AC28" s="4">
        <v>1</v>
      </c>
      <c r="AD28" s="4">
        <v>2</v>
      </c>
      <c r="AE28" s="4">
        <v>8</v>
      </c>
      <c r="AF28" s="4">
        <v>2</v>
      </c>
      <c r="AG28" s="4">
        <v>2</v>
      </c>
      <c r="AH28" s="4">
        <v>2</v>
      </c>
      <c r="AI28" s="29">
        <v>10</v>
      </c>
    </row>
    <row r="29" spans="1:35" outlineLevel="1" x14ac:dyDescent="0.25">
      <c r="A29" s="615"/>
      <c r="B29" s="148" t="s">
        <v>1</v>
      </c>
      <c r="C29" s="4" t="s">
        <v>1</v>
      </c>
      <c r="D29" s="4" t="s">
        <v>69</v>
      </c>
      <c r="E29" s="9" t="s">
        <v>69</v>
      </c>
      <c r="F29" s="284" t="s">
        <v>1</v>
      </c>
      <c r="G29" s="4" t="s">
        <v>1</v>
      </c>
      <c r="H29" s="4" t="s">
        <v>69</v>
      </c>
      <c r="I29" s="4" t="s">
        <v>69</v>
      </c>
      <c r="J29" s="4" t="s">
        <v>69</v>
      </c>
      <c r="K29" s="11" t="s">
        <v>1</v>
      </c>
      <c r="L29" s="12" t="s">
        <v>1</v>
      </c>
      <c r="M29" s="13" t="s">
        <v>69</v>
      </c>
      <c r="N29" s="4" t="s">
        <v>69</v>
      </c>
      <c r="O29" s="4" t="s">
        <v>69</v>
      </c>
      <c r="P29" s="13" t="s">
        <v>1</v>
      </c>
      <c r="Q29" s="13" t="s">
        <v>1</v>
      </c>
      <c r="R29" s="13" t="s">
        <v>1</v>
      </c>
      <c r="S29" s="4" t="s">
        <v>1</v>
      </c>
      <c r="T29" s="13" t="s">
        <v>1</v>
      </c>
      <c r="U29" s="4" t="s">
        <v>1</v>
      </c>
      <c r="V29" s="4" t="s">
        <v>69</v>
      </c>
      <c r="W29" s="13" t="s">
        <v>1</v>
      </c>
      <c r="X29" s="4" t="s">
        <v>69</v>
      </c>
      <c r="Y29" s="4" t="s">
        <v>1</v>
      </c>
      <c r="Z29" s="13" t="s">
        <v>1</v>
      </c>
      <c r="AA29" s="4" t="s">
        <v>69</v>
      </c>
      <c r="AB29" s="4" t="s">
        <v>1</v>
      </c>
      <c r="AC29" s="4" t="s">
        <v>1</v>
      </c>
      <c r="AD29" s="4" t="s">
        <v>69</v>
      </c>
      <c r="AE29" s="4" t="s">
        <v>69</v>
      </c>
      <c r="AF29" s="4" t="s">
        <v>1</v>
      </c>
      <c r="AG29" s="4" t="s">
        <v>1</v>
      </c>
      <c r="AH29" s="4" t="s">
        <v>1</v>
      </c>
      <c r="AI29" s="29" t="s">
        <v>69</v>
      </c>
    </row>
    <row r="30" spans="1:35" outlineLevel="1" x14ac:dyDescent="0.25">
      <c r="A30" s="615"/>
      <c r="B30" s="148" t="s">
        <v>0</v>
      </c>
      <c r="C30" s="4" t="s">
        <v>0</v>
      </c>
      <c r="D30" s="4" t="s">
        <v>4</v>
      </c>
      <c r="E30" s="9" t="s">
        <v>0</v>
      </c>
      <c r="F30" s="284" t="s">
        <v>0</v>
      </c>
      <c r="G30" s="4" t="s">
        <v>0</v>
      </c>
      <c r="H30" s="4" t="s">
        <v>4</v>
      </c>
      <c r="I30" s="4" t="s">
        <v>4</v>
      </c>
      <c r="J30" s="4" t="s">
        <v>4</v>
      </c>
      <c r="K30" s="12" t="s">
        <v>0</v>
      </c>
      <c r="L30" s="12" t="s">
        <v>0</v>
      </c>
      <c r="M30" s="4" t="s">
        <v>4</v>
      </c>
      <c r="N30" s="4" t="s">
        <v>4</v>
      </c>
      <c r="O30" s="4" t="s">
        <v>4</v>
      </c>
      <c r="P30" s="4" t="s">
        <v>0</v>
      </c>
      <c r="Q30" s="4" t="s">
        <v>0</v>
      </c>
      <c r="R30" s="4" t="s">
        <v>0</v>
      </c>
      <c r="S30" s="4" t="s">
        <v>0</v>
      </c>
      <c r="T30" s="4" t="s">
        <v>0</v>
      </c>
      <c r="U30" s="4" t="s">
        <v>0</v>
      </c>
      <c r="V30" s="4" t="s">
        <v>4</v>
      </c>
      <c r="W30" s="4" t="s">
        <v>4</v>
      </c>
      <c r="X30" s="4" t="s">
        <v>0</v>
      </c>
      <c r="Y30" s="4" t="s">
        <v>4</v>
      </c>
      <c r="Z30" s="4" t="s">
        <v>4</v>
      </c>
      <c r="AA30" s="4" t="s">
        <v>0</v>
      </c>
      <c r="AB30" s="4" t="s">
        <v>0</v>
      </c>
      <c r="AC30" s="4" t="s">
        <v>4</v>
      </c>
      <c r="AD30" s="4" t="s">
        <v>4</v>
      </c>
      <c r="AE30" s="4" t="s">
        <v>4</v>
      </c>
      <c r="AF30" s="4" t="s">
        <v>4</v>
      </c>
      <c r="AG30" s="4" t="s">
        <v>4</v>
      </c>
      <c r="AH30" s="4" t="s">
        <v>4</v>
      </c>
      <c r="AI30" s="29" t="s">
        <v>4</v>
      </c>
    </row>
    <row r="31" spans="1:35" s="76" customFormat="1" ht="30" customHeight="1" thickBot="1" x14ac:dyDescent="0.3">
      <c r="A31" s="616"/>
      <c r="B31" s="149">
        <v>2</v>
      </c>
      <c r="C31" s="54" t="s">
        <v>544</v>
      </c>
      <c r="D31" s="55" t="s">
        <v>8</v>
      </c>
      <c r="E31" s="55" t="s">
        <v>198</v>
      </c>
      <c r="F31" s="270">
        <v>77</v>
      </c>
      <c r="G31" s="55">
        <v>250000001</v>
      </c>
      <c r="H31" s="193" t="s">
        <v>69</v>
      </c>
      <c r="I31" s="79" t="s">
        <v>8</v>
      </c>
      <c r="J31" s="80" t="s">
        <v>8</v>
      </c>
      <c r="K31" s="81" t="s">
        <v>200</v>
      </c>
      <c r="L31" s="55" t="s">
        <v>482</v>
      </c>
      <c r="M31" s="54" t="s">
        <v>8</v>
      </c>
      <c r="N31" s="54" t="s">
        <v>8</v>
      </c>
      <c r="O31" s="54" t="s">
        <v>8</v>
      </c>
      <c r="P31" s="55" t="s">
        <v>202</v>
      </c>
      <c r="Q31" s="55" t="s">
        <v>274</v>
      </c>
      <c r="R31" s="55" t="s">
        <v>203</v>
      </c>
      <c r="S31" s="55" t="s">
        <v>204</v>
      </c>
      <c r="T31" s="55" t="s">
        <v>546</v>
      </c>
      <c r="U31" s="55" t="s">
        <v>269</v>
      </c>
      <c r="V31" s="79" t="s">
        <v>9</v>
      </c>
      <c r="W31" s="54" t="s">
        <v>587</v>
      </c>
      <c r="X31" s="199" t="s">
        <v>206</v>
      </c>
      <c r="Y31" s="55" t="s">
        <v>208</v>
      </c>
      <c r="Z31" s="55" t="s">
        <v>209</v>
      </c>
      <c r="AA31" s="55" t="s">
        <v>8</v>
      </c>
      <c r="AB31" s="55" t="s">
        <v>491</v>
      </c>
      <c r="AC31" s="55">
        <v>1</v>
      </c>
      <c r="AD31" s="79" t="s">
        <v>210</v>
      </c>
      <c r="AE31" s="79" t="s">
        <v>211</v>
      </c>
      <c r="AF31" s="55" t="s">
        <v>202</v>
      </c>
      <c r="AG31" s="54" t="s">
        <v>258</v>
      </c>
      <c r="AH31" s="54" t="s">
        <v>773</v>
      </c>
      <c r="AI31" s="82" t="s">
        <v>774</v>
      </c>
    </row>
    <row r="32" spans="1:35" s="75" customFormat="1" ht="15.75" thickBot="1" x14ac:dyDescent="0.3">
      <c r="B32" s="150" t="s">
        <v>586</v>
      </c>
      <c r="C32" s="75" t="s">
        <v>586</v>
      </c>
      <c r="D32" s="75" t="s">
        <v>586</v>
      </c>
      <c r="E32" s="75" t="s">
        <v>586</v>
      </c>
      <c r="F32" s="276" t="s">
        <v>586</v>
      </c>
      <c r="G32" s="75" t="s">
        <v>586</v>
      </c>
      <c r="H32" s="75" t="s">
        <v>586</v>
      </c>
      <c r="I32" s="75" t="s">
        <v>586</v>
      </c>
      <c r="J32" s="75" t="s">
        <v>586</v>
      </c>
      <c r="K32" s="75" t="s">
        <v>586</v>
      </c>
      <c r="L32" s="75" t="s">
        <v>586</v>
      </c>
      <c r="M32" s="75" t="s">
        <v>586</v>
      </c>
      <c r="N32" s="75" t="s">
        <v>586</v>
      </c>
      <c r="O32" s="75" t="s">
        <v>586</v>
      </c>
      <c r="P32" s="75" t="s">
        <v>586</v>
      </c>
      <c r="Q32" s="75" t="s">
        <v>586</v>
      </c>
      <c r="R32" s="75" t="s">
        <v>586</v>
      </c>
      <c r="S32" s="75" t="s">
        <v>586</v>
      </c>
      <c r="T32" s="75" t="s">
        <v>586</v>
      </c>
      <c r="U32" s="75" t="s">
        <v>586</v>
      </c>
      <c r="V32" s="75" t="s">
        <v>586</v>
      </c>
      <c r="W32" s="75" t="s">
        <v>586</v>
      </c>
      <c r="X32" s="75" t="s">
        <v>586</v>
      </c>
      <c r="Y32" s="75" t="s">
        <v>586</v>
      </c>
      <c r="Z32" s="75" t="s">
        <v>586</v>
      </c>
      <c r="AA32" s="75" t="s">
        <v>586</v>
      </c>
      <c r="AB32" s="75" t="s">
        <v>586</v>
      </c>
      <c r="AC32" s="75" t="s">
        <v>586</v>
      </c>
      <c r="AD32" s="75" t="s">
        <v>586</v>
      </c>
      <c r="AE32" s="75" t="s">
        <v>586</v>
      </c>
      <c r="AF32" s="75" t="s">
        <v>586</v>
      </c>
      <c r="AG32" s="75" t="s">
        <v>586</v>
      </c>
      <c r="AH32" s="75" t="s">
        <v>586</v>
      </c>
      <c r="AI32" s="75" t="s">
        <v>586</v>
      </c>
    </row>
    <row r="33" spans="1:35" s="75" customFormat="1" ht="100.15" customHeight="1" x14ac:dyDescent="0.25">
      <c r="A33" s="617" t="s">
        <v>447</v>
      </c>
      <c r="B33" s="238" t="s">
        <v>13</v>
      </c>
      <c r="C33" s="239" t="s">
        <v>14</v>
      </c>
      <c r="D33" s="239" t="s">
        <v>15</v>
      </c>
      <c r="E33" s="240" t="s">
        <v>16</v>
      </c>
      <c r="F33" s="285" t="s">
        <v>17</v>
      </c>
      <c r="G33" s="239" t="s">
        <v>70</v>
      </c>
      <c r="H33" s="239" t="s">
        <v>71</v>
      </c>
      <c r="I33" s="239" t="s">
        <v>429</v>
      </c>
      <c r="J33" s="241" t="s">
        <v>430</v>
      </c>
      <c r="K33" s="252" t="s">
        <v>15</v>
      </c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</row>
    <row r="34" spans="1:35" ht="19.899999999999999" customHeight="1" x14ac:dyDescent="0.25">
      <c r="A34" s="618"/>
      <c r="B34" s="242">
        <v>1</v>
      </c>
      <c r="C34" s="243" t="s">
        <v>47</v>
      </c>
      <c r="D34" s="244">
        <v>11</v>
      </c>
      <c r="E34" s="245" t="s">
        <v>48</v>
      </c>
      <c r="F34" s="286" t="s">
        <v>49</v>
      </c>
      <c r="G34" s="246" t="s">
        <v>50</v>
      </c>
      <c r="H34" s="246">
        <v>36</v>
      </c>
      <c r="I34" s="247" t="s">
        <v>443</v>
      </c>
      <c r="J34" s="248" t="s">
        <v>444</v>
      </c>
      <c r="K34" s="253" t="s">
        <v>445</v>
      </c>
    </row>
    <row r="35" spans="1:35" ht="16.149999999999999" customHeight="1" outlineLevel="1" x14ac:dyDescent="0.25">
      <c r="A35" s="618"/>
      <c r="B35" s="242">
        <v>1</v>
      </c>
      <c r="C35" s="244">
        <v>9</v>
      </c>
      <c r="D35" s="244">
        <v>1</v>
      </c>
      <c r="E35" s="249">
        <v>13</v>
      </c>
      <c r="F35" s="287">
        <v>2</v>
      </c>
      <c r="G35" s="244">
        <v>9</v>
      </c>
      <c r="H35" s="244">
        <v>1</v>
      </c>
      <c r="I35" s="244">
        <v>11</v>
      </c>
      <c r="J35" s="250">
        <v>14</v>
      </c>
      <c r="K35" s="254">
        <v>67</v>
      </c>
    </row>
    <row r="36" spans="1:35" ht="20.45" customHeight="1" outlineLevel="1" x14ac:dyDescent="0.25">
      <c r="A36" s="618"/>
      <c r="B36" s="242" t="s">
        <v>1</v>
      </c>
      <c r="C36" s="244" t="s">
        <v>1</v>
      </c>
      <c r="D36" s="244" t="s">
        <v>69</v>
      </c>
      <c r="E36" s="249" t="s">
        <v>69</v>
      </c>
      <c r="F36" s="287" t="s">
        <v>1</v>
      </c>
      <c r="G36" s="244" t="s">
        <v>1</v>
      </c>
      <c r="H36" s="244" t="s">
        <v>69</v>
      </c>
      <c r="I36" s="244" t="s">
        <v>1</v>
      </c>
      <c r="J36" s="251" t="s">
        <v>1</v>
      </c>
      <c r="K36" s="255" t="s">
        <v>69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5" ht="15.6" customHeight="1" outlineLevel="1" x14ac:dyDescent="0.25">
      <c r="A37" s="618"/>
      <c r="B37" s="242" t="s">
        <v>0</v>
      </c>
      <c r="C37" s="244" t="s">
        <v>0</v>
      </c>
      <c r="D37" s="244" t="s">
        <v>4</v>
      </c>
      <c r="E37" s="249" t="s">
        <v>0</v>
      </c>
      <c r="F37" s="287" t="s">
        <v>0</v>
      </c>
      <c r="G37" s="244" t="s">
        <v>0</v>
      </c>
      <c r="H37" s="244" t="s">
        <v>4</v>
      </c>
      <c r="I37" s="244" t="s">
        <v>4</v>
      </c>
      <c r="J37" s="251" t="s">
        <v>4</v>
      </c>
      <c r="K37" s="255" t="s">
        <v>4</v>
      </c>
    </row>
    <row r="38" spans="1:35" ht="30" customHeight="1" thickBot="1" x14ac:dyDescent="0.3">
      <c r="A38" s="619"/>
      <c r="B38" s="256" t="s">
        <v>204</v>
      </c>
      <c r="C38" s="54" t="s">
        <v>544</v>
      </c>
      <c r="D38" s="55" t="s">
        <v>8</v>
      </c>
      <c r="E38" s="54" t="s">
        <v>198</v>
      </c>
      <c r="F38" s="288">
        <v>77</v>
      </c>
      <c r="G38" s="54">
        <v>250000001</v>
      </c>
      <c r="H38" s="193" t="s">
        <v>431</v>
      </c>
      <c r="I38" s="33" t="s">
        <v>588</v>
      </c>
      <c r="J38" s="193" t="s">
        <v>432</v>
      </c>
      <c r="K38" s="226" t="s">
        <v>446</v>
      </c>
      <c r="L38" s="188"/>
      <c r="M38" s="188"/>
      <c r="N38" s="188"/>
      <c r="O38" s="188"/>
      <c r="P38" s="188"/>
      <c r="Q38" s="500" t="s">
        <v>913</v>
      </c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 t="s">
        <v>589</v>
      </c>
      <c r="AH38" s="76"/>
      <c r="AI38" s="76"/>
    </row>
    <row r="39" spans="1:35" s="75" customFormat="1" ht="15.75" thickBot="1" x14ac:dyDescent="0.3">
      <c r="B39" s="150"/>
      <c r="F39" s="276"/>
    </row>
    <row r="40" spans="1:35" s="75" customFormat="1" ht="100.15" customHeight="1" x14ac:dyDescent="0.25">
      <c r="A40" s="620" t="s">
        <v>394</v>
      </c>
      <c r="B40" s="151" t="s">
        <v>13</v>
      </c>
      <c r="C40" s="40" t="s">
        <v>14</v>
      </c>
      <c r="D40" s="40" t="s">
        <v>15</v>
      </c>
      <c r="E40" s="41" t="s">
        <v>16</v>
      </c>
      <c r="F40" s="289" t="s">
        <v>17</v>
      </c>
      <c r="G40" s="40" t="s">
        <v>70</v>
      </c>
      <c r="H40" s="40" t="s">
        <v>71</v>
      </c>
      <c r="I40" s="40" t="s">
        <v>72</v>
      </c>
      <c r="J40" s="40" t="s">
        <v>2</v>
      </c>
      <c r="K40" s="40" t="s">
        <v>73</v>
      </c>
      <c r="L40" s="42" t="s">
        <v>466</v>
      </c>
      <c r="M40" s="42" t="s">
        <v>75</v>
      </c>
      <c r="N40" s="40" t="s">
        <v>76</v>
      </c>
      <c r="O40" s="40" t="s">
        <v>77</v>
      </c>
      <c r="P40" s="40" t="s">
        <v>467</v>
      </c>
      <c r="Q40" s="40" t="s">
        <v>468</v>
      </c>
      <c r="R40" s="40" t="s">
        <v>80</v>
      </c>
      <c r="S40" s="40" t="s">
        <v>81</v>
      </c>
      <c r="T40" s="40" t="s">
        <v>82</v>
      </c>
      <c r="U40" s="40" t="s">
        <v>83</v>
      </c>
      <c r="V40" s="40" t="s">
        <v>84</v>
      </c>
      <c r="W40" s="40" t="s">
        <v>3</v>
      </c>
      <c r="X40" s="40" t="s">
        <v>85</v>
      </c>
      <c r="Y40" s="40" t="s">
        <v>86</v>
      </c>
      <c r="Z40" s="40" t="s">
        <v>87</v>
      </c>
      <c r="AA40" s="40" t="s">
        <v>88</v>
      </c>
      <c r="AB40" s="40" t="s">
        <v>89</v>
      </c>
      <c r="AC40" s="40" t="s">
        <v>90</v>
      </c>
      <c r="AD40" s="40" t="s">
        <v>91</v>
      </c>
      <c r="AE40" s="40" t="s">
        <v>92</v>
      </c>
      <c r="AF40" s="43" t="s">
        <v>93</v>
      </c>
      <c r="AG40" s="77"/>
      <c r="AH40" s="77"/>
      <c r="AI40" s="77"/>
    </row>
    <row r="41" spans="1:35" s="75" customFormat="1" ht="19.899999999999999" customHeight="1" x14ac:dyDescent="0.25">
      <c r="A41" s="615"/>
      <c r="B41" s="152">
        <v>1</v>
      </c>
      <c r="C41" s="44" t="s">
        <v>47</v>
      </c>
      <c r="D41" s="45">
        <v>11</v>
      </c>
      <c r="E41" s="46" t="s">
        <v>48</v>
      </c>
      <c r="F41" s="290" t="s">
        <v>49</v>
      </c>
      <c r="G41" s="47" t="s">
        <v>50</v>
      </c>
      <c r="H41" s="47">
        <v>36</v>
      </c>
      <c r="I41" s="47" t="s">
        <v>94</v>
      </c>
      <c r="J41" s="47" t="s">
        <v>95</v>
      </c>
      <c r="K41" s="47" t="s">
        <v>96</v>
      </c>
      <c r="L41" s="48" t="s">
        <v>97</v>
      </c>
      <c r="M41" s="48" t="s">
        <v>98</v>
      </c>
      <c r="N41" s="47" t="s">
        <v>99</v>
      </c>
      <c r="O41" s="47">
        <v>53</v>
      </c>
      <c r="P41" s="47">
        <v>54</v>
      </c>
      <c r="Q41" s="47" t="s">
        <v>913</v>
      </c>
      <c r="R41" s="47" t="s">
        <v>100</v>
      </c>
      <c r="S41" s="47" t="s">
        <v>101</v>
      </c>
      <c r="T41" s="47" t="s">
        <v>57</v>
      </c>
      <c r="U41" s="47" t="s">
        <v>102</v>
      </c>
      <c r="V41" s="47" t="s">
        <v>103</v>
      </c>
      <c r="W41" s="47" t="s">
        <v>104</v>
      </c>
      <c r="X41" s="47" t="s">
        <v>105</v>
      </c>
      <c r="Y41" s="47" t="s">
        <v>106</v>
      </c>
      <c r="Z41" s="47" t="s">
        <v>107</v>
      </c>
      <c r="AA41" s="47" t="s">
        <v>108</v>
      </c>
      <c r="AB41" s="45" t="s">
        <v>109</v>
      </c>
      <c r="AC41" s="47" t="s">
        <v>110</v>
      </c>
      <c r="AD41" s="45">
        <v>120</v>
      </c>
      <c r="AE41" s="45">
        <v>121</v>
      </c>
      <c r="AF41" s="49" t="s">
        <v>111</v>
      </c>
      <c r="AG41" s="77"/>
      <c r="AH41" s="77"/>
      <c r="AI41" s="77"/>
    </row>
    <row r="42" spans="1:35" s="75" customFormat="1" outlineLevel="1" x14ac:dyDescent="0.25">
      <c r="A42" s="615"/>
      <c r="B42" s="152">
        <v>1</v>
      </c>
      <c r="C42" s="45">
        <v>9</v>
      </c>
      <c r="D42" s="45">
        <v>1</v>
      </c>
      <c r="E42" s="50">
        <v>13</v>
      </c>
      <c r="F42" s="291">
        <v>2</v>
      </c>
      <c r="G42" s="45">
        <v>9</v>
      </c>
      <c r="H42" s="45">
        <v>1</v>
      </c>
      <c r="I42" s="45">
        <v>2</v>
      </c>
      <c r="J42" s="45">
        <v>2</v>
      </c>
      <c r="K42" s="45">
        <v>3</v>
      </c>
      <c r="L42" s="51">
        <v>6</v>
      </c>
      <c r="M42" s="51">
        <v>1</v>
      </c>
      <c r="N42" s="45">
        <v>2</v>
      </c>
      <c r="O42" s="45">
        <v>1</v>
      </c>
      <c r="P42" s="45">
        <v>1</v>
      </c>
      <c r="Q42" s="45">
        <v>9</v>
      </c>
      <c r="R42" s="45">
        <v>2</v>
      </c>
      <c r="S42" s="45">
        <v>2</v>
      </c>
      <c r="T42" s="45">
        <v>6</v>
      </c>
      <c r="U42" s="45">
        <v>5</v>
      </c>
      <c r="V42" s="45">
        <v>2</v>
      </c>
      <c r="W42" s="45">
        <v>6</v>
      </c>
      <c r="X42" s="45">
        <v>2</v>
      </c>
      <c r="Y42" s="45">
        <v>7</v>
      </c>
      <c r="Z42" s="45">
        <v>7</v>
      </c>
      <c r="AA42" s="45">
        <v>3</v>
      </c>
      <c r="AB42" s="45">
        <v>7</v>
      </c>
      <c r="AC42" s="45">
        <v>7</v>
      </c>
      <c r="AD42" s="45">
        <v>1</v>
      </c>
      <c r="AE42" s="45">
        <v>1</v>
      </c>
      <c r="AF42" s="49">
        <v>7</v>
      </c>
      <c r="AG42" s="77"/>
      <c r="AH42" s="77"/>
      <c r="AI42" s="77"/>
    </row>
    <row r="43" spans="1:35" s="75" customFormat="1" outlineLevel="1" x14ac:dyDescent="0.25">
      <c r="A43" s="615"/>
      <c r="B43" s="152" t="s">
        <v>1</v>
      </c>
      <c r="C43" s="45" t="s">
        <v>1</v>
      </c>
      <c r="D43" s="45" t="s">
        <v>69</v>
      </c>
      <c r="E43" s="50" t="s">
        <v>69</v>
      </c>
      <c r="F43" s="291" t="s">
        <v>1</v>
      </c>
      <c r="G43" s="45" t="s">
        <v>1</v>
      </c>
      <c r="H43" s="45" t="s">
        <v>69</v>
      </c>
      <c r="I43" s="45" t="s">
        <v>1</v>
      </c>
      <c r="J43" s="45" t="s">
        <v>1</v>
      </c>
      <c r="K43" s="45" t="s">
        <v>1</v>
      </c>
      <c r="L43" s="52" t="s">
        <v>1</v>
      </c>
      <c r="M43" s="52" t="s">
        <v>1</v>
      </c>
      <c r="N43" s="45" t="s">
        <v>69</v>
      </c>
      <c r="O43" s="45" t="s">
        <v>69</v>
      </c>
      <c r="P43" s="53" t="s">
        <v>69</v>
      </c>
      <c r="Q43" s="45" t="s">
        <v>1</v>
      </c>
      <c r="R43" s="45" t="s">
        <v>1</v>
      </c>
      <c r="S43" s="45" t="s">
        <v>1</v>
      </c>
      <c r="T43" s="45" t="s">
        <v>1</v>
      </c>
      <c r="U43" s="45" t="s">
        <v>69</v>
      </c>
      <c r="V43" s="45" t="s">
        <v>1</v>
      </c>
      <c r="W43" s="45" t="s">
        <v>1</v>
      </c>
      <c r="X43" s="45" t="s">
        <v>1</v>
      </c>
      <c r="Y43" s="45" t="s">
        <v>1</v>
      </c>
      <c r="Z43" s="45" t="s">
        <v>1</v>
      </c>
      <c r="AA43" s="45" t="s">
        <v>1</v>
      </c>
      <c r="AB43" s="45" t="s">
        <v>1</v>
      </c>
      <c r="AC43" s="45" t="s">
        <v>1</v>
      </c>
      <c r="AD43" s="45" t="s">
        <v>69</v>
      </c>
      <c r="AE43" s="45" t="s">
        <v>1</v>
      </c>
      <c r="AF43" s="49" t="s">
        <v>1</v>
      </c>
      <c r="AG43" s="2"/>
      <c r="AH43" s="77"/>
      <c r="AI43" s="77"/>
    </row>
    <row r="44" spans="1:35" s="75" customFormat="1" outlineLevel="1" x14ac:dyDescent="0.25">
      <c r="A44" s="615"/>
      <c r="B44" s="152" t="s">
        <v>0</v>
      </c>
      <c r="C44" s="45" t="s">
        <v>0</v>
      </c>
      <c r="D44" s="45" t="s">
        <v>4</v>
      </c>
      <c r="E44" s="50" t="s">
        <v>0</v>
      </c>
      <c r="F44" s="291" t="s">
        <v>0</v>
      </c>
      <c r="G44" s="45" t="s">
        <v>0</v>
      </c>
      <c r="H44" s="45" t="s">
        <v>4</v>
      </c>
      <c r="I44" s="45" t="s">
        <v>4</v>
      </c>
      <c r="J44" s="45" t="s">
        <v>4</v>
      </c>
      <c r="K44" s="45" t="s">
        <v>4</v>
      </c>
      <c r="L44" s="52" t="s">
        <v>4</v>
      </c>
      <c r="M44" s="52" t="s">
        <v>0</v>
      </c>
      <c r="N44" s="45" t="s">
        <v>4</v>
      </c>
      <c r="O44" s="45" t="s">
        <v>4</v>
      </c>
      <c r="P44" s="45" t="s">
        <v>4</v>
      </c>
      <c r="Q44" s="45" t="s">
        <v>4</v>
      </c>
      <c r="R44" s="45" t="s">
        <v>4</v>
      </c>
      <c r="S44" s="45" t="s">
        <v>112</v>
      </c>
      <c r="T44" s="45" t="s">
        <v>0</v>
      </c>
      <c r="U44" s="45" t="s">
        <v>0</v>
      </c>
      <c r="V44" s="45" t="s">
        <v>0</v>
      </c>
      <c r="W44" s="45" t="s">
        <v>0</v>
      </c>
      <c r="X44" s="45" t="s">
        <v>0</v>
      </c>
      <c r="Y44" s="45" t="s">
        <v>0</v>
      </c>
      <c r="Z44" s="45" t="s">
        <v>0</v>
      </c>
      <c r="AA44" s="45" t="s">
        <v>0</v>
      </c>
      <c r="AB44" s="45" t="s">
        <v>0</v>
      </c>
      <c r="AC44" s="45" t="s">
        <v>0</v>
      </c>
      <c r="AD44" s="45" t="s">
        <v>4</v>
      </c>
      <c r="AE44" s="45" t="s">
        <v>4</v>
      </c>
      <c r="AF44" s="49" t="s">
        <v>4</v>
      </c>
      <c r="AG44" s="77"/>
      <c r="AH44" s="77"/>
      <c r="AI44" s="77"/>
    </row>
    <row r="45" spans="1:35" s="75" customFormat="1" ht="30" customHeight="1" thickBot="1" x14ac:dyDescent="0.3">
      <c r="A45" s="616"/>
      <c r="B45" s="149" t="s">
        <v>10</v>
      </c>
      <c r="C45" s="54" t="s">
        <v>544</v>
      </c>
      <c r="D45" s="55" t="s">
        <v>8</v>
      </c>
      <c r="E45" s="54" t="s">
        <v>198</v>
      </c>
      <c r="F45" s="288">
        <v>77</v>
      </c>
      <c r="G45" s="54">
        <v>250000001</v>
      </c>
      <c r="H45" s="55" t="s">
        <v>69</v>
      </c>
      <c r="I45" s="193" t="s">
        <v>5</v>
      </c>
      <c r="J45" s="55" t="s">
        <v>5</v>
      </c>
      <c r="K45" s="55" t="s">
        <v>6</v>
      </c>
      <c r="L45" s="55" t="s">
        <v>208</v>
      </c>
      <c r="M45" s="193" t="s">
        <v>397</v>
      </c>
      <c r="N45" s="55" t="s">
        <v>210</v>
      </c>
      <c r="O45" s="55" t="s">
        <v>8</v>
      </c>
      <c r="P45" s="55" t="s">
        <v>8</v>
      </c>
      <c r="Q45" s="54" t="s">
        <v>544</v>
      </c>
      <c r="R45" s="55" t="s">
        <v>5</v>
      </c>
      <c r="S45" s="55" t="s">
        <v>5</v>
      </c>
      <c r="T45" s="193" t="s">
        <v>867</v>
      </c>
      <c r="U45" s="228" t="s">
        <v>278</v>
      </c>
      <c r="V45" s="193" t="s">
        <v>202</v>
      </c>
      <c r="W45" s="33" t="s">
        <v>590</v>
      </c>
      <c r="X45" s="33" t="s">
        <v>767</v>
      </c>
      <c r="Y45" s="194" t="s">
        <v>868</v>
      </c>
      <c r="Z45" s="194" t="s">
        <v>868</v>
      </c>
      <c r="AA45" s="194" t="s">
        <v>592</v>
      </c>
      <c r="AB45" s="194" t="s">
        <v>869</v>
      </c>
      <c r="AC45" s="194" t="s">
        <v>868</v>
      </c>
      <c r="AD45" s="193" t="s">
        <v>8</v>
      </c>
      <c r="AE45" s="193" t="s">
        <v>200</v>
      </c>
      <c r="AF45" s="195" t="s">
        <v>870</v>
      </c>
      <c r="AG45" s="188" t="s">
        <v>589</v>
      </c>
      <c r="AH45" s="76"/>
      <c r="AI45" s="76"/>
    </row>
    <row r="46" spans="1:35" s="75" customFormat="1" ht="15.75" thickBot="1" x14ac:dyDescent="0.3">
      <c r="B46" s="150" t="s">
        <v>586</v>
      </c>
      <c r="C46" s="75" t="s">
        <v>586</v>
      </c>
      <c r="D46" s="75" t="s">
        <v>586</v>
      </c>
      <c r="E46" s="75" t="s">
        <v>586</v>
      </c>
      <c r="F46" s="276" t="s">
        <v>586</v>
      </c>
      <c r="G46" s="75" t="s">
        <v>586</v>
      </c>
      <c r="H46" s="75" t="s">
        <v>586</v>
      </c>
      <c r="I46" s="75" t="s">
        <v>586</v>
      </c>
      <c r="J46" s="75" t="s">
        <v>586</v>
      </c>
      <c r="K46" s="75" t="s">
        <v>586</v>
      </c>
      <c r="L46" s="75" t="s">
        <v>586</v>
      </c>
      <c r="M46" s="75" t="s">
        <v>586</v>
      </c>
      <c r="N46" s="75" t="s">
        <v>586</v>
      </c>
      <c r="O46" s="75" t="s">
        <v>586</v>
      </c>
      <c r="P46" s="75" t="s">
        <v>586</v>
      </c>
      <c r="Q46" s="75" t="s">
        <v>586</v>
      </c>
      <c r="R46" s="75" t="s">
        <v>586</v>
      </c>
      <c r="S46" s="75" t="s">
        <v>586</v>
      </c>
      <c r="T46" s="75" t="s">
        <v>586</v>
      </c>
      <c r="U46" s="75" t="s">
        <v>586</v>
      </c>
      <c r="V46" s="75" t="s">
        <v>586</v>
      </c>
      <c r="W46" s="75" t="s">
        <v>586</v>
      </c>
      <c r="X46" s="75" t="s">
        <v>586</v>
      </c>
      <c r="Y46" s="75" t="s">
        <v>586</v>
      </c>
      <c r="Z46" s="75" t="s">
        <v>586</v>
      </c>
      <c r="AA46" s="75" t="s">
        <v>586</v>
      </c>
      <c r="AB46" s="75" t="s">
        <v>586</v>
      </c>
      <c r="AC46" s="75" t="s">
        <v>586</v>
      </c>
      <c r="AD46" s="75" t="s">
        <v>586</v>
      </c>
      <c r="AE46" s="75" t="s">
        <v>586</v>
      </c>
      <c r="AF46" s="75" t="s">
        <v>586</v>
      </c>
    </row>
    <row r="47" spans="1:35" ht="100.15" customHeight="1" x14ac:dyDescent="0.25">
      <c r="A47" s="621" t="s">
        <v>190</v>
      </c>
      <c r="B47" s="153" t="s">
        <v>13</v>
      </c>
      <c r="C47" s="17" t="s">
        <v>14</v>
      </c>
      <c r="D47" s="17" t="s">
        <v>15</v>
      </c>
      <c r="E47" s="18" t="s">
        <v>16</v>
      </c>
      <c r="F47" s="292" t="s">
        <v>17</v>
      </c>
      <c r="G47" s="17" t="s">
        <v>70</v>
      </c>
      <c r="H47" s="17" t="s">
        <v>113</v>
      </c>
      <c r="I47" s="17" t="s">
        <v>72</v>
      </c>
      <c r="J47" s="17" t="s">
        <v>114</v>
      </c>
      <c r="K47" s="17" t="s">
        <v>115</v>
      </c>
      <c r="L47" s="17" t="s">
        <v>116</v>
      </c>
      <c r="M47" s="17" t="s">
        <v>117</v>
      </c>
      <c r="N47" s="17" t="s">
        <v>114</v>
      </c>
      <c r="O47" s="17" t="s">
        <v>118</v>
      </c>
      <c r="P47" s="17" t="s">
        <v>119</v>
      </c>
      <c r="Q47" s="17" t="s">
        <v>120</v>
      </c>
      <c r="R47" s="17" t="s">
        <v>121</v>
      </c>
      <c r="S47" s="17" t="s">
        <v>122</v>
      </c>
      <c r="T47" s="17" t="s">
        <v>123</v>
      </c>
      <c r="U47" s="17" t="s">
        <v>124</v>
      </c>
      <c r="V47" s="17" t="s">
        <v>125</v>
      </c>
      <c r="W47" s="17" t="s">
        <v>126</v>
      </c>
      <c r="X47" s="17" t="s">
        <v>125</v>
      </c>
      <c r="Y47" s="17" t="s">
        <v>127</v>
      </c>
      <c r="Z47" s="17" t="s">
        <v>125</v>
      </c>
      <c r="AA47" s="17" t="s">
        <v>128</v>
      </c>
      <c r="AB47" s="17" t="s">
        <v>7</v>
      </c>
      <c r="AC47" s="17" t="s">
        <v>129</v>
      </c>
      <c r="AD47" s="17" t="s">
        <v>130</v>
      </c>
      <c r="AE47" s="17" t="s">
        <v>129</v>
      </c>
      <c r="AF47" s="17" t="s">
        <v>131</v>
      </c>
      <c r="AG47" s="17" t="s">
        <v>132</v>
      </c>
      <c r="AH47" s="19" t="s">
        <v>114</v>
      </c>
    </row>
    <row r="48" spans="1:35" ht="19.899999999999999" customHeight="1" x14ac:dyDescent="0.25">
      <c r="A48" s="615"/>
      <c r="B48" s="154">
        <v>1</v>
      </c>
      <c r="C48" s="83" t="s">
        <v>47</v>
      </c>
      <c r="D48" s="14" t="s">
        <v>133</v>
      </c>
      <c r="E48" s="84" t="s">
        <v>48</v>
      </c>
      <c r="F48" s="293" t="s">
        <v>49</v>
      </c>
      <c r="G48" s="14" t="s">
        <v>50</v>
      </c>
      <c r="H48" s="14">
        <v>36</v>
      </c>
      <c r="I48" s="14" t="s">
        <v>94</v>
      </c>
      <c r="J48" s="14" t="s">
        <v>134</v>
      </c>
      <c r="K48" s="14">
        <v>46</v>
      </c>
      <c r="L48" s="14">
        <v>47</v>
      </c>
      <c r="M48" s="14">
        <v>48</v>
      </c>
      <c r="N48" s="14" t="s">
        <v>135</v>
      </c>
      <c r="O48" s="14">
        <v>50</v>
      </c>
      <c r="P48" s="14" t="s">
        <v>136</v>
      </c>
      <c r="Q48" s="14" t="s">
        <v>137</v>
      </c>
      <c r="R48" s="14" t="s">
        <v>138</v>
      </c>
      <c r="S48" s="14" t="s">
        <v>139</v>
      </c>
      <c r="T48" s="14" t="s">
        <v>140</v>
      </c>
      <c r="U48" s="14" t="s">
        <v>141</v>
      </c>
      <c r="V48" s="14" t="s">
        <v>142</v>
      </c>
      <c r="W48" s="14" t="s">
        <v>143</v>
      </c>
      <c r="X48" s="14" t="s">
        <v>144</v>
      </c>
      <c r="Y48" s="14" t="s">
        <v>145</v>
      </c>
      <c r="Z48" s="14" t="s">
        <v>146</v>
      </c>
      <c r="AA48" s="14">
        <v>93</v>
      </c>
      <c r="AB48" s="14" t="s">
        <v>147</v>
      </c>
      <c r="AC48" s="14" t="s">
        <v>62</v>
      </c>
      <c r="AD48" s="14" t="s">
        <v>148</v>
      </c>
      <c r="AE48" s="14" t="s">
        <v>149</v>
      </c>
      <c r="AF48" s="14" t="s">
        <v>150</v>
      </c>
      <c r="AG48" s="14" t="s">
        <v>151</v>
      </c>
      <c r="AH48" s="85" t="s">
        <v>152</v>
      </c>
    </row>
    <row r="49" spans="1:34" ht="30" customHeight="1" outlineLevel="1" x14ac:dyDescent="0.25">
      <c r="A49" s="615"/>
      <c r="B49" s="154">
        <v>1</v>
      </c>
      <c r="C49" s="15">
        <v>9</v>
      </c>
      <c r="D49" s="15">
        <v>1</v>
      </c>
      <c r="E49" s="86">
        <v>13</v>
      </c>
      <c r="F49" s="294">
        <v>2</v>
      </c>
      <c r="G49" s="15">
        <v>9</v>
      </c>
      <c r="H49" s="15">
        <v>1</v>
      </c>
      <c r="I49" s="15">
        <v>2</v>
      </c>
      <c r="J49" s="15">
        <v>7</v>
      </c>
      <c r="K49" s="15">
        <v>1</v>
      </c>
      <c r="L49" s="15">
        <v>1</v>
      </c>
      <c r="M49" s="15">
        <v>1</v>
      </c>
      <c r="N49" s="15">
        <v>1</v>
      </c>
      <c r="O49" s="15">
        <v>1</v>
      </c>
      <c r="P49" s="15">
        <v>6</v>
      </c>
      <c r="Q49" s="15">
        <v>2</v>
      </c>
      <c r="R49" s="15">
        <v>2</v>
      </c>
      <c r="S49" s="15">
        <v>2</v>
      </c>
      <c r="T49" s="15">
        <v>6</v>
      </c>
      <c r="U49" s="15">
        <v>4</v>
      </c>
      <c r="V49" s="15">
        <v>4</v>
      </c>
      <c r="W49" s="15">
        <v>4</v>
      </c>
      <c r="X49" s="15">
        <v>4</v>
      </c>
      <c r="Y49" s="15">
        <v>4</v>
      </c>
      <c r="Z49" s="15">
        <v>4</v>
      </c>
      <c r="AA49" s="15">
        <v>1</v>
      </c>
      <c r="AB49" s="15">
        <v>2</v>
      </c>
      <c r="AC49" s="15">
        <v>6</v>
      </c>
      <c r="AD49" s="15">
        <v>2</v>
      </c>
      <c r="AE49" s="15">
        <v>6</v>
      </c>
      <c r="AF49" s="15">
        <v>7</v>
      </c>
      <c r="AG49" s="15">
        <v>7</v>
      </c>
      <c r="AH49" s="87">
        <v>5</v>
      </c>
    </row>
    <row r="50" spans="1:34" ht="30" customHeight="1" outlineLevel="1" x14ac:dyDescent="0.25">
      <c r="A50" s="615"/>
      <c r="B50" s="154" t="s">
        <v>1</v>
      </c>
      <c r="C50" s="15" t="s">
        <v>1</v>
      </c>
      <c r="D50" s="15" t="s">
        <v>69</v>
      </c>
      <c r="E50" s="86" t="s">
        <v>69</v>
      </c>
      <c r="F50" s="294" t="s">
        <v>1</v>
      </c>
      <c r="G50" s="15" t="s">
        <v>1</v>
      </c>
      <c r="H50" s="15" t="s">
        <v>69</v>
      </c>
      <c r="I50" s="15" t="s">
        <v>1</v>
      </c>
      <c r="J50" s="15" t="s">
        <v>69</v>
      </c>
      <c r="K50" s="15" t="s">
        <v>1</v>
      </c>
      <c r="L50" s="15" t="s">
        <v>1</v>
      </c>
      <c r="M50" s="15" t="s">
        <v>1</v>
      </c>
      <c r="N50" s="15" t="s">
        <v>69</v>
      </c>
      <c r="O50" s="15" t="s">
        <v>1</v>
      </c>
      <c r="P50" s="15" t="s">
        <v>1</v>
      </c>
      <c r="Q50" s="15" t="s">
        <v>1</v>
      </c>
      <c r="R50" s="15" t="s">
        <v>1</v>
      </c>
      <c r="S50" s="15" t="s">
        <v>1</v>
      </c>
      <c r="T50" s="15" t="s">
        <v>1</v>
      </c>
      <c r="U50" s="15" t="s">
        <v>1</v>
      </c>
      <c r="V50" s="15" t="s">
        <v>1</v>
      </c>
      <c r="W50" s="15" t="s">
        <v>1</v>
      </c>
      <c r="X50" s="15" t="s">
        <v>1</v>
      </c>
      <c r="Y50" s="15" t="s">
        <v>1</v>
      </c>
      <c r="Z50" s="15" t="s">
        <v>1</v>
      </c>
      <c r="AA50" s="15" t="s">
        <v>1</v>
      </c>
      <c r="AB50" s="15" t="s">
        <v>1</v>
      </c>
      <c r="AC50" s="15" t="s">
        <v>1</v>
      </c>
      <c r="AD50" s="15" t="s">
        <v>1</v>
      </c>
      <c r="AE50" s="15" t="s">
        <v>1</v>
      </c>
      <c r="AF50" s="15" t="s">
        <v>1</v>
      </c>
      <c r="AG50" s="15" t="s">
        <v>1</v>
      </c>
      <c r="AH50" s="225" t="s">
        <v>69</v>
      </c>
    </row>
    <row r="51" spans="1:34" ht="30" customHeight="1" outlineLevel="1" x14ac:dyDescent="0.25">
      <c r="A51" s="615"/>
      <c r="B51" s="154" t="s">
        <v>0</v>
      </c>
      <c r="C51" s="15" t="s">
        <v>0</v>
      </c>
      <c r="D51" s="15" t="s">
        <v>4</v>
      </c>
      <c r="E51" s="86" t="s">
        <v>0</v>
      </c>
      <c r="F51" s="294" t="s">
        <v>0</v>
      </c>
      <c r="G51" s="15" t="s">
        <v>0</v>
      </c>
      <c r="H51" s="15" t="s">
        <v>0</v>
      </c>
      <c r="I51" s="15" t="s">
        <v>4</v>
      </c>
      <c r="J51" s="15" t="s">
        <v>4</v>
      </c>
      <c r="K51" s="15" t="s">
        <v>0</v>
      </c>
      <c r="L51" s="15" t="s">
        <v>0</v>
      </c>
      <c r="M51" s="15" t="s">
        <v>0</v>
      </c>
      <c r="N51" s="15" t="s">
        <v>4</v>
      </c>
      <c r="O51" s="15" t="s">
        <v>0</v>
      </c>
      <c r="P51" s="15" t="s">
        <v>4</v>
      </c>
      <c r="Q51" s="15" t="s">
        <v>4</v>
      </c>
      <c r="R51" s="15" t="s">
        <v>4</v>
      </c>
      <c r="S51" s="15" t="s">
        <v>4</v>
      </c>
      <c r="T51" s="15" t="s">
        <v>4</v>
      </c>
      <c r="U51" s="15" t="s">
        <v>4</v>
      </c>
      <c r="V51" s="15" t="s">
        <v>4</v>
      </c>
      <c r="W51" s="15" t="s">
        <v>4</v>
      </c>
      <c r="X51" s="15" t="s">
        <v>4</v>
      </c>
      <c r="Y51" s="88" t="s">
        <v>4</v>
      </c>
      <c r="Z51" s="15" t="s">
        <v>4</v>
      </c>
      <c r="AA51" s="15" t="s">
        <v>4</v>
      </c>
      <c r="AB51" s="15" t="s">
        <v>4</v>
      </c>
      <c r="AC51" s="15" t="s">
        <v>4</v>
      </c>
      <c r="AD51" s="15" t="s">
        <v>4</v>
      </c>
      <c r="AE51" s="15" t="s">
        <v>4</v>
      </c>
      <c r="AF51" s="15" t="s">
        <v>4</v>
      </c>
      <c r="AG51" s="15" t="s">
        <v>4</v>
      </c>
      <c r="AH51" s="225" t="s">
        <v>4</v>
      </c>
    </row>
    <row r="52" spans="1:34" s="76" customFormat="1" ht="30" customHeight="1" thickBot="1" x14ac:dyDescent="0.3">
      <c r="A52" s="616"/>
      <c r="B52" s="149" t="s">
        <v>10</v>
      </c>
      <c r="C52" s="54" t="s">
        <v>544</v>
      </c>
      <c r="D52" s="55" t="s">
        <v>8</v>
      </c>
      <c r="E52" s="54" t="s">
        <v>198</v>
      </c>
      <c r="F52" s="288">
        <v>77</v>
      </c>
      <c r="G52" s="54">
        <v>250000001</v>
      </c>
      <c r="H52" s="55" t="s">
        <v>201</v>
      </c>
      <c r="I52" s="54" t="s">
        <v>202</v>
      </c>
      <c r="J52" s="55" t="s">
        <v>213</v>
      </c>
      <c r="K52" s="55" t="s">
        <v>206</v>
      </c>
      <c r="L52" s="55" t="s">
        <v>206</v>
      </c>
      <c r="M52" s="55" t="s">
        <v>206</v>
      </c>
      <c r="N52" s="55" t="s">
        <v>8</v>
      </c>
      <c r="O52" s="55" t="s">
        <v>206</v>
      </c>
      <c r="P52" s="55" t="s">
        <v>208</v>
      </c>
      <c r="Q52" s="55" t="s">
        <v>5</v>
      </c>
      <c r="R52" s="55" t="s">
        <v>5</v>
      </c>
      <c r="S52" s="55" t="s">
        <v>5</v>
      </c>
      <c r="T52" s="55" t="s">
        <v>208</v>
      </c>
      <c r="U52" s="55" t="s">
        <v>203</v>
      </c>
      <c r="V52" s="55" t="s">
        <v>203</v>
      </c>
      <c r="W52" s="55" t="s">
        <v>203</v>
      </c>
      <c r="X52" s="55" t="s">
        <v>203</v>
      </c>
      <c r="Y52" s="55" t="s">
        <v>203</v>
      </c>
      <c r="Z52" s="55" t="s">
        <v>203</v>
      </c>
      <c r="AA52" s="55" t="s">
        <v>206</v>
      </c>
      <c r="AB52" s="55" t="s">
        <v>5</v>
      </c>
      <c r="AC52" s="55" t="s">
        <v>208</v>
      </c>
      <c r="AD52" s="55" t="s">
        <v>5</v>
      </c>
      <c r="AE52" s="55" t="s">
        <v>208</v>
      </c>
      <c r="AF52" s="55" t="s">
        <v>212</v>
      </c>
      <c r="AG52" s="55" t="s">
        <v>212</v>
      </c>
      <c r="AH52" s="226" t="s">
        <v>428</v>
      </c>
    </row>
    <row r="53" spans="1:34" s="75" customFormat="1" ht="15.75" outlineLevel="1" thickBot="1" x14ac:dyDescent="0.3">
      <c r="B53" s="150" t="s">
        <v>586</v>
      </c>
      <c r="C53" s="75" t="s">
        <v>586</v>
      </c>
      <c r="D53" s="75" t="s">
        <v>586</v>
      </c>
      <c r="E53" s="75" t="s">
        <v>586</v>
      </c>
      <c r="F53" s="276" t="s">
        <v>586</v>
      </c>
      <c r="G53" s="75" t="s">
        <v>586</v>
      </c>
      <c r="H53" s="75" t="s">
        <v>586</v>
      </c>
      <c r="I53" s="75" t="s">
        <v>586</v>
      </c>
      <c r="J53" s="75" t="s">
        <v>586</v>
      </c>
      <c r="K53" s="75" t="s">
        <v>586</v>
      </c>
      <c r="L53" s="75" t="s">
        <v>586</v>
      </c>
      <c r="M53" s="75" t="s">
        <v>586</v>
      </c>
      <c r="N53" s="75" t="s">
        <v>586</v>
      </c>
      <c r="O53" s="75" t="s">
        <v>586</v>
      </c>
      <c r="P53" s="75" t="s">
        <v>586</v>
      </c>
      <c r="Q53" s="75" t="s">
        <v>586</v>
      </c>
      <c r="R53" s="75" t="s">
        <v>586</v>
      </c>
      <c r="S53" s="75" t="s">
        <v>586</v>
      </c>
      <c r="T53" s="75" t="s">
        <v>586</v>
      </c>
      <c r="U53" s="75" t="s">
        <v>586</v>
      </c>
      <c r="V53" s="75" t="s">
        <v>586</v>
      </c>
      <c r="W53" s="75" t="s">
        <v>586</v>
      </c>
      <c r="X53" s="75" t="s">
        <v>586</v>
      </c>
      <c r="Y53" s="75" t="s">
        <v>586</v>
      </c>
      <c r="Z53" s="75" t="s">
        <v>586</v>
      </c>
      <c r="AA53" s="75" t="s">
        <v>586</v>
      </c>
      <c r="AB53" s="75" t="s">
        <v>586</v>
      </c>
      <c r="AC53" s="75" t="s">
        <v>586</v>
      </c>
      <c r="AD53" s="75" t="s">
        <v>586</v>
      </c>
      <c r="AE53" s="75" t="s">
        <v>586</v>
      </c>
      <c r="AF53" s="75" t="s">
        <v>586</v>
      </c>
      <c r="AG53" s="75" t="s">
        <v>586</v>
      </c>
      <c r="AH53" s="75" t="s">
        <v>586</v>
      </c>
    </row>
    <row r="54" spans="1:34" ht="99.95" customHeight="1" x14ac:dyDescent="0.25">
      <c r="A54" s="622" t="s">
        <v>191</v>
      </c>
      <c r="B54" s="155" t="s">
        <v>13</v>
      </c>
      <c r="C54" s="20" t="s">
        <v>14</v>
      </c>
      <c r="D54" s="20" t="s">
        <v>15</v>
      </c>
      <c r="E54" s="21" t="s">
        <v>16</v>
      </c>
      <c r="F54" s="295" t="s">
        <v>17</v>
      </c>
      <c r="G54" s="20" t="s">
        <v>70</v>
      </c>
      <c r="H54" s="20" t="s">
        <v>113</v>
      </c>
      <c r="I54" s="20" t="s">
        <v>72</v>
      </c>
      <c r="J54" s="20" t="s">
        <v>153</v>
      </c>
      <c r="K54" s="20" t="s">
        <v>154</v>
      </c>
      <c r="L54" s="20" t="s">
        <v>155</v>
      </c>
      <c r="M54" s="20" t="s">
        <v>156</v>
      </c>
      <c r="N54" s="20" t="s">
        <v>157</v>
      </c>
      <c r="O54" s="20" t="s">
        <v>158</v>
      </c>
      <c r="P54" s="20" t="s">
        <v>159</v>
      </c>
      <c r="Q54" s="20" t="s">
        <v>160</v>
      </c>
      <c r="R54" s="20" t="s">
        <v>161</v>
      </c>
      <c r="S54" s="20" t="s">
        <v>162</v>
      </c>
      <c r="T54" s="20" t="s">
        <v>163</v>
      </c>
      <c r="U54" s="20" t="s">
        <v>164</v>
      </c>
      <c r="V54" s="20" t="s">
        <v>165</v>
      </c>
      <c r="W54" s="20" t="s">
        <v>166</v>
      </c>
      <c r="X54" s="20" t="s">
        <v>167</v>
      </c>
      <c r="Y54" s="20" t="s">
        <v>168</v>
      </c>
      <c r="Z54" s="20" t="s">
        <v>169</v>
      </c>
      <c r="AA54" s="20" t="s">
        <v>170</v>
      </c>
      <c r="AB54" s="20" t="s">
        <v>171</v>
      </c>
      <c r="AC54" s="20" t="s">
        <v>172</v>
      </c>
      <c r="AD54" s="22" t="s">
        <v>114</v>
      </c>
      <c r="AE54" s="189"/>
      <c r="AF54" s="189"/>
    </row>
    <row r="55" spans="1:34" ht="19.899999999999999" customHeight="1" x14ac:dyDescent="0.25">
      <c r="A55" s="615"/>
      <c r="B55" s="156">
        <v>1</v>
      </c>
      <c r="C55" s="90" t="s">
        <v>47</v>
      </c>
      <c r="D55" s="16">
        <v>11</v>
      </c>
      <c r="E55" s="91" t="s">
        <v>48</v>
      </c>
      <c r="F55" s="296" t="s">
        <v>49</v>
      </c>
      <c r="G55" s="92" t="s">
        <v>50</v>
      </c>
      <c r="H55" s="92">
        <v>36</v>
      </c>
      <c r="I55" s="92" t="s">
        <v>94</v>
      </c>
      <c r="J55" s="92" t="s">
        <v>173</v>
      </c>
      <c r="K55" s="92" t="s">
        <v>174</v>
      </c>
      <c r="L55" s="92" t="s">
        <v>175</v>
      </c>
      <c r="M55" s="92" t="s">
        <v>176</v>
      </c>
      <c r="N55" s="92" t="s">
        <v>177</v>
      </c>
      <c r="O55" s="92" t="s">
        <v>178</v>
      </c>
      <c r="P55" s="92" t="s">
        <v>179</v>
      </c>
      <c r="Q55" s="92" t="s">
        <v>180</v>
      </c>
      <c r="R55" s="92" t="s">
        <v>181</v>
      </c>
      <c r="S55" s="92" t="s">
        <v>939</v>
      </c>
      <c r="T55" s="92" t="s">
        <v>182</v>
      </c>
      <c r="U55" s="92">
        <v>100</v>
      </c>
      <c r="V55" s="92" t="s">
        <v>183</v>
      </c>
      <c r="W55" s="92" t="s">
        <v>184</v>
      </c>
      <c r="X55" s="92" t="s">
        <v>185</v>
      </c>
      <c r="Y55" s="92" t="s">
        <v>186</v>
      </c>
      <c r="Z55" s="92">
        <v>117</v>
      </c>
      <c r="AA55" s="92">
        <v>118</v>
      </c>
      <c r="AB55" s="92" t="s">
        <v>187</v>
      </c>
      <c r="AC55" s="92">
        <v>125</v>
      </c>
      <c r="AD55" s="93" t="s">
        <v>188</v>
      </c>
      <c r="AE55" s="189"/>
      <c r="AF55" s="189"/>
    </row>
    <row r="56" spans="1:34" ht="30" customHeight="1" outlineLevel="1" x14ac:dyDescent="0.25">
      <c r="A56" s="615"/>
      <c r="B56" s="156">
        <v>1</v>
      </c>
      <c r="C56" s="16">
        <v>9</v>
      </c>
      <c r="D56" s="16">
        <v>1</v>
      </c>
      <c r="E56" s="94">
        <v>13</v>
      </c>
      <c r="F56" s="297">
        <v>2</v>
      </c>
      <c r="G56" s="16">
        <v>9</v>
      </c>
      <c r="H56" s="16">
        <v>1</v>
      </c>
      <c r="I56" s="16">
        <v>2</v>
      </c>
      <c r="J56" s="16">
        <v>6</v>
      </c>
      <c r="K56" s="16">
        <v>4</v>
      </c>
      <c r="L56" s="16">
        <v>5</v>
      </c>
      <c r="M56" s="16">
        <v>9</v>
      </c>
      <c r="N56" s="16">
        <v>8</v>
      </c>
      <c r="O56" s="16">
        <v>3</v>
      </c>
      <c r="P56" s="16">
        <v>8</v>
      </c>
      <c r="Q56" s="16">
        <v>3</v>
      </c>
      <c r="R56" s="16">
        <v>6</v>
      </c>
      <c r="S56" s="16">
        <v>4</v>
      </c>
      <c r="T56" s="16">
        <v>5</v>
      </c>
      <c r="U56" s="16">
        <v>1</v>
      </c>
      <c r="V56" s="16">
        <v>2</v>
      </c>
      <c r="W56" s="16">
        <v>6</v>
      </c>
      <c r="X56" s="16">
        <v>4</v>
      </c>
      <c r="Y56" s="16">
        <v>4</v>
      </c>
      <c r="Z56" s="16">
        <v>1</v>
      </c>
      <c r="AA56" s="16">
        <v>1</v>
      </c>
      <c r="AB56" s="16">
        <v>6</v>
      </c>
      <c r="AC56" s="16">
        <v>1</v>
      </c>
      <c r="AD56" s="23">
        <v>3</v>
      </c>
      <c r="AE56" s="189"/>
      <c r="AF56" s="189"/>
    </row>
    <row r="57" spans="1:34" ht="30" customHeight="1" outlineLevel="1" x14ac:dyDescent="0.25">
      <c r="A57" s="615"/>
      <c r="B57" s="156" t="s">
        <v>1</v>
      </c>
      <c r="C57" s="16" t="s">
        <v>1</v>
      </c>
      <c r="D57" s="16" t="s">
        <v>69</v>
      </c>
      <c r="E57" s="94" t="s">
        <v>69</v>
      </c>
      <c r="F57" s="297" t="s">
        <v>1</v>
      </c>
      <c r="G57" s="16" t="s">
        <v>1</v>
      </c>
      <c r="H57" s="16" t="s">
        <v>69</v>
      </c>
      <c r="I57" s="16" t="s">
        <v>1</v>
      </c>
      <c r="J57" s="16" t="s">
        <v>1</v>
      </c>
      <c r="K57" s="16" t="s">
        <v>1</v>
      </c>
      <c r="L57" s="16" t="s">
        <v>1</v>
      </c>
      <c r="M57" s="143" t="s">
        <v>69</v>
      </c>
      <c r="N57" s="16" t="s">
        <v>69</v>
      </c>
      <c r="O57" s="16" t="s">
        <v>69</v>
      </c>
      <c r="P57" s="16" t="s">
        <v>69</v>
      </c>
      <c r="Q57" s="16" t="s">
        <v>69</v>
      </c>
      <c r="R57" s="16" t="s">
        <v>1</v>
      </c>
      <c r="S57" s="16" t="s">
        <v>1</v>
      </c>
      <c r="T57" s="16" t="s">
        <v>1</v>
      </c>
      <c r="U57" s="16" t="s">
        <v>1</v>
      </c>
      <c r="V57" s="16" t="s">
        <v>1</v>
      </c>
      <c r="W57" s="16" t="s">
        <v>1</v>
      </c>
      <c r="X57" s="16" t="s">
        <v>1</v>
      </c>
      <c r="Y57" s="16" t="s">
        <v>1</v>
      </c>
      <c r="Z57" s="16" t="s">
        <v>69</v>
      </c>
      <c r="AA57" s="16" t="s">
        <v>69</v>
      </c>
      <c r="AB57" s="16" t="s">
        <v>1</v>
      </c>
      <c r="AC57" s="16" t="s">
        <v>69</v>
      </c>
      <c r="AD57" s="227" t="s">
        <v>69</v>
      </c>
      <c r="AE57" s="189"/>
      <c r="AF57" s="189"/>
    </row>
    <row r="58" spans="1:34" ht="30" customHeight="1" outlineLevel="1" x14ac:dyDescent="0.25">
      <c r="A58" s="615"/>
      <c r="B58" s="156" t="s">
        <v>0</v>
      </c>
      <c r="C58" s="16" t="s">
        <v>0</v>
      </c>
      <c r="D58" s="16" t="s">
        <v>4</v>
      </c>
      <c r="E58" s="94" t="s">
        <v>0</v>
      </c>
      <c r="F58" s="29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189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4</v>
      </c>
      <c r="Q58" s="16" t="s">
        <v>4</v>
      </c>
      <c r="R58" s="16" t="s">
        <v>0</v>
      </c>
      <c r="S58" s="16" t="s">
        <v>0</v>
      </c>
      <c r="T58" s="16" t="s">
        <v>0</v>
      </c>
      <c r="U58" s="16" t="s">
        <v>0</v>
      </c>
      <c r="V58" s="16" t="s">
        <v>4</v>
      </c>
      <c r="W58" s="16" t="s">
        <v>4</v>
      </c>
      <c r="X58" s="16" t="s">
        <v>4</v>
      </c>
      <c r="Y58" s="16" t="s">
        <v>0</v>
      </c>
      <c r="Z58" s="16" t="s">
        <v>4</v>
      </c>
      <c r="AA58" s="16" t="s">
        <v>4</v>
      </c>
      <c r="AB58" s="16" t="s">
        <v>4</v>
      </c>
      <c r="AC58" s="16" t="s">
        <v>4</v>
      </c>
      <c r="AD58" s="23" t="s">
        <v>4</v>
      </c>
      <c r="AE58" s="189"/>
      <c r="AF58" s="189"/>
    </row>
    <row r="59" spans="1:34" s="76" customFormat="1" ht="30" customHeight="1" thickBot="1" x14ac:dyDescent="0.3">
      <c r="A59" s="616"/>
      <c r="B59" s="149" t="s">
        <v>10</v>
      </c>
      <c r="C59" s="54" t="s">
        <v>544</v>
      </c>
      <c r="D59" s="55" t="s">
        <v>8</v>
      </c>
      <c r="E59" s="54" t="s">
        <v>198</v>
      </c>
      <c r="F59" s="288">
        <v>77</v>
      </c>
      <c r="G59" s="54">
        <v>250000001</v>
      </c>
      <c r="H59" s="55" t="s">
        <v>11</v>
      </c>
      <c r="I59" s="33" t="s">
        <v>202</v>
      </c>
      <c r="J59" s="54" t="s">
        <v>867</v>
      </c>
      <c r="K59" s="54" t="s">
        <v>871</v>
      </c>
      <c r="L59" s="54" t="s">
        <v>214</v>
      </c>
      <c r="M59" s="54" t="s">
        <v>543</v>
      </c>
      <c r="N59" s="54" t="s">
        <v>417</v>
      </c>
      <c r="O59" s="54" t="s">
        <v>483</v>
      </c>
      <c r="P59" s="54" t="s">
        <v>211</v>
      </c>
      <c r="Q59" s="54" t="s">
        <v>9</v>
      </c>
      <c r="R59" s="54" t="s">
        <v>867</v>
      </c>
      <c r="S59" s="54" t="s">
        <v>872</v>
      </c>
      <c r="T59" s="54" t="s">
        <v>263</v>
      </c>
      <c r="U59" s="54">
        <v>1</v>
      </c>
      <c r="V59" s="55" t="s">
        <v>5</v>
      </c>
      <c r="W59" s="55" t="s">
        <v>208</v>
      </c>
      <c r="X59" s="229" t="s">
        <v>203</v>
      </c>
      <c r="Y59" s="54" t="s">
        <v>610</v>
      </c>
      <c r="Z59" s="55" t="s">
        <v>8</v>
      </c>
      <c r="AA59" s="55" t="s">
        <v>8</v>
      </c>
      <c r="AB59" s="55" t="s">
        <v>208</v>
      </c>
      <c r="AC59" s="33" t="s">
        <v>8</v>
      </c>
      <c r="AD59" s="89" t="s">
        <v>9</v>
      </c>
      <c r="AE59" s="188" t="s">
        <v>589</v>
      </c>
      <c r="AF59" s="190"/>
    </row>
    <row r="60" spans="1:34" s="75" customFormat="1" ht="15.75" outlineLevel="1" thickBot="1" x14ac:dyDescent="0.3">
      <c r="B60" s="150" t="s">
        <v>586</v>
      </c>
      <c r="C60" s="75" t="s">
        <v>586</v>
      </c>
      <c r="D60" s="75" t="s">
        <v>586</v>
      </c>
      <c r="E60" s="75" t="s">
        <v>586</v>
      </c>
      <c r="F60" s="276" t="s">
        <v>586</v>
      </c>
      <c r="G60" s="75" t="s">
        <v>586</v>
      </c>
      <c r="H60" s="75" t="s">
        <v>586</v>
      </c>
      <c r="I60" s="75" t="s">
        <v>586</v>
      </c>
      <c r="J60" s="75" t="s">
        <v>586</v>
      </c>
      <c r="K60" s="75" t="s">
        <v>586</v>
      </c>
      <c r="L60" s="75" t="s">
        <v>586</v>
      </c>
      <c r="M60" s="75" t="s">
        <v>586</v>
      </c>
      <c r="N60" s="75" t="s">
        <v>586</v>
      </c>
      <c r="O60" s="75" t="s">
        <v>586</v>
      </c>
      <c r="P60" s="75" t="s">
        <v>586</v>
      </c>
      <c r="Q60" s="75" t="s">
        <v>586</v>
      </c>
      <c r="R60" s="75" t="s">
        <v>586</v>
      </c>
      <c r="S60" s="75" t="s">
        <v>586</v>
      </c>
      <c r="T60" s="75" t="s">
        <v>586</v>
      </c>
      <c r="U60" s="75" t="s">
        <v>586</v>
      </c>
      <c r="V60" s="75" t="s">
        <v>586</v>
      </c>
      <c r="W60" s="75" t="s">
        <v>586</v>
      </c>
      <c r="X60" s="75" t="s">
        <v>586</v>
      </c>
      <c r="Y60" s="75" t="s">
        <v>586</v>
      </c>
      <c r="Z60" s="75" t="s">
        <v>586</v>
      </c>
      <c r="AA60" s="75" t="s">
        <v>586</v>
      </c>
      <c r="AB60" s="75" t="s">
        <v>586</v>
      </c>
      <c r="AC60" s="75" t="s">
        <v>586</v>
      </c>
      <c r="AD60" s="75" t="s">
        <v>586</v>
      </c>
      <c r="AE60" s="189"/>
      <c r="AF60" s="189"/>
    </row>
    <row r="61" spans="1:34" ht="99.95" customHeight="1" x14ac:dyDescent="0.25">
      <c r="A61" s="622" t="s">
        <v>191</v>
      </c>
      <c r="B61" s="155" t="s">
        <v>13</v>
      </c>
      <c r="C61" s="20" t="s">
        <v>14</v>
      </c>
      <c r="D61" s="20" t="s">
        <v>15</v>
      </c>
      <c r="E61" s="21" t="s">
        <v>16</v>
      </c>
      <c r="F61" s="295" t="s">
        <v>17</v>
      </c>
      <c r="G61" s="20" t="s">
        <v>70</v>
      </c>
      <c r="H61" s="20" t="s">
        <v>113</v>
      </c>
      <c r="I61" s="20" t="s">
        <v>72</v>
      </c>
      <c r="J61" s="20" t="s">
        <v>153</v>
      </c>
      <c r="K61" s="20" t="s">
        <v>154</v>
      </c>
      <c r="L61" s="20" t="s">
        <v>155</v>
      </c>
      <c r="M61" s="20" t="s">
        <v>156</v>
      </c>
      <c r="N61" s="20" t="s">
        <v>157</v>
      </c>
      <c r="O61" s="20" t="s">
        <v>158</v>
      </c>
      <c r="P61" s="20" t="s">
        <v>159</v>
      </c>
      <c r="Q61" s="20" t="s">
        <v>160</v>
      </c>
      <c r="R61" s="20" t="s">
        <v>161</v>
      </c>
      <c r="S61" s="20" t="s">
        <v>162</v>
      </c>
      <c r="T61" s="20" t="s">
        <v>163</v>
      </c>
      <c r="U61" s="20" t="s">
        <v>164</v>
      </c>
      <c r="V61" s="20" t="s">
        <v>165</v>
      </c>
      <c r="W61" s="20" t="s">
        <v>166</v>
      </c>
      <c r="X61" s="20" t="s">
        <v>167</v>
      </c>
      <c r="Y61" s="20" t="s">
        <v>168</v>
      </c>
      <c r="Z61" s="20" t="s">
        <v>169</v>
      </c>
      <c r="AA61" s="20" t="s">
        <v>170</v>
      </c>
      <c r="AB61" s="20" t="s">
        <v>171</v>
      </c>
      <c r="AC61" s="20" t="s">
        <v>172</v>
      </c>
      <c r="AD61" s="22" t="s">
        <v>114</v>
      </c>
      <c r="AE61" s="189"/>
      <c r="AF61" s="189"/>
    </row>
    <row r="62" spans="1:34" ht="19.899999999999999" customHeight="1" x14ac:dyDescent="0.25">
      <c r="A62" s="615"/>
      <c r="B62" s="156">
        <v>1</v>
      </c>
      <c r="C62" s="90" t="s">
        <v>47</v>
      </c>
      <c r="D62" s="16">
        <v>11</v>
      </c>
      <c r="E62" s="91" t="s">
        <v>48</v>
      </c>
      <c r="F62" s="296" t="s">
        <v>49</v>
      </c>
      <c r="G62" s="92" t="s">
        <v>50</v>
      </c>
      <c r="H62" s="92">
        <v>36</v>
      </c>
      <c r="I62" s="92" t="s">
        <v>94</v>
      </c>
      <c r="J62" s="92" t="s">
        <v>173</v>
      </c>
      <c r="K62" s="92" t="s">
        <v>174</v>
      </c>
      <c r="L62" s="92" t="s">
        <v>175</v>
      </c>
      <c r="M62" s="92" t="s">
        <v>176</v>
      </c>
      <c r="N62" s="92" t="s">
        <v>177</v>
      </c>
      <c r="O62" s="92" t="s">
        <v>178</v>
      </c>
      <c r="P62" s="92" t="s">
        <v>179</v>
      </c>
      <c r="Q62" s="92" t="s">
        <v>180</v>
      </c>
      <c r="R62" s="92" t="s">
        <v>181</v>
      </c>
      <c r="S62" s="92" t="s">
        <v>939</v>
      </c>
      <c r="T62" s="92" t="s">
        <v>182</v>
      </c>
      <c r="U62" s="92">
        <v>100</v>
      </c>
      <c r="V62" s="92" t="s">
        <v>183</v>
      </c>
      <c r="W62" s="92" t="s">
        <v>184</v>
      </c>
      <c r="X62" s="92" t="s">
        <v>185</v>
      </c>
      <c r="Y62" s="92" t="s">
        <v>186</v>
      </c>
      <c r="Z62" s="92">
        <v>117</v>
      </c>
      <c r="AA62" s="92">
        <v>118</v>
      </c>
      <c r="AB62" s="92" t="s">
        <v>187</v>
      </c>
      <c r="AC62" s="92">
        <v>125</v>
      </c>
      <c r="AD62" s="93" t="s">
        <v>188</v>
      </c>
      <c r="AE62" s="189"/>
      <c r="AF62" s="189"/>
    </row>
    <row r="63" spans="1:34" ht="30" customHeight="1" outlineLevel="1" x14ac:dyDescent="0.25">
      <c r="A63" s="615"/>
      <c r="B63" s="156">
        <v>1</v>
      </c>
      <c r="C63" s="16">
        <v>9</v>
      </c>
      <c r="D63" s="16">
        <v>1</v>
      </c>
      <c r="E63" s="94">
        <v>13</v>
      </c>
      <c r="F63" s="297">
        <v>2</v>
      </c>
      <c r="G63" s="16">
        <v>9</v>
      </c>
      <c r="H63" s="16">
        <v>1</v>
      </c>
      <c r="I63" s="16">
        <v>2</v>
      </c>
      <c r="J63" s="16">
        <v>6</v>
      </c>
      <c r="K63" s="16">
        <v>4</v>
      </c>
      <c r="L63" s="16">
        <v>5</v>
      </c>
      <c r="M63" s="16">
        <v>9</v>
      </c>
      <c r="N63" s="16">
        <v>8</v>
      </c>
      <c r="O63" s="16">
        <v>3</v>
      </c>
      <c r="P63" s="16">
        <v>8</v>
      </c>
      <c r="Q63" s="16">
        <v>3</v>
      </c>
      <c r="R63" s="16">
        <v>6</v>
      </c>
      <c r="S63" s="16">
        <v>4</v>
      </c>
      <c r="T63" s="16">
        <v>5</v>
      </c>
      <c r="U63" s="16">
        <v>1</v>
      </c>
      <c r="V63" s="16">
        <v>2</v>
      </c>
      <c r="W63" s="16">
        <v>6</v>
      </c>
      <c r="X63" s="16">
        <v>4</v>
      </c>
      <c r="Y63" s="16">
        <v>4</v>
      </c>
      <c r="Z63" s="16">
        <v>1</v>
      </c>
      <c r="AA63" s="16">
        <v>1</v>
      </c>
      <c r="AB63" s="16">
        <v>6</v>
      </c>
      <c r="AC63" s="16">
        <v>1</v>
      </c>
      <c r="AD63" s="23">
        <v>3</v>
      </c>
      <c r="AE63" s="189"/>
      <c r="AF63" s="189"/>
    </row>
    <row r="64" spans="1:34" ht="30" customHeight="1" outlineLevel="1" x14ac:dyDescent="0.25">
      <c r="A64" s="615"/>
      <c r="B64" s="156" t="s">
        <v>1</v>
      </c>
      <c r="C64" s="16" t="s">
        <v>1</v>
      </c>
      <c r="D64" s="16" t="s">
        <v>69</v>
      </c>
      <c r="E64" s="94" t="s">
        <v>69</v>
      </c>
      <c r="F64" s="297" t="s">
        <v>1</v>
      </c>
      <c r="G64" s="16" t="s">
        <v>1</v>
      </c>
      <c r="H64" s="16" t="s">
        <v>69</v>
      </c>
      <c r="I64" s="16" t="s">
        <v>1</v>
      </c>
      <c r="J64" s="16" t="s">
        <v>1</v>
      </c>
      <c r="K64" s="16" t="s">
        <v>1</v>
      </c>
      <c r="L64" s="16" t="s">
        <v>1</v>
      </c>
      <c r="M64" s="143" t="s">
        <v>69</v>
      </c>
      <c r="N64" s="16" t="s">
        <v>69</v>
      </c>
      <c r="O64" s="16" t="s">
        <v>69</v>
      </c>
      <c r="P64" s="16" t="s">
        <v>69</v>
      </c>
      <c r="Q64" s="16" t="s">
        <v>69</v>
      </c>
      <c r="R64" s="16" t="s">
        <v>1</v>
      </c>
      <c r="S64" s="16" t="s">
        <v>1</v>
      </c>
      <c r="T64" s="16" t="s">
        <v>1</v>
      </c>
      <c r="U64" s="16" t="s">
        <v>1</v>
      </c>
      <c r="V64" s="16" t="s">
        <v>1</v>
      </c>
      <c r="W64" s="16" t="s">
        <v>1</v>
      </c>
      <c r="X64" s="16" t="s">
        <v>1</v>
      </c>
      <c r="Y64" s="16" t="s">
        <v>1</v>
      </c>
      <c r="Z64" s="16" t="s">
        <v>69</v>
      </c>
      <c r="AA64" s="16" t="s">
        <v>69</v>
      </c>
      <c r="AB64" s="16" t="s">
        <v>1</v>
      </c>
      <c r="AC64" s="16" t="s">
        <v>69</v>
      </c>
      <c r="AD64" s="227" t="s">
        <v>69</v>
      </c>
      <c r="AE64" s="189"/>
      <c r="AF64" s="189"/>
    </row>
    <row r="65" spans="1:32" ht="30" customHeight="1" outlineLevel="1" x14ac:dyDescent="0.25">
      <c r="A65" s="615"/>
      <c r="B65" s="156" t="s">
        <v>0</v>
      </c>
      <c r="C65" s="16" t="s">
        <v>0</v>
      </c>
      <c r="D65" s="16" t="s">
        <v>4</v>
      </c>
      <c r="E65" s="94" t="s">
        <v>0</v>
      </c>
      <c r="F65" s="29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189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4</v>
      </c>
      <c r="Q65" s="16" t="s">
        <v>4</v>
      </c>
      <c r="R65" s="16" t="s">
        <v>0</v>
      </c>
      <c r="S65" s="16" t="s">
        <v>0</v>
      </c>
      <c r="T65" s="16" t="s">
        <v>0</v>
      </c>
      <c r="U65" s="16" t="s">
        <v>0</v>
      </c>
      <c r="V65" s="16" t="s">
        <v>4</v>
      </c>
      <c r="W65" s="16" t="s">
        <v>4</v>
      </c>
      <c r="X65" s="16" t="s">
        <v>4</v>
      </c>
      <c r="Y65" s="16" t="s">
        <v>0</v>
      </c>
      <c r="Z65" s="16" t="s">
        <v>4</v>
      </c>
      <c r="AA65" s="16" t="s">
        <v>4</v>
      </c>
      <c r="AB65" s="16" t="s">
        <v>4</v>
      </c>
      <c r="AC65" s="16" t="s">
        <v>4</v>
      </c>
      <c r="AD65" s="23" t="s">
        <v>4</v>
      </c>
      <c r="AE65" s="189"/>
      <c r="AF65" s="189"/>
    </row>
    <row r="66" spans="1:32" s="76" customFormat="1" ht="30" customHeight="1" thickBot="1" x14ac:dyDescent="0.3">
      <c r="A66" s="616"/>
      <c r="B66" s="149" t="s">
        <v>10</v>
      </c>
      <c r="C66" s="54" t="s">
        <v>544</v>
      </c>
      <c r="D66" s="55" t="s">
        <v>8</v>
      </c>
      <c r="E66" s="54" t="s">
        <v>198</v>
      </c>
      <c r="F66" s="288">
        <v>77</v>
      </c>
      <c r="G66" s="54">
        <v>250000001</v>
      </c>
      <c r="H66" s="55" t="s">
        <v>11</v>
      </c>
      <c r="I66" s="33" t="s">
        <v>649</v>
      </c>
      <c r="J66" s="54" t="s">
        <v>873</v>
      </c>
      <c r="K66" s="54" t="s">
        <v>874</v>
      </c>
      <c r="L66" s="54" t="s">
        <v>214</v>
      </c>
      <c r="M66" s="54" t="s">
        <v>543</v>
      </c>
      <c r="N66" s="54" t="s">
        <v>484</v>
      </c>
      <c r="O66" s="54" t="s">
        <v>485</v>
      </c>
      <c r="P66" s="54" t="s">
        <v>211</v>
      </c>
      <c r="Q66" s="54" t="s">
        <v>9</v>
      </c>
      <c r="R66" s="54" t="s">
        <v>873</v>
      </c>
      <c r="S66" s="54" t="s">
        <v>875</v>
      </c>
      <c r="T66" s="54" t="s">
        <v>263</v>
      </c>
      <c r="U66" s="54">
        <v>1</v>
      </c>
      <c r="V66" s="55" t="s">
        <v>5</v>
      </c>
      <c r="W66" s="55" t="s">
        <v>208</v>
      </c>
      <c r="X66" s="229" t="s">
        <v>203</v>
      </c>
      <c r="Y66" s="54" t="s">
        <v>610</v>
      </c>
      <c r="Z66" s="55" t="s">
        <v>8</v>
      </c>
      <c r="AA66" s="55" t="s">
        <v>8</v>
      </c>
      <c r="AB66" s="55" t="s">
        <v>208</v>
      </c>
      <c r="AC66" s="33" t="s">
        <v>8</v>
      </c>
      <c r="AD66" s="89" t="s">
        <v>9</v>
      </c>
      <c r="AE66" s="188" t="s">
        <v>589</v>
      </c>
      <c r="AF66" s="191"/>
    </row>
    <row r="67" spans="1:32" s="75" customFormat="1" ht="15.75" outlineLevel="1" thickBot="1" x14ac:dyDescent="0.3">
      <c r="B67" s="150" t="s">
        <v>586</v>
      </c>
      <c r="C67" s="75" t="s">
        <v>586</v>
      </c>
      <c r="D67" s="75" t="s">
        <v>586</v>
      </c>
      <c r="E67" s="75" t="s">
        <v>586</v>
      </c>
      <c r="F67" s="276" t="s">
        <v>586</v>
      </c>
      <c r="G67" s="75" t="s">
        <v>586</v>
      </c>
      <c r="H67" s="75" t="s">
        <v>586</v>
      </c>
      <c r="I67" s="75" t="s">
        <v>586</v>
      </c>
      <c r="J67" s="75" t="s">
        <v>586</v>
      </c>
      <c r="K67" s="75" t="s">
        <v>586</v>
      </c>
      <c r="L67" s="75" t="s">
        <v>586</v>
      </c>
      <c r="M67" s="75" t="s">
        <v>586</v>
      </c>
      <c r="N67" s="75" t="s">
        <v>586</v>
      </c>
      <c r="O67" s="75" t="s">
        <v>586</v>
      </c>
      <c r="P67" s="75" t="s">
        <v>586</v>
      </c>
      <c r="Q67" s="75" t="s">
        <v>586</v>
      </c>
      <c r="R67" s="75" t="s">
        <v>586</v>
      </c>
      <c r="S67" s="75" t="s">
        <v>586</v>
      </c>
      <c r="T67" s="75" t="s">
        <v>586</v>
      </c>
      <c r="U67" s="75" t="s">
        <v>586</v>
      </c>
      <c r="V67" s="75" t="s">
        <v>586</v>
      </c>
      <c r="W67" s="75" t="s">
        <v>586</v>
      </c>
      <c r="X67" s="75" t="s">
        <v>586</v>
      </c>
      <c r="Y67" s="75" t="s">
        <v>586</v>
      </c>
      <c r="Z67" s="75" t="s">
        <v>586</v>
      </c>
      <c r="AA67" s="75" t="s">
        <v>586</v>
      </c>
      <c r="AB67" s="75" t="s">
        <v>586</v>
      </c>
      <c r="AC67" s="75" t="s">
        <v>586</v>
      </c>
      <c r="AD67" s="75" t="s">
        <v>586</v>
      </c>
      <c r="AE67" s="189"/>
      <c r="AF67" s="189"/>
    </row>
    <row r="68" spans="1:32" ht="99.95" customHeight="1" x14ac:dyDescent="0.25">
      <c r="A68" s="622" t="s">
        <v>191</v>
      </c>
      <c r="B68" s="155" t="s">
        <v>13</v>
      </c>
      <c r="C68" s="20" t="s">
        <v>14</v>
      </c>
      <c r="D68" s="20" t="s">
        <v>15</v>
      </c>
      <c r="E68" s="21" t="s">
        <v>16</v>
      </c>
      <c r="F68" s="295" t="s">
        <v>17</v>
      </c>
      <c r="G68" s="20" t="s">
        <v>70</v>
      </c>
      <c r="H68" s="20" t="s">
        <v>113</v>
      </c>
      <c r="I68" s="20" t="s">
        <v>72</v>
      </c>
      <c r="J68" s="20" t="s">
        <v>153</v>
      </c>
      <c r="K68" s="20" t="s">
        <v>154</v>
      </c>
      <c r="L68" s="20" t="s">
        <v>155</v>
      </c>
      <c r="M68" s="20" t="s">
        <v>156</v>
      </c>
      <c r="N68" s="20" t="s">
        <v>157</v>
      </c>
      <c r="O68" s="20" t="s">
        <v>158</v>
      </c>
      <c r="P68" s="20" t="s">
        <v>159</v>
      </c>
      <c r="Q68" s="20" t="s">
        <v>160</v>
      </c>
      <c r="R68" s="20" t="s">
        <v>161</v>
      </c>
      <c r="S68" s="20" t="s">
        <v>162</v>
      </c>
      <c r="T68" s="20" t="s">
        <v>163</v>
      </c>
      <c r="U68" s="20" t="s">
        <v>164</v>
      </c>
      <c r="V68" s="20" t="s">
        <v>165</v>
      </c>
      <c r="W68" s="20" t="s">
        <v>166</v>
      </c>
      <c r="X68" s="20" t="s">
        <v>167</v>
      </c>
      <c r="Y68" s="20" t="s">
        <v>168</v>
      </c>
      <c r="Z68" s="20" t="s">
        <v>169</v>
      </c>
      <c r="AA68" s="20" t="s">
        <v>170</v>
      </c>
      <c r="AB68" s="20" t="s">
        <v>171</v>
      </c>
      <c r="AC68" s="20" t="s">
        <v>172</v>
      </c>
      <c r="AD68" s="22" t="s">
        <v>114</v>
      </c>
      <c r="AE68" s="189"/>
      <c r="AF68" s="189"/>
    </row>
    <row r="69" spans="1:32" ht="19.899999999999999" customHeight="1" x14ac:dyDescent="0.25">
      <c r="A69" s="615"/>
      <c r="B69" s="156">
        <v>1</v>
      </c>
      <c r="C69" s="90" t="s">
        <v>47</v>
      </c>
      <c r="D69" s="16">
        <v>11</v>
      </c>
      <c r="E69" s="91" t="s">
        <v>48</v>
      </c>
      <c r="F69" s="296" t="s">
        <v>49</v>
      </c>
      <c r="G69" s="92" t="s">
        <v>50</v>
      </c>
      <c r="H69" s="92">
        <v>36</v>
      </c>
      <c r="I69" s="92" t="s">
        <v>94</v>
      </c>
      <c r="J69" s="92" t="s">
        <v>173</v>
      </c>
      <c r="K69" s="92" t="s">
        <v>174</v>
      </c>
      <c r="L69" s="92" t="s">
        <v>175</v>
      </c>
      <c r="M69" s="92" t="s">
        <v>176</v>
      </c>
      <c r="N69" s="92" t="s">
        <v>177</v>
      </c>
      <c r="O69" s="92" t="s">
        <v>178</v>
      </c>
      <c r="P69" s="92" t="s">
        <v>179</v>
      </c>
      <c r="Q69" s="92" t="s">
        <v>180</v>
      </c>
      <c r="R69" s="92" t="s">
        <v>181</v>
      </c>
      <c r="S69" s="92" t="s">
        <v>939</v>
      </c>
      <c r="T69" s="92" t="s">
        <v>182</v>
      </c>
      <c r="U69" s="92">
        <v>100</v>
      </c>
      <c r="V69" s="92" t="s">
        <v>183</v>
      </c>
      <c r="W69" s="92" t="s">
        <v>184</v>
      </c>
      <c r="X69" s="92" t="s">
        <v>185</v>
      </c>
      <c r="Y69" s="92" t="s">
        <v>186</v>
      </c>
      <c r="Z69" s="92">
        <v>117</v>
      </c>
      <c r="AA69" s="92">
        <v>118</v>
      </c>
      <c r="AB69" s="92" t="s">
        <v>187</v>
      </c>
      <c r="AC69" s="92">
        <v>125</v>
      </c>
      <c r="AD69" s="93" t="s">
        <v>188</v>
      </c>
      <c r="AE69" s="189"/>
      <c r="AF69" s="189"/>
    </row>
    <row r="70" spans="1:32" ht="30" customHeight="1" outlineLevel="2" x14ac:dyDescent="0.25">
      <c r="A70" s="615"/>
      <c r="B70" s="156">
        <v>1</v>
      </c>
      <c r="C70" s="16">
        <v>9</v>
      </c>
      <c r="D70" s="16">
        <v>1</v>
      </c>
      <c r="E70" s="94">
        <v>13</v>
      </c>
      <c r="F70" s="297">
        <v>2</v>
      </c>
      <c r="G70" s="16">
        <v>9</v>
      </c>
      <c r="H70" s="16">
        <v>1</v>
      </c>
      <c r="I70" s="16">
        <v>2</v>
      </c>
      <c r="J70" s="16">
        <v>6</v>
      </c>
      <c r="K70" s="16">
        <v>4</v>
      </c>
      <c r="L70" s="16">
        <v>5</v>
      </c>
      <c r="M70" s="16">
        <v>9</v>
      </c>
      <c r="N70" s="16">
        <v>8</v>
      </c>
      <c r="O70" s="16">
        <v>3</v>
      </c>
      <c r="P70" s="16">
        <v>8</v>
      </c>
      <c r="Q70" s="16">
        <v>3</v>
      </c>
      <c r="R70" s="16">
        <v>6</v>
      </c>
      <c r="S70" s="16">
        <v>4</v>
      </c>
      <c r="T70" s="16">
        <v>5</v>
      </c>
      <c r="U70" s="16">
        <v>1</v>
      </c>
      <c r="V70" s="16">
        <v>2</v>
      </c>
      <c r="W70" s="16">
        <v>6</v>
      </c>
      <c r="X70" s="16">
        <v>4</v>
      </c>
      <c r="Y70" s="16">
        <v>4</v>
      </c>
      <c r="Z70" s="16">
        <v>1</v>
      </c>
      <c r="AA70" s="16">
        <v>1</v>
      </c>
      <c r="AB70" s="16">
        <v>6</v>
      </c>
      <c r="AC70" s="16">
        <v>1</v>
      </c>
      <c r="AD70" s="23">
        <v>3</v>
      </c>
      <c r="AE70" s="189"/>
      <c r="AF70" s="189"/>
    </row>
    <row r="71" spans="1:32" ht="30" customHeight="1" outlineLevel="2" x14ac:dyDescent="0.25">
      <c r="A71" s="615"/>
      <c r="B71" s="156" t="s">
        <v>1</v>
      </c>
      <c r="C71" s="16" t="s">
        <v>1</v>
      </c>
      <c r="D71" s="16" t="s">
        <v>69</v>
      </c>
      <c r="E71" s="94" t="s">
        <v>69</v>
      </c>
      <c r="F71" s="297" t="s">
        <v>1</v>
      </c>
      <c r="G71" s="16" t="s">
        <v>1</v>
      </c>
      <c r="H71" s="16" t="s">
        <v>69</v>
      </c>
      <c r="I71" s="16" t="s">
        <v>1</v>
      </c>
      <c r="J71" s="16" t="s">
        <v>1</v>
      </c>
      <c r="K71" s="16" t="s">
        <v>1</v>
      </c>
      <c r="L71" s="16" t="s">
        <v>1</v>
      </c>
      <c r="M71" s="143" t="s">
        <v>69</v>
      </c>
      <c r="N71" s="16" t="s">
        <v>69</v>
      </c>
      <c r="O71" s="16" t="s">
        <v>69</v>
      </c>
      <c r="P71" s="16" t="s">
        <v>69</v>
      </c>
      <c r="Q71" s="16" t="s">
        <v>69</v>
      </c>
      <c r="R71" s="16" t="s">
        <v>1</v>
      </c>
      <c r="S71" s="16" t="s">
        <v>1</v>
      </c>
      <c r="T71" s="16" t="s">
        <v>1</v>
      </c>
      <c r="U71" s="16" t="s">
        <v>1</v>
      </c>
      <c r="V71" s="16" t="s">
        <v>1</v>
      </c>
      <c r="W71" s="16" t="s">
        <v>1</v>
      </c>
      <c r="X71" s="16" t="s">
        <v>1</v>
      </c>
      <c r="Y71" s="16" t="s">
        <v>1</v>
      </c>
      <c r="Z71" s="16" t="s">
        <v>69</v>
      </c>
      <c r="AA71" s="16" t="s">
        <v>69</v>
      </c>
      <c r="AB71" s="16" t="s">
        <v>1</v>
      </c>
      <c r="AC71" s="16" t="s">
        <v>69</v>
      </c>
      <c r="AD71" s="227" t="s">
        <v>69</v>
      </c>
      <c r="AE71" s="189"/>
      <c r="AF71" s="189"/>
    </row>
    <row r="72" spans="1:32" ht="30" customHeight="1" outlineLevel="2" x14ac:dyDescent="0.25">
      <c r="A72" s="615"/>
      <c r="B72" s="156" t="s">
        <v>0</v>
      </c>
      <c r="C72" s="16" t="s">
        <v>0</v>
      </c>
      <c r="D72" s="16" t="s">
        <v>4</v>
      </c>
      <c r="E72" s="94" t="s">
        <v>0</v>
      </c>
      <c r="F72" s="297" t="s">
        <v>0</v>
      </c>
      <c r="G72" s="16" t="s">
        <v>0</v>
      </c>
      <c r="H72" s="16" t="s">
        <v>0</v>
      </c>
      <c r="I72" s="16" t="s">
        <v>0</v>
      </c>
      <c r="J72" s="16" t="s">
        <v>0</v>
      </c>
      <c r="K72" s="16" t="s">
        <v>189</v>
      </c>
      <c r="L72" s="16" t="s">
        <v>0</v>
      </c>
      <c r="M72" s="16" t="s">
        <v>0</v>
      </c>
      <c r="N72" s="16" t="s">
        <v>0</v>
      </c>
      <c r="O72" s="16" t="s">
        <v>0</v>
      </c>
      <c r="P72" s="16" t="s">
        <v>4</v>
      </c>
      <c r="Q72" s="16" t="s">
        <v>4</v>
      </c>
      <c r="R72" s="16" t="s">
        <v>0</v>
      </c>
      <c r="S72" s="16" t="s">
        <v>0</v>
      </c>
      <c r="T72" s="16" t="s">
        <v>0</v>
      </c>
      <c r="U72" s="16" t="s">
        <v>0</v>
      </c>
      <c r="V72" s="16" t="s">
        <v>4</v>
      </c>
      <c r="W72" s="16" t="s">
        <v>4</v>
      </c>
      <c r="X72" s="16" t="s">
        <v>4</v>
      </c>
      <c r="Y72" s="16" t="s">
        <v>0</v>
      </c>
      <c r="Z72" s="16" t="s">
        <v>4</v>
      </c>
      <c r="AA72" s="16" t="s">
        <v>4</v>
      </c>
      <c r="AB72" s="16" t="s">
        <v>4</v>
      </c>
      <c r="AC72" s="16" t="s">
        <v>4</v>
      </c>
      <c r="AD72" s="23" t="s">
        <v>4</v>
      </c>
      <c r="AE72" s="189"/>
      <c r="AF72" s="189"/>
    </row>
    <row r="73" spans="1:32" s="76" customFormat="1" ht="30" customHeight="1" thickBot="1" x14ac:dyDescent="0.3">
      <c r="A73" s="616"/>
      <c r="B73" s="149" t="s">
        <v>10</v>
      </c>
      <c r="C73" s="54" t="s">
        <v>544</v>
      </c>
      <c r="D73" s="55" t="s">
        <v>8</v>
      </c>
      <c r="E73" s="54" t="s">
        <v>198</v>
      </c>
      <c r="F73" s="288">
        <v>77</v>
      </c>
      <c r="G73" s="54">
        <v>250000001</v>
      </c>
      <c r="H73" s="55" t="s">
        <v>11</v>
      </c>
      <c r="I73" s="33" t="s">
        <v>749</v>
      </c>
      <c r="J73" s="54" t="s">
        <v>876</v>
      </c>
      <c r="K73" s="54" t="s">
        <v>877</v>
      </c>
      <c r="L73" s="54" t="s">
        <v>214</v>
      </c>
      <c r="M73" s="54" t="s">
        <v>543</v>
      </c>
      <c r="N73" s="54" t="s">
        <v>486</v>
      </c>
      <c r="O73" s="54" t="s">
        <v>487</v>
      </c>
      <c r="P73" s="54" t="s">
        <v>211</v>
      </c>
      <c r="Q73" s="54" t="s">
        <v>9</v>
      </c>
      <c r="R73" s="54" t="s">
        <v>876</v>
      </c>
      <c r="S73" s="54" t="s">
        <v>878</v>
      </c>
      <c r="T73" s="54" t="s">
        <v>263</v>
      </c>
      <c r="U73" s="54">
        <v>1</v>
      </c>
      <c r="V73" s="55" t="s">
        <v>5</v>
      </c>
      <c r="W73" s="55" t="s">
        <v>208</v>
      </c>
      <c r="X73" s="229" t="s">
        <v>203</v>
      </c>
      <c r="Y73" s="54" t="s">
        <v>610</v>
      </c>
      <c r="Z73" s="55" t="s">
        <v>8</v>
      </c>
      <c r="AA73" s="55" t="s">
        <v>8</v>
      </c>
      <c r="AB73" s="55" t="s">
        <v>208</v>
      </c>
      <c r="AC73" s="33" t="s">
        <v>8</v>
      </c>
      <c r="AD73" s="89" t="s">
        <v>9</v>
      </c>
      <c r="AE73" s="188" t="s">
        <v>589</v>
      </c>
      <c r="AF73" s="191"/>
    </row>
    <row r="74" spans="1:32" s="75" customFormat="1" ht="15.75" outlineLevel="1" thickBot="1" x14ac:dyDescent="0.3">
      <c r="B74" s="150" t="s">
        <v>586</v>
      </c>
      <c r="C74" s="75" t="s">
        <v>586</v>
      </c>
      <c r="D74" s="75" t="s">
        <v>586</v>
      </c>
      <c r="E74" s="75" t="s">
        <v>586</v>
      </c>
      <c r="F74" s="276" t="s">
        <v>586</v>
      </c>
      <c r="G74" s="75" t="s">
        <v>586</v>
      </c>
      <c r="H74" s="75" t="s">
        <v>586</v>
      </c>
      <c r="I74" s="75" t="s">
        <v>586</v>
      </c>
      <c r="J74" s="75" t="s">
        <v>586</v>
      </c>
      <c r="K74" s="75" t="s">
        <v>586</v>
      </c>
      <c r="L74" s="75" t="s">
        <v>586</v>
      </c>
      <c r="M74" s="75" t="s">
        <v>586</v>
      </c>
      <c r="N74" s="75" t="s">
        <v>586</v>
      </c>
      <c r="O74" s="75" t="s">
        <v>586</v>
      </c>
      <c r="P74" s="75" t="s">
        <v>586</v>
      </c>
      <c r="Q74" s="75" t="s">
        <v>586</v>
      </c>
      <c r="R74" s="75" t="s">
        <v>586</v>
      </c>
      <c r="S74" s="75" t="s">
        <v>586</v>
      </c>
      <c r="T74" s="75" t="s">
        <v>586</v>
      </c>
      <c r="U74" s="75" t="s">
        <v>586</v>
      </c>
      <c r="V74" s="75" t="s">
        <v>586</v>
      </c>
      <c r="W74" s="75" t="s">
        <v>586</v>
      </c>
      <c r="X74" s="75" t="s">
        <v>586</v>
      </c>
      <c r="Y74" s="75" t="s">
        <v>586</v>
      </c>
      <c r="Z74" s="75" t="s">
        <v>586</v>
      </c>
      <c r="AA74" s="75" t="s">
        <v>586</v>
      </c>
      <c r="AB74" s="75" t="s">
        <v>586</v>
      </c>
      <c r="AC74" s="75" t="s">
        <v>586</v>
      </c>
      <c r="AD74" s="75" t="s">
        <v>586</v>
      </c>
      <c r="AE74" s="189"/>
      <c r="AF74" s="189"/>
    </row>
    <row r="75" spans="1:32" ht="99.95" customHeight="1" x14ac:dyDescent="0.25">
      <c r="A75" s="622" t="s">
        <v>191</v>
      </c>
      <c r="B75" s="155" t="s">
        <v>13</v>
      </c>
      <c r="C75" s="20" t="s">
        <v>14</v>
      </c>
      <c r="D75" s="20" t="s">
        <v>15</v>
      </c>
      <c r="E75" s="21" t="s">
        <v>16</v>
      </c>
      <c r="F75" s="295" t="s">
        <v>17</v>
      </c>
      <c r="G75" s="20" t="s">
        <v>70</v>
      </c>
      <c r="H75" s="20" t="s">
        <v>113</v>
      </c>
      <c r="I75" s="20" t="s">
        <v>72</v>
      </c>
      <c r="J75" s="20" t="s">
        <v>153</v>
      </c>
      <c r="K75" s="20" t="s">
        <v>154</v>
      </c>
      <c r="L75" s="20" t="s">
        <v>155</v>
      </c>
      <c r="M75" s="20" t="s">
        <v>156</v>
      </c>
      <c r="N75" s="20" t="s">
        <v>157</v>
      </c>
      <c r="O75" s="20" t="s">
        <v>158</v>
      </c>
      <c r="P75" s="20" t="s">
        <v>159</v>
      </c>
      <c r="Q75" s="20" t="s">
        <v>160</v>
      </c>
      <c r="R75" s="20" t="s">
        <v>161</v>
      </c>
      <c r="S75" s="20" t="s">
        <v>162</v>
      </c>
      <c r="T75" s="20" t="s">
        <v>163</v>
      </c>
      <c r="U75" s="20" t="s">
        <v>164</v>
      </c>
      <c r="V75" s="20" t="s">
        <v>165</v>
      </c>
      <c r="W75" s="20" t="s">
        <v>166</v>
      </c>
      <c r="X75" s="20" t="s">
        <v>167</v>
      </c>
      <c r="Y75" s="20" t="s">
        <v>168</v>
      </c>
      <c r="Z75" s="20" t="s">
        <v>169</v>
      </c>
      <c r="AA75" s="20" t="s">
        <v>170</v>
      </c>
      <c r="AB75" s="20" t="s">
        <v>171</v>
      </c>
      <c r="AC75" s="20" t="s">
        <v>172</v>
      </c>
      <c r="AD75" s="22" t="s">
        <v>114</v>
      </c>
      <c r="AE75" s="189"/>
      <c r="AF75" s="189"/>
    </row>
    <row r="76" spans="1:32" ht="19.899999999999999" customHeight="1" x14ac:dyDescent="0.25">
      <c r="A76" s="615"/>
      <c r="B76" s="156">
        <v>1</v>
      </c>
      <c r="C76" s="90" t="s">
        <v>47</v>
      </c>
      <c r="D76" s="16">
        <v>11</v>
      </c>
      <c r="E76" s="91" t="s">
        <v>48</v>
      </c>
      <c r="F76" s="296" t="s">
        <v>49</v>
      </c>
      <c r="G76" s="92" t="s">
        <v>50</v>
      </c>
      <c r="H76" s="92">
        <v>36</v>
      </c>
      <c r="I76" s="92" t="s">
        <v>94</v>
      </c>
      <c r="J76" s="92" t="s">
        <v>173</v>
      </c>
      <c r="K76" s="92" t="s">
        <v>174</v>
      </c>
      <c r="L76" s="92" t="s">
        <v>175</v>
      </c>
      <c r="M76" s="92" t="s">
        <v>176</v>
      </c>
      <c r="N76" s="92" t="s">
        <v>177</v>
      </c>
      <c r="O76" s="92" t="s">
        <v>178</v>
      </c>
      <c r="P76" s="92" t="s">
        <v>179</v>
      </c>
      <c r="Q76" s="92" t="s">
        <v>180</v>
      </c>
      <c r="R76" s="92" t="s">
        <v>181</v>
      </c>
      <c r="S76" s="92" t="s">
        <v>939</v>
      </c>
      <c r="T76" s="92" t="s">
        <v>182</v>
      </c>
      <c r="U76" s="92">
        <v>100</v>
      </c>
      <c r="V76" s="92" t="s">
        <v>183</v>
      </c>
      <c r="W76" s="92" t="s">
        <v>184</v>
      </c>
      <c r="X76" s="92" t="s">
        <v>185</v>
      </c>
      <c r="Y76" s="92" t="s">
        <v>186</v>
      </c>
      <c r="Z76" s="92">
        <v>117</v>
      </c>
      <c r="AA76" s="92">
        <v>118</v>
      </c>
      <c r="AB76" s="92" t="s">
        <v>187</v>
      </c>
      <c r="AC76" s="92">
        <v>125</v>
      </c>
      <c r="AD76" s="93" t="s">
        <v>188</v>
      </c>
      <c r="AE76" s="189"/>
      <c r="AF76" s="189"/>
    </row>
    <row r="77" spans="1:32" ht="30" customHeight="1" outlineLevel="1" x14ac:dyDescent="0.25">
      <c r="A77" s="615"/>
      <c r="B77" s="156">
        <v>1</v>
      </c>
      <c r="C77" s="16">
        <v>9</v>
      </c>
      <c r="D77" s="16">
        <v>1</v>
      </c>
      <c r="E77" s="94">
        <v>13</v>
      </c>
      <c r="F77" s="297">
        <v>2</v>
      </c>
      <c r="G77" s="16">
        <v>9</v>
      </c>
      <c r="H77" s="16">
        <v>1</v>
      </c>
      <c r="I77" s="16">
        <v>2</v>
      </c>
      <c r="J77" s="16">
        <v>6</v>
      </c>
      <c r="K77" s="16">
        <v>4</v>
      </c>
      <c r="L77" s="16">
        <v>5</v>
      </c>
      <c r="M77" s="16">
        <v>9</v>
      </c>
      <c r="N77" s="16">
        <v>8</v>
      </c>
      <c r="O77" s="16">
        <v>3</v>
      </c>
      <c r="P77" s="16">
        <v>8</v>
      </c>
      <c r="Q77" s="16">
        <v>3</v>
      </c>
      <c r="R77" s="16">
        <v>6</v>
      </c>
      <c r="S77" s="16">
        <v>4</v>
      </c>
      <c r="T77" s="16">
        <v>5</v>
      </c>
      <c r="U77" s="16">
        <v>1</v>
      </c>
      <c r="V77" s="16">
        <v>2</v>
      </c>
      <c r="W77" s="16">
        <v>6</v>
      </c>
      <c r="X77" s="16">
        <v>4</v>
      </c>
      <c r="Y77" s="16">
        <v>4</v>
      </c>
      <c r="Z77" s="16">
        <v>1</v>
      </c>
      <c r="AA77" s="16">
        <v>1</v>
      </c>
      <c r="AB77" s="16">
        <v>6</v>
      </c>
      <c r="AC77" s="16">
        <v>1</v>
      </c>
      <c r="AD77" s="23">
        <v>3</v>
      </c>
      <c r="AE77" s="189"/>
      <c r="AF77" s="189"/>
    </row>
    <row r="78" spans="1:32" ht="30" customHeight="1" outlineLevel="1" x14ac:dyDescent="0.25">
      <c r="A78" s="615"/>
      <c r="B78" s="156" t="s">
        <v>1</v>
      </c>
      <c r="C78" s="16" t="s">
        <v>1</v>
      </c>
      <c r="D78" s="16" t="s">
        <v>69</v>
      </c>
      <c r="E78" s="94" t="s">
        <v>69</v>
      </c>
      <c r="F78" s="297" t="s">
        <v>1</v>
      </c>
      <c r="G78" s="16" t="s">
        <v>1</v>
      </c>
      <c r="H78" s="16" t="s">
        <v>69</v>
      </c>
      <c r="I78" s="16" t="s">
        <v>1</v>
      </c>
      <c r="J78" s="16" t="s">
        <v>1</v>
      </c>
      <c r="K78" s="16" t="s">
        <v>1</v>
      </c>
      <c r="L78" s="16" t="s">
        <v>1</v>
      </c>
      <c r="M78" s="143" t="s">
        <v>69</v>
      </c>
      <c r="N78" s="16" t="s">
        <v>69</v>
      </c>
      <c r="O78" s="16" t="s">
        <v>69</v>
      </c>
      <c r="P78" s="16" t="s">
        <v>69</v>
      </c>
      <c r="Q78" s="16" t="s">
        <v>69</v>
      </c>
      <c r="R78" s="16" t="s">
        <v>1</v>
      </c>
      <c r="S78" s="16" t="s">
        <v>1</v>
      </c>
      <c r="T78" s="16" t="s">
        <v>1</v>
      </c>
      <c r="U78" s="16" t="s">
        <v>1</v>
      </c>
      <c r="V78" s="16" t="s">
        <v>1</v>
      </c>
      <c r="W78" s="16" t="s">
        <v>1</v>
      </c>
      <c r="X78" s="16" t="s">
        <v>1</v>
      </c>
      <c r="Y78" s="16" t="s">
        <v>1</v>
      </c>
      <c r="Z78" s="16" t="s">
        <v>69</v>
      </c>
      <c r="AA78" s="16" t="s">
        <v>69</v>
      </c>
      <c r="AB78" s="16" t="s">
        <v>1</v>
      </c>
      <c r="AC78" s="16" t="s">
        <v>69</v>
      </c>
      <c r="AD78" s="227" t="s">
        <v>69</v>
      </c>
      <c r="AE78" s="189"/>
      <c r="AF78" s="189"/>
    </row>
    <row r="79" spans="1:32" ht="30" customHeight="1" outlineLevel="1" x14ac:dyDescent="0.25">
      <c r="A79" s="615"/>
      <c r="B79" s="156" t="s">
        <v>0</v>
      </c>
      <c r="C79" s="16" t="s">
        <v>0</v>
      </c>
      <c r="D79" s="16" t="s">
        <v>4</v>
      </c>
      <c r="E79" s="94" t="s">
        <v>0</v>
      </c>
      <c r="F79" s="29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189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4</v>
      </c>
      <c r="Q79" s="16" t="s">
        <v>4</v>
      </c>
      <c r="R79" s="16" t="s">
        <v>0</v>
      </c>
      <c r="S79" s="16" t="s">
        <v>0</v>
      </c>
      <c r="T79" s="16" t="s">
        <v>0</v>
      </c>
      <c r="U79" s="16" t="s">
        <v>0</v>
      </c>
      <c r="V79" s="16" t="s">
        <v>4</v>
      </c>
      <c r="W79" s="16" t="s">
        <v>4</v>
      </c>
      <c r="X79" s="16" t="s">
        <v>4</v>
      </c>
      <c r="Y79" s="16" t="s">
        <v>0</v>
      </c>
      <c r="Z79" s="16" t="s">
        <v>4</v>
      </c>
      <c r="AA79" s="16" t="s">
        <v>4</v>
      </c>
      <c r="AB79" s="16" t="s">
        <v>4</v>
      </c>
      <c r="AC79" s="16" t="s">
        <v>4</v>
      </c>
      <c r="AD79" s="23" t="s">
        <v>4</v>
      </c>
      <c r="AE79" s="189"/>
      <c r="AF79" s="189"/>
    </row>
    <row r="80" spans="1:32" s="76" customFormat="1" ht="30" customHeight="1" thickBot="1" x14ac:dyDescent="0.3">
      <c r="A80" s="616"/>
      <c r="B80" s="149" t="s">
        <v>10</v>
      </c>
      <c r="C80" s="54" t="s">
        <v>544</v>
      </c>
      <c r="D80" s="55" t="s">
        <v>8</v>
      </c>
      <c r="E80" s="54" t="s">
        <v>198</v>
      </c>
      <c r="F80" s="288">
        <v>77</v>
      </c>
      <c r="G80" s="54">
        <v>250000001</v>
      </c>
      <c r="H80" s="55" t="s">
        <v>11</v>
      </c>
      <c r="I80" s="33" t="s">
        <v>767</v>
      </c>
      <c r="J80" s="54" t="s">
        <v>879</v>
      </c>
      <c r="K80" s="54" t="s">
        <v>880</v>
      </c>
      <c r="L80" s="54" t="s">
        <v>214</v>
      </c>
      <c r="M80" s="54" t="s">
        <v>543</v>
      </c>
      <c r="N80" s="54" t="s">
        <v>488</v>
      </c>
      <c r="O80" s="54" t="s">
        <v>489</v>
      </c>
      <c r="P80" s="54" t="s">
        <v>211</v>
      </c>
      <c r="Q80" s="54" t="s">
        <v>9</v>
      </c>
      <c r="R80" s="54" t="s">
        <v>879</v>
      </c>
      <c r="S80" s="54" t="s">
        <v>881</v>
      </c>
      <c r="T80" s="54" t="s">
        <v>263</v>
      </c>
      <c r="U80" s="54">
        <v>1</v>
      </c>
      <c r="V80" s="55" t="s">
        <v>5</v>
      </c>
      <c r="W80" s="55" t="s">
        <v>208</v>
      </c>
      <c r="X80" s="229" t="s">
        <v>203</v>
      </c>
      <c r="Y80" s="54" t="s">
        <v>610</v>
      </c>
      <c r="Z80" s="55" t="s">
        <v>8</v>
      </c>
      <c r="AA80" s="55" t="s">
        <v>8</v>
      </c>
      <c r="AB80" s="55" t="s">
        <v>208</v>
      </c>
      <c r="AC80" s="33" t="s">
        <v>8</v>
      </c>
      <c r="AD80" s="89" t="s">
        <v>9</v>
      </c>
      <c r="AE80" s="188" t="s">
        <v>589</v>
      </c>
      <c r="AF80" s="191"/>
    </row>
    <row r="81" spans="1:35" s="75" customFormat="1" ht="15.75" outlineLevel="1" thickBot="1" x14ac:dyDescent="0.3">
      <c r="B81" s="150" t="s">
        <v>586</v>
      </c>
      <c r="C81" s="75" t="s">
        <v>586</v>
      </c>
      <c r="D81" s="75" t="s">
        <v>586</v>
      </c>
      <c r="E81" s="75" t="s">
        <v>586</v>
      </c>
      <c r="F81" s="276" t="s">
        <v>586</v>
      </c>
      <c r="G81" s="75" t="s">
        <v>586</v>
      </c>
      <c r="H81" s="75" t="s">
        <v>586</v>
      </c>
      <c r="I81" s="75" t="s">
        <v>586</v>
      </c>
      <c r="J81" s="75" t="s">
        <v>586</v>
      </c>
      <c r="K81" s="75" t="s">
        <v>586</v>
      </c>
      <c r="L81" s="75" t="s">
        <v>586</v>
      </c>
      <c r="M81" s="75" t="s">
        <v>586</v>
      </c>
      <c r="N81" s="75" t="s">
        <v>586</v>
      </c>
      <c r="O81" s="75" t="s">
        <v>586</v>
      </c>
      <c r="P81" s="75" t="s">
        <v>586</v>
      </c>
      <c r="Q81" s="75" t="s">
        <v>586</v>
      </c>
      <c r="R81" s="75" t="s">
        <v>586</v>
      </c>
      <c r="S81" s="75" t="s">
        <v>586</v>
      </c>
      <c r="T81" s="75" t="s">
        <v>586</v>
      </c>
      <c r="U81" s="75" t="s">
        <v>586</v>
      </c>
      <c r="V81" s="75" t="s">
        <v>586</v>
      </c>
      <c r="W81" s="75" t="s">
        <v>586</v>
      </c>
      <c r="X81" s="75" t="s">
        <v>586</v>
      </c>
      <c r="Y81" s="75" t="s">
        <v>586</v>
      </c>
      <c r="Z81" s="75" t="s">
        <v>586</v>
      </c>
      <c r="AA81" s="75" t="s">
        <v>586</v>
      </c>
      <c r="AB81" s="75" t="s">
        <v>586</v>
      </c>
      <c r="AC81" s="75" t="s">
        <v>586</v>
      </c>
      <c r="AD81" s="75" t="s">
        <v>586</v>
      </c>
    </row>
    <row r="82" spans="1:35" ht="100.15" customHeight="1" x14ac:dyDescent="0.25">
      <c r="A82" s="620" t="s">
        <v>914</v>
      </c>
      <c r="B82" s="151" t="s">
        <v>13</v>
      </c>
      <c r="C82" s="40" t="s">
        <v>14</v>
      </c>
      <c r="D82" s="40" t="s">
        <v>15</v>
      </c>
      <c r="E82" s="41" t="s">
        <v>16</v>
      </c>
      <c r="F82" s="289" t="s">
        <v>17</v>
      </c>
      <c r="G82" s="40" t="s">
        <v>70</v>
      </c>
      <c r="H82" s="40" t="s">
        <v>71</v>
      </c>
      <c r="I82" s="40" t="s">
        <v>72</v>
      </c>
      <c r="J82" s="40" t="s">
        <v>2</v>
      </c>
      <c r="K82" s="40" t="s">
        <v>73</v>
      </c>
      <c r="L82" s="42" t="s">
        <v>74</v>
      </c>
      <c r="M82" s="42" t="s">
        <v>75</v>
      </c>
      <c r="N82" s="40" t="s">
        <v>76</v>
      </c>
      <c r="O82" s="40" t="s">
        <v>77</v>
      </c>
      <c r="P82" s="40" t="s">
        <v>78</v>
      </c>
      <c r="Q82" s="40" t="s">
        <v>79</v>
      </c>
      <c r="R82" s="40" t="s">
        <v>80</v>
      </c>
      <c r="S82" s="40" t="s">
        <v>81</v>
      </c>
      <c r="T82" s="40" t="s">
        <v>82</v>
      </c>
      <c r="U82" s="40" t="s">
        <v>83</v>
      </c>
      <c r="V82" s="40" t="s">
        <v>84</v>
      </c>
      <c r="W82" s="40" t="s">
        <v>3</v>
      </c>
      <c r="X82" s="40" t="s">
        <v>85</v>
      </c>
      <c r="Y82" s="40" t="s">
        <v>86</v>
      </c>
      <c r="Z82" s="40" t="s">
        <v>87</v>
      </c>
      <c r="AA82" s="40" t="s">
        <v>88</v>
      </c>
      <c r="AB82" s="40" t="s">
        <v>89</v>
      </c>
      <c r="AC82" s="40" t="s">
        <v>90</v>
      </c>
      <c r="AD82" s="40" t="s">
        <v>91</v>
      </c>
      <c r="AE82" s="40" t="s">
        <v>92</v>
      </c>
      <c r="AF82" s="43" t="s">
        <v>93</v>
      </c>
    </row>
    <row r="83" spans="1:35" ht="19.899999999999999" customHeight="1" x14ac:dyDescent="0.25">
      <c r="A83" s="615"/>
      <c r="B83" s="152">
        <v>1</v>
      </c>
      <c r="C83" s="44" t="s">
        <v>47</v>
      </c>
      <c r="D83" s="45">
        <v>11</v>
      </c>
      <c r="E83" s="46" t="s">
        <v>48</v>
      </c>
      <c r="F83" s="290" t="s">
        <v>49</v>
      </c>
      <c r="G83" s="47" t="s">
        <v>50</v>
      </c>
      <c r="H83" s="47">
        <v>36</v>
      </c>
      <c r="I83" s="47" t="s">
        <v>94</v>
      </c>
      <c r="J83" s="47" t="s">
        <v>95</v>
      </c>
      <c r="K83" s="47" t="s">
        <v>96</v>
      </c>
      <c r="L83" s="48" t="s">
        <v>97</v>
      </c>
      <c r="M83" s="48" t="s">
        <v>98</v>
      </c>
      <c r="N83" s="47" t="s">
        <v>99</v>
      </c>
      <c r="O83" s="47">
        <v>53</v>
      </c>
      <c r="P83" s="47">
        <v>54</v>
      </c>
      <c r="Q83" s="47" t="s">
        <v>913</v>
      </c>
      <c r="R83" s="47" t="s">
        <v>100</v>
      </c>
      <c r="S83" s="47" t="s">
        <v>101</v>
      </c>
      <c r="T83" s="47" t="s">
        <v>57</v>
      </c>
      <c r="U83" s="47" t="s">
        <v>102</v>
      </c>
      <c r="V83" s="47" t="s">
        <v>103</v>
      </c>
      <c r="W83" s="47" t="s">
        <v>104</v>
      </c>
      <c r="X83" s="47" t="s">
        <v>105</v>
      </c>
      <c r="Y83" s="47" t="s">
        <v>106</v>
      </c>
      <c r="Z83" s="47" t="s">
        <v>107</v>
      </c>
      <c r="AA83" s="47" t="s">
        <v>108</v>
      </c>
      <c r="AB83" s="45" t="s">
        <v>109</v>
      </c>
      <c r="AC83" s="47" t="s">
        <v>110</v>
      </c>
      <c r="AD83" s="45">
        <v>120</v>
      </c>
      <c r="AE83" s="45">
        <v>121</v>
      </c>
      <c r="AF83" s="49" t="s">
        <v>111</v>
      </c>
    </row>
    <row r="84" spans="1:35" ht="30" customHeight="1" outlineLevel="1" x14ac:dyDescent="0.25">
      <c r="A84" s="615"/>
      <c r="B84" s="152">
        <v>1</v>
      </c>
      <c r="C84" s="45">
        <v>9</v>
      </c>
      <c r="D84" s="45">
        <v>1</v>
      </c>
      <c r="E84" s="50">
        <v>13</v>
      </c>
      <c r="F84" s="291">
        <v>2</v>
      </c>
      <c r="G84" s="45">
        <v>9</v>
      </c>
      <c r="H84" s="45">
        <v>1</v>
      </c>
      <c r="I84" s="45">
        <v>2</v>
      </c>
      <c r="J84" s="45">
        <v>2</v>
      </c>
      <c r="K84" s="45">
        <v>3</v>
      </c>
      <c r="L84" s="51">
        <v>6</v>
      </c>
      <c r="M84" s="51">
        <v>1</v>
      </c>
      <c r="N84" s="45">
        <v>2</v>
      </c>
      <c r="O84" s="45">
        <v>1</v>
      </c>
      <c r="P84" s="45">
        <v>1</v>
      </c>
      <c r="Q84" s="45">
        <v>9</v>
      </c>
      <c r="R84" s="45">
        <v>2</v>
      </c>
      <c r="S84" s="45">
        <v>2</v>
      </c>
      <c r="T84" s="45">
        <v>6</v>
      </c>
      <c r="U84" s="45">
        <v>5</v>
      </c>
      <c r="V84" s="45">
        <v>2</v>
      </c>
      <c r="W84" s="45">
        <v>6</v>
      </c>
      <c r="X84" s="45">
        <v>2</v>
      </c>
      <c r="Y84" s="45">
        <v>7</v>
      </c>
      <c r="Z84" s="45">
        <v>7</v>
      </c>
      <c r="AA84" s="45">
        <v>3</v>
      </c>
      <c r="AB84" s="45">
        <v>7</v>
      </c>
      <c r="AC84" s="45">
        <v>7</v>
      </c>
      <c r="AD84" s="45">
        <v>1</v>
      </c>
      <c r="AE84" s="45">
        <v>1</v>
      </c>
      <c r="AF84" s="49">
        <v>7</v>
      </c>
    </row>
    <row r="85" spans="1:35" ht="30" customHeight="1" outlineLevel="1" x14ac:dyDescent="0.25">
      <c r="A85" s="615"/>
      <c r="B85" s="152" t="s">
        <v>1</v>
      </c>
      <c r="C85" s="45" t="s">
        <v>1</v>
      </c>
      <c r="D85" s="45" t="s">
        <v>69</v>
      </c>
      <c r="E85" s="50" t="s">
        <v>69</v>
      </c>
      <c r="F85" s="291" t="s">
        <v>1</v>
      </c>
      <c r="G85" s="45" t="s">
        <v>1</v>
      </c>
      <c r="H85" s="45" t="s">
        <v>69</v>
      </c>
      <c r="I85" s="45" t="s">
        <v>1</v>
      </c>
      <c r="J85" s="45" t="s">
        <v>1</v>
      </c>
      <c r="K85" s="45" t="s">
        <v>1</v>
      </c>
      <c r="L85" s="52" t="s">
        <v>1</v>
      </c>
      <c r="M85" s="52" t="s">
        <v>1</v>
      </c>
      <c r="N85" s="45" t="s">
        <v>69</v>
      </c>
      <c r="O85" s="45" t="s">
        <v>69</v>
      </c>
      <c r="P85" s="53" t="s">
        <v>69</v>
      </c>
      <c r="Q85" s="45" t="s">
        <v>1</v>
      </c>
      <c r="R85" s="45" t="s">
        <v>1</v>
      </c>
      <c r="S85" s="45" t="s">
        <v>1</v>
      </c>
      <c r="T85" s="45" t="s">
        <v>1</v>
      </c>
      <c r="U85" s="45" t="s">
        <v>69</v>
      </c>
      <c r="V85" s="45" t="s">
        <v>1</v>
      </c>
      <c r="W85" s="45" t="s">
        <v>1</v>
      </c>
      <c r="X85" s="45" t="s">
        <v>1</v>
      </c>
      <c r="Y85" s="45" t="s">
        <v>1</v>
      </c>
      <c r="Z85" s="45" t="s">
        <v>1</v>
      </c>
      <c r="AA85" s="45" t="s">
        <v>1</v>
      </c>
      <c r="AB85" s="45" t="s">
        <v>1</v>
      </c>
      <c r="AC85" s="45" t="s">
        <v>1</v>
      </c>
      <c r="AD85" s="45" t="s">
        <v>69</v>
      </c>
      <c r="AE85" s="45" t="s">
        <v>1</v>
      </c>
      <c r="AF85" s="49" t="s">
        <v>1</v>
      </c>
      <c r="AG85" s="2"/>
    </row>
    <row r="86" spans="1:35" ht="30" customHeight="1" outlineLevel="1" x14ac:dyDescent="0.25">
      <c r="A86" s="615"/>
      <c r="B86" s="152" t="s">
        <v>0</v>
      </c>
      <c r="C86" s="45" t="s">
        <v>0</v>
      </c>
      <c r="D86" s="45" t="s">
        <v>4</v>
      </c>
      <c r="E86" s="50" t="s">
        <v>0</v>
      </c>
      <c r="F86" s="291" t="s">
        <v>0</v>
      </c>
      <c r="G86" s="45" t="s">
        <v>0</v>
      </c>
      <c r="H86" s="45" t="s">
        <v>4</v>
      </c>
      <c r="I86" s="45" t="s">
        <v>4</v>
      </c>
      <c r="J86" s="45" t="s">
        <v>4</v>
      </c>
      <c r="K86" s="45" t="s">
        <v>4</v>
      </c>
      <c r="L86" s="52" t="s">
        <v>4</v>
      </c>
      <c r="M86" s="52" t="s">
        <v>0</v>
      </c>
      <c r="N86" s="45" t="s">
        <v>4</v>
      </c>
      <c r="O86" s="45" t="s">
        <v>4</v>
      </c>
      <c r="P86" s="45" t="s">
        <v>4</v>
      </c>
      <c r="Q86" s="45" t="s">
        <v>4</v>
      </c>
      <c r="R86" s="45" t="s">
        <v>4</v>
      </c>
      <c r="S86" s="45" t="s">
        <v>112</v>
      </c>
      <c r="T86" s="45" t="s">
        <v>0</v>
      </c>
      <c r="U86" s="45" t="s">
        <v>0</v>
      </c>
      <c r="V86" s="45" t="s">
        <v>0</v>
      </c>
      <c r="W86" s="45" t="s">
        <v>0</v>
      </c>
      <c r="X86" s="45" t="s">
        <v>0</v>
      </c>
      <c r="Y86" s="45" t="s">
        <v>0</v>
      </c>
      <c r="Z86" s="45" t="s">
        <v>0</v>
      </c>
      <c r="AA86" s="45" t="s">
        <v>0</v>
      </c>
      <c r="AB86" s="45" t="s">
        <v>0</v>
      </c>
      <c r="AC86" s="45" t="s">
        <v>0</v>
      </c>
      <c r="AD86" s="45" t="s">
        <v>4</v>
      </c>
      <c r="AE86" s="45" t="s">
        <v>4</v>
      </c>
      <c r="AF86" s="49" t="s">
        <v>4</v>
      </c>
    </row>
    <row r="87" spans="1:35" s="76" customFormat="1" ht="30" customHeight="1" thickBot="1" x14ac:dyDescent="0.3">
      <c r="A87" s="616"/>
      <c r="B87" s="149" t="s">
        <v>10</v>
      </c>
      <c r="C87" s="54" t="s">
        <v>544</v>
      </c>
      <c r="D87" s="55" t="s">
        <v>8</v>
      </c>
      <c r="E87" s="54" t="s">
        <v>198</v>
      </c>
      <c r="F87" s="288">
        <v>77</v>
      </c>
      <c r="G87" s="54">
        <v>250000001</v>
      </c>
      <c r="H87" s="193" t="s">
        <v>8</v>
      </c>
      <c r="I87" s="193" t="s">
        <v>5</v>
      </c>
      <c r="J87" s="55" t="s">
        <v>5</v>
      </c>
      <c r="K87" s="55" t="s">
        <v>6</v>
      </c>
      <c r="L87" s="55" t="s">
        <v>208</v>
      </c>
      <c r="M87" s="193" t="s">
        <v>397</v>
      </c>
      <c r="N87" s="55" t="s">
        <v>210</v>
      </c>
      <c r="O87" s="55" t="s">
        <v>8</v>
      </c>
      <c r="P87" s="55" t="s">
        <v>8</v>
      </c>
      <c r="Q87" s="54" t="s">
        <v>544</v>
      </c>
      <c r="R87" s="55" t="s">
        <v>5</v>
      </c>
      <c r="S87" s="55" t="s">
        <v>5</v>
      </c>
      <c r="T87" s="55" t="s">
        <v>867</v>
      </c>
      <c r="U87" s="228" t="s">
        <v>395</v>
      </c>
      <c r="V87" s="95" t="s">
        <v>202</v>
      </c>
      <c r="W87" s="54" t="s">
        <v>590</v>
      </c>
      <c r="X87" s="33" t="s">
        <v>767</v>
      </c>
      <c r="Y87" s="96" t="s">
        <v>882</v>
      </c>
      <c r="Z87" s="96" t="s">
        <v>882</v>
      </c>
      <c r="AA87" s="97" t="s">
        <v>592</v>
      </c>
      <c r="AB87" s="96" t="s">
        <v>883</v>
      </c>
      <c r="AC87" s="96" t="s">
        <v>882</v>
      </c>
      <c r="AD87" s="55" t="s">
        <v>8</v>
      </c>
      <c r="AE87" s="193" t="s">
        <v>200</v>
      </c>
      <c r="AF87" s="82" t="s">
        <v>884</v>
      </c>
      <c r="AG87" s="188" t="s">
        <v>589</v>
      </c>
    </row>
    <row r="88" spans="1:35" s="75" customFormat="1" ht="15.75" thickBot="1" x14ac:dyDescent="0.3">
      <c r="B88" s="150" t="s">
        <v>586</v>
      </c>
      <c r="C88" s="75" t="s">
        <v>586</v>
      </c>
      <c r="D88" s="75" t="s">
        <v>586</v>
      </c>
      <c r="E88" s="75" t="s">
        <v>586</v>
      </c>
      <c r="F88" s="276" t="s">
        <v>586</v>
      </c>
      <c r="G88" s="75" t="s">
        <v>586</v>
      </c>
      <c r="H88" s="75" t="s">
        <v>586</v>
      </c>
      <c r="I88" s="75" t="s">
        <v>586</v>
      </c>
      <c r="J88" s="75" t="s">
        <v>586</v>
      </c>
      <c r="K88" s="75" t="s">
        <v>586</v>
      </c>
      <c r="L88" s="75" t="s">
        <v>586</v>
      </c>
      <c r="M88" s="75" t="s">
        <v>586</v>
      </c>
      <c r="N88" s="75" t="s">
        <v>586</v>
      </c>
      <c r="O88" s="75" t="s">
        <v>586</v>
      </c>
      <c r="P88" s="75" t="s">
        <v>586</v>
      </c>
      <c r="Q88" s="75" t="s">
        <v>586</v>
      </c>
      <c r="R88" s="75" t="s">
        <v>586</v>
      </c>
      <c r="S88" s="75" t="s">
        <v>586</v>
      </c>
      <c r="T88" s="75" t="s">
        <v>586</v>
      </c>
      <c r="U88" s="75" t="s">
        <v>586</v>
      </c>
      <c r="V88" s="75" t="s">
        <v>586</v>
      </c>
      <c r="W88" s="75" t="s">
        <v>586</v>
      </c>
      <c r="X88" s="75" t="s">
        <v>586</v>
      </c>
      <c r="Y88" s="75" t="s">
        <v>586</v>
      </c>
      <c r="Z88" s="75" t="s">
        <v>586</v>
      </c>
      <c r="AA88" s="75" t="s">
        <v>586</v>
      </c>
      <c r="AB88" s="75" t="s">
        <v>586</v>
      </c>
      <c r="AC88" s="75" t="s">
        <v>586</v>
      </c>
      <c r="AD88" s="75" t="s">
        <v>586</v>
      </c>
      <c r="AE88" s="75" t="s">
        <v>586</v>
      </c>
      <c r="AF88" s="75" t="s">
        <v>586</v>
      </c>
    </row>
    <row r="89" spans="1:35" ht="100.15" customHeight="1" x14ac:dyDescent="0.25">
      <c r="A89" s="620" t="s">
        <v>917</v>
      </c>
      <c r="B89" s="151" t="s">
        <v>13</v>
      </c>
      <c r="C89" s="40" t="s">
        <v>14</v>
      </c>
      <c r="D89" s="40" t="s">
        <v>15</v>
      </c>
      <c r="E89" s="41" t="s">
        <v>16</v>
      </c>
      <c r="F89" s="289" t="s">
        <v>17</v>
      </c>
      <c r="G89" s="40" t="s">
        <v>70</v>
      </c>
      <c r="H89" s="40" t="s">
        <v>71</v>
      </c>
      <c r="I89" s="40" t="s">
        <v>72</v>
      </c>
      <c r="J89" s="40" t="s">
        <v>2</v>
      </c>
      <c r="K89" s="40" t="s">
        <v>73</v>
      </c>
      <c r="L89" s="42" t="s">
        <v>74</v>
      </c>
      <c r="M89" s="42" t="s">
        <v>75</v>
      </c>
      <c r="N89" s="40" t="s">
        <v>76</v>
      </c>
      <c r="O89" s="40" t="s">
        <v>77</v>
      </c>
      <c r="P89" s="40" t="s">
        <v>78</v>
      </c>
      <c r="Q89" s="40" t="s">
        <v>79</v>
      </c>
      <c r="R89" s="40" t="s">
        <v>80</v>
      </c>
      <c r="S89" s="40" t="s">
        <v>81</v>
      </c>
      <c r="T89" s="40" t="s">
        <v>82</v>
      </c>
      <c r="U89" s="40" t="s">
        <v>83</v>
      </c>
      <c r="V89" s="40" t="s">
        <v>84</v>
      </c>
      <c r="W89" s="40" t="s">
        <v>3</v>
      </c>
      <c r="X89" s="40" t="s">
        <v>85</v>
      </c>
      <c r="Y89" s="40" t="s">
        <v>86</v>
      </c>
      <c r="Z89" s="40" t="s">
        <v>87</v>
      </c>
      <c r="AA89" s="40" t="s">
        <v>88</v>
      </c>
      <c r="AB89" s="40" t="s">
        <v>89</v>
      </c>
      <c r="AC89" s="40" t="s">
        <v>90</v>
      </c>
      <c r="AD89" s="40" t="s">
        <v>91</v>
      </c>
      <c r="AE89" s="40" t="s">
        <v>92</v>
      </c>
      <c r="AF89" s="43" t="s">
        <v>93</v>
      </c>
      <c r="AG89" s="2"/>
    </row>
    <row r="90" spans="1:35" ht="19.899999999999999" customHeight="1" x14ac:dyDescent="0.25">
      <c r="A90" s="615"/>
      <c r="B90" s="152">
        <v>1</v>
      </c>
      <c r="C90" s="44" t="s">
        <v>47</v>
      </c>
      <c r="D90" s="45">
        <v>11</v>
      </c>
      <c r="E90" s="46" t="s">
        <v>48</v>
      </c>
      <c r="F90" s="290" t="s">
        <v>49</v>
      </c>
      <c r="G90" s="47" t="s">
        <v>50</v>
      </c>
      <c r="H90" s="47">
        <v>36</v>
      </c>
      <c r="I90" s="47" t="s">
        <v>94</v>
      </c>
      <c r="J90" s="47" t="s">
        <v>95</v>
      </c>
      <c r="K90" s="47" t="s">
        <v>96</v>
      </c>
      <c r="L90" s="48" t="s">
        <v>97</v>
      </c>
      <c r="M90" s="48" t="s">
        <v>98</v>
      </c>
      <c r="N90" s="47" t="s">
        <v>99</v>
      </c>
      <c r="O90" s="47">
        <v>53</v>
      </c>
      <c r="P90" s="47">
        <v>54</v>
      </c>
      <c r="Q90" s="47" t="s">
        <v>913</v>
      </c>
      <c r="R90" s="47" t="s">
        <v>100</v>
      </c>
      <c r="S90" s="47" t="s">
        <v>101</v>
      </c>
      <c r="T90" s="47" t="s">
        <v>57</v>
      </c>
      <c r="U90" s="47" t="s">
        <v>102</v>
      </c>
      <c r="V90" s="47" t="s">
        <v>103</v>
      </c>
      <c r="W90" s="47" t="s">
        <v>104</v>
      </c>
      <c r="X90" s="47" t="s">
        <v>105</v>
      </c>
      <c r="Y90" s="47" t="s">
        <v>106</v>
      </c>
      <c r="Z90" s="47" t="s">
        <v>107</v>
      </c>
      <c r="AA90" s="47" t="s">
        <v>108</v>
      </c>
      <c r="AB90" s="45" t="s">
        <v>109</v>
      </c>
      <c r="AC90" s="47" t="s">
        <v>110</v>
      </c>
      <c r="AD90" s="45">
        <v>120</v>
      </c>
      <c r="AE90" s="45">
        <v>121</v>
      </c>
      <c r="AF90" s="49" t="s">
        <v>111</v>
      </c>
    </row>
    <row r="91" spans="1:35" outlineLevel="1" x14ac:dyDescent="0.25">
      <c r="A91" s="615"/>
      <c r="B91" s="152">
        <v>1</v>
      </c>
      <c r="C91" s="45">
        <v>9</v>
      </c>
      <c r="D91" s="45">
        <v>1</v>
      </c>
      <c r="E91" s="50">
        <v>13</v>
      </c>
      <c r="F91" s="291">
        <v>2</v>
      </c>
      <c r="G91" s="45">
        <v>9</v>
      </c>
      <c r="H91" s="45">
        <v>1</v>
      </c>
      <c r="I91" s="45">
        <v>2</v>
      </c>
      <c r="J91" s="45">
        <v>2</v>
      </c>
      <c r="K91" s="45">
        <v>3</v>
      </c>
      <c r="L91" s="51">
        <v>6</v>
      </c>
      <c r="M91" s="51">
        <v>1</v>
      </c>
      <c r="N91" s="45">
        <v>2</v>
      </c>
      <c r="O91" s="45">
        <v>1</v>
      </c>
      <c r="P91" s="45">
        <v>1</v>
      </c>
      <c r="Q91" s="45">
        <v>9</v>
      </c>
      <c r="R91" s="45">
        <v>2</v>
      </c>
      <c r="S91" s="45">
        <v>2</v>
      </c>
      <c r="T91" s="45">
        <v>6</v>
      </c>
      <c r="U91" s="45">
        <v>5</v>
      </c>
      <c r="V91" s="45">
        <v>2</v>
      </c>
      <c r="W91" s="45">
        <v>6</v>
      </c>
      <c r="X91" s="45">
        <v>2</v>
      </c>
      <c r="Y91" s="45">
        <v>7</v>
      </c>
      <c r="Z91" s="45">
        <v>7</v>
      </c>
      <c r="AA91" s="45">
        <v>3</v>
      </c>
      <c r="AB91" s="45">
        <v>7</v>
      </c>
      <c r="AC91" s="45">
        <v>7</v>
      </c>
      <c r="AD91" s="45">
        <v>1</v>
      </c>
      <c r="AE91" s="45">
        <v>1</v>
      </c>
      <c r="AF91" s="49">
        <v>7</v>
      </c>
    </row>
    <row r="92" spans="1:35" outlineLevel="1" x14ac:dyDescent="0.25">
      <c r="A92" s="615"/>
      <c r="B92" s="152" t="s">
        <v>1</v>
      </c>
      <c r="C92" s="45" t="s">
        <v>1</v>
      </c>
      <c r="D92" s="45" t="s">
        <v>69</v>
      </c>
      <c r="E92" s="50" t="s">
        <v>69</v>
      </c>
      <c r="F92" s="291" t="s">
        <v>1</v>
      </c>
      <c r="G92" s="45" t="s">
        <v>1</v>
      </c>
      <c r="H92" s="45" t="s">
        <v>69</v>
      </c>
      <c r="I92" s="45" t="s">
        <v>1</v>
      </c>
      <c r="J92" s="45" t="s">
        <v>1</v>
      </c>
      <c r="K92" s="45" t="s">
        <v>1</v>
      </c>
      <c r="L92" s="52" t="s">
        <v>1</v>
      </c>
      <c r="M92" s="52" t="s">
        <v>1</v>
      </c>
      <c r="N92" s="45" t="s">
        <v>69</v>
      </c>
      <c r="O92" s="45" t="s">
        <v>69</v>
      </c>
      <c r="P92" s="53" t="s">
        <v>69</v>
      </c>
      <c r="Q92" s="45" t="s">
        <v>1</v>
      </c>
      <c r="R92" s="45" t="s">
        <v>1</v>
      </c>
      <c r="S92" s="45" t="s">
        <v>1</v>
      </c>
      <c r="T92" s="45" t="s">
        <v>1</v>
      </c>
      <c r="U92" s="45" t="s">
        <v>69</v>
      </c>
      <c r="V92" s="45" t="s">
        <v>1</v>
      </c>
      <c r="W92" s="45" t="s">
        <v>1</v>
      </c>
      <c r="X92" s="45" t="s">
        <v>1</v>
      </c>
      <c r="Y92" s="45" t="s">
        <v>1</v>
      </c>
      <c r="Z92" s="45" t="s">
        <v>1</v>
      </c>
      <c r="AA92" s="45" t="s">
        <v>1</v>
      </c>
      <c r="AB92" s="45" t="s">
        <v>1</v>
      </c>
      <c r="AC92" s="45" t="s">
        <v>1</v>
      </c>
      <c r="AD92" s="45" t="s">
        <v>69</v>
      </c>
      <c r="AE92" s="45" t="s">
        <v>1</v>
      </c>
      <c r="AF92" s="49" t="s">
        <v>1</v>
      </c>
    </row>
    <row r="93" spans="1:35" outlineLevel="1" x14ac:dyDescent="0.25">
      <c r="A93" s="615"/>
      <c r="B93" s="152" t="s">
        <v>0</v>
      </c>
      <c r="C93" s="45" t="s">
        <v>0</v>
      </c>
      <c r="D93" s="45" t="s">
        <v>4</v>
      </c>
      <c r="E93" s="50" t="s">
        <v>0</v>
      </c>
      <c r="F93" s="291" t="s">
        <v>0</v>
      </c>
      <c r="G93" s="45" t="s">
        <v>0</v>
      </c>
      <c r="H93" s="45" t="s">
        <v>4</v>
      </c>
      <c r="I93" s="45" t="s">
        <v>4</v>
      </c>
      <c r="J93" s="45" t="s">
        <v>4</v>
      </c>
      <c r="K93" s="45" t="s">
        <v>4</v>
      </c>
      <c r="L93" s="52" t="s">
        <v>4</v>
      </c>
      <c r="M93" s="52" t="s">
        <v>0</v>
      </c>
      <c r="N93" s="45" t="s">
        <v>4</v>
      </c>
      <c r="O93" s="45" t="s">
        <v>4</v>
      </c>
      <c r="P93" s="45" t="s">
        <v>4</v>
      </c>
      <c r="Q93" s="45" t="s">
        <v>4</v>
      </c>
      <c r="R93" s="45" t="s">
        <v>4</v>
      </c>
      <c r="S93" s="45" t="s">
        <v>112</v>
      </c>
      <c r="T93" s="45" t="s">
        <v>0</v>
      </c>
      <c r="U93" s="45" t="s">
        <v>0</v>
      </c>
      <c r="V93" s="45" t="s">
        <v>0</v>
      </c>
      <c r="W93" s="45" t="s">
        <v>0</v>
      </c>
      <c r="X93" s="45" t="s">
        <v>0</v>
      </c>
      <c r="Y93" s="45" t="s">
        <v>0</v>
      </c>
      <c r="Z93" s="45" t="s">
        <v>0</v>
      </c>
      <c r="AA93" s="45" t="s">
        <v>0</v>
      </c>
      <c r="AB93" s="45" t="s">
        <v>0</v>
      </c>
      <c r="AC93" s="45" t="s">
        <v>0</v>
      </c>
      <c r="AD93" s="45" t="s">
        <v>4</v>
      </c>
      <c r="AE93" s="45" t="s">
        <v>4</v>
      </c>
      <c r="AF93" s="49" t="s">
        <v>4</v>
      </c>
    </row>
    <row r="94" spans="1:35" ht="30" customHeight="1" thickBot="1" x14ac:dyDescent="0.3">
      <c r="A94" s="616"/>
      <c r="B94" s="149" t="s">
        <v>10</v>
      </c>
      <c r="C94" s="54" t="s">
        <v>544</v>
      </c>
      <c r="D94" s="55" t="s">
        <v>8</v>
      </c>
      <c r="E94" s="54" t="s">
        <v>198</v>
      </c>
      <c r="F94" s="288">
        <v>77</v>
      </c>
      <c r="G94" s="54">
        <v>250000001</v>
      </c>
      <c r="H94" s="193" t="s">
        <v>8</v>
      </c>
      <c r="I94" s="193" t="s">
        <v>5</v>
      </c>
      <c r="J94" s="55" t="s">
        <v>5</v>
      </c>
      <c r="K94" s="55" t="s">
        <v>6</v>
      </c>
      <c r="L94" s="55" t="s">
        <v>208</v>
      </c>
      <c r="M94" s="193" t="s">
        <v>397</v>
      </c>
      <c r="N94" s="55" t="s">
        <v>210</v>
      </c>
      <c r="O94" s="55" t="s">
        <v>8</v>
      </c>
      <c r="P94" s="55" t="s">
        <v>8</v>
      </c>
      <c r="Q94" s="54" t="s">
        <v>544</v>
      </c>
      <c r="R94" s="55" t="s">
        <v>5</v>
      </c>
      <c r="S94" s="55" t="s">
        <v>5</v>
      </c>
      <c r="T94" s="33" t="s">
        <v>867</v>
      </c>
      <c r="U94" s="228" t="s">
        <v>244</v>
      </c>
      <c r="V94" s="33" t="s">
        <v>649</v>
      </c>
      <c r="W94" s="54" t="s">
        <v>590</v>
      </c>
      <c r="X94" s="33" t="s">
        <v>767</v>
      </c>
      <c r="Y94" s="54" t="s">
        <v>595</v>
      </c>
      <c r="Z94" s="96" t="s">
        <v>770</v>
      </c>
      <c r="AA94" s="54" t="s">
        <v>6</v>
      </c>
      <c r="AB94" s="54" t="s">
        <v>212</v>
      </c>
      <c r="AC94" s="54" t="s">
        <v>212</v>
      </c>
      <c r="AD94" s="193" t="s">
        <v>498</v>
      </c>
      <c r="AE94" s="193" t="s">
        <v>200</v>
      </c>
      <c r="AF94" s="54" t="s">
        <v>212</v>
      </c>
      <c r="AG94" s="188" t="s">
        <v>589</v>
      </c>
      <c r="AH94" s="76"/>
      <c r="AI94" s="76"/>
    </row>
    <row r="95" spans="1:35" s="75" customFormat="1" ht="15.75" thickBot="1" x14ac:dyDescent="0.3">
      <c r="B95" s="150" t="s">
        <v>586</v>
      </c>
      <c r="C95" s="75" t="s">
        <v>586</v>
      </c>
      <c r="D95" s="75" t="s">
        <v>586</v>
      </c>
      <c r="E95" s="75" t="s">
        <v>586</v>
      </c>
      <c r="F95" s="276" t="s">
        <v>586</v>
      </c>
      <c r="G95" s="75" t="s">
        <v>586</v>
      </c>
      <c r="H95" s="75" t="s">
        <v>586</v>
      </c>
      <c r="I95" s="75" t="s">
        <v>586</v>
      </c>
      <c r="J95" s="75" t="s">
        <v>586</v>
      </c>
      <c r="K95" s="75" t="s">
        <v>586</v>
      </c>
      <c r="L95" s="75" t="s">
        <v>586</v>
      </c>
      <c r="M95" s="75" t="s">
        <v>586</v>
      </c>
      <c r="N95" s="75" t="s">
        <v>586</v>
      </c>
      <c r="O95" s="75" t="s">
        <v>586</v>
      </c>
      <c r="P95" s="75" t="s">
        <v>586</v>
      </c>
      <c r="Q95" s="75" t="s">
        <v>586</v>
      </c>
      <c r="R95" s="75" t="s">
        <v>586</v>
      </c>
      <c r="S95" s="75" t="s">
        <v>586</v>
      </c>
      <c r="T95" s="75" t="s">
        <v>586</v>
      </c>
      <c r="U95" s="75" t="s">
        <v>586</v>
      </c>
      <c r="V95" s="75" t="s">
        <v>586</v>
      </c>
      <c r="W95" s="75" t="s">
        <v>586</v>
      </c>
      <c r="X95" s="75" t="s">
        <v>586</v>
      </c>
      <c r="Y95" s="75" t="s">
        <v>586</v>
      </c>
      <c r="Z95" s="75" t="s">
        <v>586</v>
      </c>
      <c r="AA95" s="75" t="s">
        <v>586</v>
      </c>
      <c r="AB95" s="75" t="s">
        <v>586</v>
      </c>
      <c r="AC95" s="75" t="s">
        <v>586</v>
      </c>
      <c r="AD95" s="75" t="s">
        <v>586</v>
      </c>
      <c r="AE95" s="75" t="s">
        <v>586</v>
      </c>
      <c r="AF95" s="75" t="s">
        <v>586</v>
      </c>
    </row>
    <row r="96" spans="1:35" ht="100.15" customHeight="1" x14ac:dyDescent="0.25">
      <c r="A96" s="620" t="s">
        <v>918</v>
      </c>
      <c r="B96" s="151" t="s">
        <v>13</v>
      </c>
      <c r="C96" s="40" t="s">
        <v>14</v>
      </c>
      <c r="D96" s="40" t="s">
        <v>15</v>
      </c>
      <c r="E96" s="41" t="s">
        <v>16</v>
      </c>
      <c r="F96" s="289" t="s">
        <v>17</v>
      </c>
      <c r="G96" s="40" t="s">
        <v>70</v>
      </c>
      <c r="H96" s="40" t="s">
        <v>71</v>
      </c>
      <c r="I96" s="40" t="s">
        <v>72</v>
      </c>
      <c r="J96" s="40" t="s">
        <v>2</v>
      </c>
      <c r="K96" s="40" t="s">
        <v>73</v>
      </c>
      <c r="L96" s="42" t="s">
        <v>74</v>
      </c>
      <c r="M96" s="42" t="s">
        <v>75</v>
      </c>
      <c r="N96" s="40" t="s">
        <v>76</v>
      </c>
      <c r="O96" s="40" t="s">
        <v>77</v>
      </c>
      <c r="P96" s="40" t="s">
        <v>78</v>
      </c>
      <c r="Q96" s="40" t="s">
        <v>79</v>
      </c>
      <c r="R96" s="40" t="s">
        <v>80</v>
      </c>
      <c r="S96" s="40" t="s">
        <v>81</v>
      </c>
      <c r="T96" s="40" t="s">
        <v>82</v>
      </c>
      <c r="U96" s="40" t="s">
        <v>83</v>
      </c>
      <c r="V96" s="40" t="s">
        <v>84</v>
      </c>
      <c r="W96" s="40" t="s">
        <v>3</v>
      </c>
      <c r="X96" s="40" t="s">
        <v>85</v>
      </c>
      <c r="Y96" s="40" t="s">
        <v>86</v>
      </c>
      <c r="Z96" s="40" t="s">
        <v>87</v>
      </c>
      <c r="AA96" s="40" t="s">
        <v>88</v>
      </c>
      <c r="AB96" s="40" t="s">
        <v>89</v>
      </c>
      <c r="AC96" s="40" t="s">
        <v>90</v>
      </c>
      <c r="AD96" s="40" t="s">
        <v>91</v>
      </c>
      <c r="AE96" s="40" t="s">
        <v>92</v>
      </c>
      <c r="AF96" s="43" t="s">
        <v>93</v>
      </c>
      <c r="AG96" s="2"/>
    </row>
    <row r="97" spans="1:35" ht="19.899999999999999" customHeight="1" x14ac:dyDescent="0.25">
      <c r="A97" s="615"/>
      <c r="B97" s="152">
        <v>1</v>
      </c>
      <c r="C97" s="44" t="s">
        <v>47</v>
      </c>
      <c r="D97" s="45">
        <v>11</v>
      </c>
      <c r="E97" s="46" t="s">
        <v>48</v>
      </c>
      <c r="F97" s="290" t="s">
        <v>49</v>
      </c>
      <c r="G97" s="47" t="s">
        <v>50</v>
      </c>
      <c r="H97" s="47">
        <v>36</v>
      </c>
      <c r="I97" s="47" t="s">
        <v>94</v>
      </c>
      <c r="J97" s="47" t="s">
        <v>95</v>
      </c>
      <c r="K97" s="47" t="s">
        <v>96</v>
      </c>
      <c r="L97" s="48" t="s">
        <v>97</v>
      </c>
      <c r="M97" s="48" t="s">
        <v>98</v>
      </c>
      <c r="N97" s="47" t="s">
        <v>99</v>
      </c>
      <c r="O97" s="47">
        <v>53</v>
      </c>
      <c r="P97" s="47">
        <v>54</v>
      </c>
      <c r="Q97" s="47" t="s">
        <v>913</v>
      </c>
      <c r="R97" s="47" t="s">
        <v>100</v>
      </c>
      <c r="S97" s="47" t="s">
        <v>101</v>
      </c>
      <c r="T97" s="47" t="s">
        <v>57</v>
      </c>
      <c r="U97" s="47" t="s">
        <v>102</v>
      </c>
      <c r="V97" s="47" t="s">
        <v>103</v>
      </c>
      <c r="W97" s="47" t="s">
        <v>104</v>
      </c>
      <c r="X97" s="47" t="s">
        <v>105</v>
      </c>
      <c r="Y97" s="47" t="s">
        <v>106</v>
      </c>
      <c r="Z97" s="47" t="s">
        <v>107</v>
      </c>
      <c r="AA97" s="47" t="s">
        <v>108</v>
      </c>
      <c r="AB97" s="45" t="s">
        <v>109</v>
      </c>
      <c r="AC97" s="47" t="s">
        <v>110</v>
      </c>
      <c r="AD97" s="45">
        <v>120</v>
      </c>
      <c r="AE97" s="45">
        <v>121</v>
      </c>
      <c r="AF97" s="49" t="s">
        <v>111</v>
      </c>
    </row>
    <row r="98" spans="1:35" outlineLevel="1" x14ac:dyDescent="0.25">
      <c r="A98" s="615"/>
      <c r="B98" s="152">
        <v>1</v>
      </c>
      <c r="C98" s="45">
        <v>9</v>
      </c>
      <c r="D98" s="45">
        <v>1</v>
      </c>
      <c r="E98" s="50">
        <v>13</v>
      </c>
      <c r="F98" s="291">
        <v>2</v>
      </c>
      <c r="G98" s="45">
        <v>9</v>
      </c>
      <c r="H98" s="45">
        <v>1</v>
      </c>
      <c r="I98" s="45">
        <v>2</v>
      </c>
      <c r="J98" s="45">
        <v>2</v>
      </c>
      <c r="K98" s="45">
        <v>3</v>
      </c>
      <c r="L98" s="51">
        <v>6</v>
      </c>
      <c r="M98" s="51">
        <v>1</v>
      </c>
      <c r="N98" s="45">
        <v>2</v>
      </c>
      <c r="O98" s="45">
        <v>1</v>
      </c>
      <c r="P98" s="45">
        <v>1</v>
      </c>
      <c r="Q98" s="45">
        <v>9</v>
      </c>
      <c r="R98" s="45">
        <v>2</v>
      </c>
      <c r="S98" s="45">
        <v>2</v>
      </c>
      <c r="T98" s="45">
        <v>6</v>
      </c>
      <c r="U98" s="45">
        <v>5</v>
      </c>
      <c r="V98" s="45">
        <v>2</v>
      </c>
      <c r="W98" s="45">
        <v>6</v>
      </c>
      <c r="X98" s="45">
        <v>2</v>
      </c>
      <c r="Y98" s="45">
        <v>7</v>
      </c>
      <c r="Z98" s="45">
        <v>7</v>
      </c>
      <c r="AA98" s="45">
        <v>3</v>
      </c>
      <c r="AB98" s="45">
        <v>7</v>
      </c>
      <c r="AC98" s="45">
        <v>7</v>
      </c>
      <c r="AD98" s="45">
        <v>1</v>
      </c>
      <c r="AE98" s="45">
        <v>1</v>
      </c>
      <c r="AF98" s="49">
        <v>7</v>
      </c>
    </row>
    <row r="99" spans="1:35" outlineLevel="1" x14ac:dyDescent="0.25">
      <c r="A99" s="615"/>
      <c r="B99" s="152" t="s">
        <v>1</v>
      </c>
      <c r="C99" s="45" t="s">
        <v>1</v>
      </c>
      <c r="D99" s="45" t="s">
        <v>69</v>
      </c>
      <c r="E99" s="50" t="s">
        <v>69</v>
      </c>
      <c r="F99" s="291" t="s">
        <v>1</v>
      </c>
      <c r="G99" s="45" t="s">
        <v>1</v>
      </c>
      <c r="H99" s="45" t="s">
        <v>69</v>
      </c>
      <c r="I99" s="45" t="s">
        <v>1</v>
      </c>
      <c r="J99" s="45" t="s">
        <v>1</v>
      </c>
      <c r="K99" s="45" t="s">
        <v>1</v>
      </c>
      <c r="L99" s="52" t="s">
        <v>1</v>
      </c>
      <c r="M99" s="52" t="s">
        <v>1</v>
      </c>
      <c r="N99" s="45" t="s">
        <v>69</v>
      </c>
      <c r="O99" s="45" t="s">
        <v>69</v>
      </c>
      <c r="P99" s="53" t="s">
        <v>69</v>
      </c>
      <c r="Q99" s="45" t="s">
        <v>1</v>
      </c>
      <c r="R99" s="45" t="s">
        <v>1</v>
      </c>
      <c r="S99" s="45" t="s">
        <v>1</v>
      </c>
      <c r="T99" s="45" t="s">
        <v>1</v>
      </c>
      <c r="U99" s="45" t="s">
        <v>69</v>
      </c>
      <c r="V99" s="45" t="s">
        <v>1</v>
      </c>
      <c r="W99" s="45" t="s">
        <v>1</v>
      </c>
      <c r="X99" s="45" t="s">
        <v>1</v>
      </c>
      <c r="Y99" s="45" t="s">
        <v>1</v>
      </c>
      <c r="Z99" s="45" t="s">
        <v>1</v>
      </c>
      <c r="AA99" s="45" t="s">
        <v>1</v>
      </c>
      <c r="AB99" s="45" t="s">
        <v>1</v>
      </c>
      <c r="AC99" s="45" t="s">
        <v>1</v>
      </c>
      <c r="AD99" s="45" t="s">
        <v>69</v>
      </c>
      <c r="AE99" s="45" t="s">
        <v>1</v>
      </c>
      <c r="AF99" s="49" t="s">
        <v>1</v>
      </c>
    </row>
    <row r="100" spans="1:35" outlineLevel="1" x14ac:dyDescent="0.25">
      <c r="A100" s="615"/>
      <c r="B100" s="152" t="s">
        <v>0</v>
      </c>
      <c r="C100" s="45" t="s">
        <v>0</v>
      </c>
      <c r="D100" s="45" t="s">
        <v>4</v>
      </c>
      <c r="E100" s="50" t="s">
        <v>0</v>
      </c>
      <c r="F100" s="291" t="s">
        <v>0</v>
      </c>
      <c r="G100" s="45" t="s">
        <v>0</v>
      </c>
      <c r="H100" s="45" t="s">
        <v>4</v>
      </c>
      <c r="I100" s="45" t="s">
        <v>4</v>
      </c>
      <c r="J100" s="45" t="s">
        <v>4</v>
      </c>
      <c r="K100" s="45" t="s">
        <v>4</v>
      </c>
      <c r="L100" s="52" t="s">
        <v>4</v>
      </c>
      <c r="M100" s="52" t="s">
        <v>0</v>
      </c>
      <c r="N100" s="45" t="s">
        <v>4</v>
      </c>
      <c r="O100" s="45" t="s">
        <v>4</v>
      </c>
      <c r="P100" s="45" t="s">
        <v>4</v>
      </c>
      <c r="Q100" s="45" t="s">
        <v>4</v>
      </c>
      <c r="R100" s="45" t="s">
        <v>4</v>
      </c>
      <c r="S100" s="45" t="s">
        <v>112</v>
      </c>
      <c r="T100" s="45" t="s">
        <v>0</v>
      </c>
      <c r="U100" s="45" t="s">
        <v>0</v>
      </c>
      <c r="V100" s="45" t="s">
        <v>0</v>
      </c>
      <c r="W100" s="45" t="s">
        <v>0</v>
      </c>
      <c r="X100" s="45" t="s">
        <v>0</v>
      </c>
      <c r="Y100" s="45" t="s">
        <v>0</v>
      </c>
      <c r="Z100" s="45" t="s">
        <v>0</v>
      </c>
      <c r="AA100" s="45" t="s">
        <v>0</v>
      </c>
      <c r="AB100" s="45" t="s">
        <v>0</v>
      </c>
      <c r="AC100" s="45" t="s">
        <v>0</v>
      </c>
      <c r="AD100" s="45" t="s">
        <v>4</v>
      </c>
      <c r="AE100" s="45" t="s">
        <v>4</v>
      </c>
      <c r="AF100" s="49" t="s">
        <v>4</v>
      </c>
    </row>
    <row r="101" spans="1:35" ht="30" customHeight="1" thickBot="1" x14ac:dyDescent="0.3">
      <c r="A101" s="616"/>
      <c r="B101" s="149" t="s">
        <v>10</v>
      </c>
      <c r="C101" s="54" t="s">
        <v>544</v>
      </c>
      <c r="D101" s="55" t="s">
        <v>8</v>
      </c>
      <c r="E101" s="54" t="s">
        <v>198</v>
      </c>
      <c r="F101" s="288">
        <v>77</v>
      </c>
      <c r="G101" s="54">
        <v>250000001</v>
      </c>
      <c r="H101" s="193" t="s">
        <v>8</v>
      </c>
      <c r="I101" s="193" t="s">
        <v>5</v>
      </c>
      <c r="J101" s="55" t="s">
        <v>5</v>
      </c>
      <c r="K101" s="55" t="s">
        <v>6</v>
      </c>
      <c r="L101" s="55" t="s">
        <v>208</v>
      </c>
      <c r="M101" s="193" t="s">
        <v>397</v>
      </c>
      <c r="N101" s="55" t="s">
        <v>210</v>
      </c>
      <c r="O101" s="55" t="s">
        <v>8</v>
      </c>
      <c r="P101" s="55" t="s">
        <v>8</v>
      </c>
      <c r="Q101" s="54" t="s">
        <v>544</v>
      </c>
      <c r="R101" s="55" t="s">
        <v>5</v>
      </c>
      <c r="S101" s="55" t="s">
        <v>5</v>
      </c>
      <c r="T101" s="33" t="s">
        <v>867</v>
      </c>
      <c r="U101" s="228" t="s">
        <v>245</v>
      </c>
      <c r="V101" s="33" t="s">
        <v>649</v>
      </c>
      <c r="W101" s="54" t="s">
        <v>590</v>
      </c>
      <c r="X101" s="33" t="s">
        <v>767</v>
      </c>
      <c r="Y101" s="54" t="s">
        <v>595</v>
      </c>
      <c r="Z101" s="96" t="s">
        <v>770</v>
      </c>
      <c r="AA101" s="54" t="s">
        <v>6</v>
      </c>
      <c r="AB101" s="54" t="s">
        <v>212</v>
      </c>
      <c r="AC101" s="54" t="s">
        <v>212</v>
      </c>
      <c r="AD101" s="193" t="s">
        <v>498</v>
      </c>
      <c r="AE101" s="193" t="s">
        <v>200</v>
      </c>
      <c r="AF101" s="54" t="s">
        <v>212</v>
      </c>
      <c r="AG101" s="188" t="s">
        <v>589</v>
      </c>
      <c r="AH101" s="76"/>
      <c r="AI101" s="76"/>
    </row>
    <row r="102" spans="1:35" s="75" customFormat="1" ht="15.75" thickBot="1" x14ac:dyDescent="0.3">
      <c r="A102" s="77"/>
      <c r="B102" s="144"/>
      <c r="C102" s="77"/>
      <c r="D102" s="77"/>
      <c r="E102" s="77"/>
      <c r="F102" s="271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</row>
    <row r="103" spans="1:35" ht="100.15" customHeight="1" x14ac:dyDescent="0.25">
      <c r="A103" s="614" t="s">
        <v>360</v>
      </c>
      <c r="B103" s="147" t="s">
        <v>13</v>
      </c>
      <c r="C103" s="24" t="s">
        <v>14</v>
      </c>
      <c r="D103" s="24" t="s">
        <v>15</v>
      </c>
      <c r="E103" s="25" t="s">
        <v>16</v>
      </c>
      <c r="F103" s="282" t="s">
        <v>17</v>
      </c>
      <c r="G103" s="24" t="s">
        <v>70</v>
      </c>
      <c r="H103" s="24" t="s">
        <v>15</v>
      </c>
      <c r="I103" s="24" t="s">
        <v>220</v>
      </c>
      <c r="J103" s="24" t="s">
        <v>221</v>
      </c>
      <c r="K103" s="26" t="s">
        <v>222</v>
      </c>
      <c r="L103" s="26" t="s">
        <v>223</v>
      </c>
      <c r="M103" s="24" t="s">
        <v>224</v>
      </c>
      <c r="N103" s="24" t="s">
        <v>225</v>
      </c>
      <c r="O103" s="24" t="s">
        <v>226</v>
      </c>
      <c r="P103" s="24" t="s">
        <v>221</v>
      </c>
      <c r="Q103" s="24" t="s">
        <v>227</v>
      </c>
      <c r="R103" s="24" t="s">
        <v>15</v>
      </c>
      <c r="S103" s="27" t="s">
        <v>228</v>
      </c>
    </row>
    <row r="104" spans="1:35" ht="19.899999999999999" customHeight="1" x14ac:dyDescent="0.25">
      <c r="A104" s="615"/>
      <c r="B104" s="148">
        <v>1</v>
      </c>
      <c r="C104" s="5" t="s">
        <v>47</v>
      </c>
      <c r="D104" s="4">
        <v>11</v>
      </c>
      <c r="E104" s="6" t="s">
        <v>48</v>
      </c>
      <c r="F104" s="283" t="s">
        <v>49</v>
      </c>
      <c r="G104" s="7" t="s">
        <v>50</v>
      </c>
      <c r="H104" s="7" t="s">
        <v>229</v>
      </c>
      <c r="I104" s="7" t="s">
        <v>216</v>
      </c>
      <c r="J104" s="7" t="s">
        <v>230</v>
      </c>
      <c r="K104" s="8" t="s">
        <v>217</v>
      </c>
      <c r="L104" s="8" t="s">
        <v>218</v>
      </c>
      <c r="M104" s="7" t="s">
        <v>179</v>
      </c>
      <c r="N104" s="7" t="s">
        <v>219</v>
      </c>
      <c r="O104" s="7">
        <v>90</v>
      </c>
      <c r="P104" s="7" t="s">
        <v>231</v>
      </c>
      <c r="Q104" s="7">
        <v>94</v>
      </c>
      <c r="R104" s="7" t="s">
        <v>232</v>
      </c>
      <c r="S104" s="28" t="s">
        <v>233</v>
      </c>
    </row>
    <row r="105" spans="1:35" outlineLevel="1" x14ac:dyDescent="0.25">
      <c r="A105" s="615"/>
      <c r="B105" s="148">
        <v>1</v>
      </c>
      <c r="C105" s="4">
        <v>9</v>
      </c>
      <c r="D105" s="4">
        <v>1</v>
      </c>
      <c r="E105" s="9">
        <v>13</v>
      </c>
      <c r="F105" s="284">
        <v>2</v>
      </c>
      <c r="G105" s="4">
        <v>9</v>
      </c>
      <c r="H105" s="4">
        <v>3</v>
      </c>
      <c r="I105" s="4">
        <v>3</v>
      </c>
      <c r="J105" s="4">
        <v>16</v>
      </c>
      <c r="K105" s="10">
        <v>8</v>
      </c>
      <c r="L105" s="10">
        <v>8</v>
      </c>
      <c r="M105" s="4">
        <v>8</v>
      </c>
      <c r="N105" s="4">
        <v>8</v>
      </c>
      <c r="O105" s="4">
        <v>1</v>
      </c>
      <c r="P105" s="4">
        <v>3</v>
      </c>
      <c r="Q105" s="4">
        <v>1</v>
      </c>
      <c r="R105" s="4">
        <v>2</v>
      </c>
      <c r="S105" s="29">
        <v>32</v>
      </c>
    </row>
    <row r="106" spans="1:35" ht="13.5" customHeight="1" outlineLevel="1" x14ac:dyDescent="0.25">
      <c r="A106" s="615"/>
      <c r="B106" s="148" t="s">
        <v>1</v>
      </c>
      <c r="C106" s="4" t="s">
        <v>1</v>
      </c>
      <c r="D106" s="4" t="s">
        <v>69</v>
      </c>
      <c r="E106" s="9" t="s">
        <v>69</v>
      </c>
      <c r="F106" s="284" t="s">
        <v>1</v>
      </c>
      <c r="G106" s="4" t="s">
        <v>1</v>
      </c>
      <c r="H106" s="4" t="s">
        <v>69</v>
      </c>
      <c r="I106" s="4" t="s">
        <v>1</v>
      </c>
      <c r="J106" s="4" t="s">
        <v>69</v>
      </c>
      <c r="K106" s="12" t="s">
        <v>1</v>
      </c>
      <c r="L106" s="12" t="s">
        <v>1</v>
      </c>
      <c r="M106" s="4" t="s">
        <v>1</v>
      </c>
      <c r="N106" s="4" t="s">
        <v>1</v>
      </c>
      <c r="O106" s="4" t="s">
        <v>69</v>
      </c>
      <c r="P106" s="4" t="s">
        <v>69</v>
      </c>
      <c r="Q106" s="4" t="s">
        <v>69</v>
      </c>
      <c r="R106" s="4" t="s">
        <v>69</v>
      </c>
      <c r="S106" s="29" t="s">
        <v>69</v>
      </c>
    </row>
    <row r="107" spans="1:35" outlineLevel="1" x14ac:dyDescent="0.25">
      <c r="A107" s="615"/>
      <c r="B107" s="148" t="s">
        <v>0</v>
      </c>
      <c r="C107" s="4" t="s">
        <v>0</v>
      </c>
      <c r="D107" s="4" t="s">
        <v>4</v>
      </c>
      <c r="E107" s="9" t="s">
        <v>0</v>
      </c>
      <c r="F107" s="284" t="s">
        <v>0</v>
      </c>
      <c r="G107" s="4" t="s">
        <v>0</v>
      </c>
      <c r="H107" s="4" t="s">
        <v>4</v>
      </c>
      <c r="I107" s="4" t="s">
        <v>0</v>
      </c>
      <c r="J107" s="4" t="s">
        <v>0</v>
      </c>
      <c r="K107" s="12" t="s">
        <v>0</v>
      </c>
      <c r="L107" s="12" t="s">
        <v>0</v>
      </c>
      <c r="M107" s="4" t="s">
        <v>0</v>
      </c>
      <c r="N107" s="4" t="s">
        <v>4</v>
      </c>
      <c r="O107" s="4" t="s">
        <v>4</v>
      </c>
      <c r="P107" s="4" t="s">
        <v>0</v>
      </c>
      <c r="Q107" s="4" t="s">
        <v>0</v>
      </c>
      <c r="R107" s="4" t="s">
        <v>4</v>
      </c>
      <c r="S107" s="29" t="s">
        <v>4</v>
      </c>
    </row>
    <row r="108" spans="1:35" s="163" customFormat="1" ht="30" customHeight="1" thickBot="1" x14ac:dyDescent="0.3">
      <c r="A108" s="616"/>
      <c r="B108" s="157">
        <v>5</v>
      </c>
      <c r="C108" s="54" t="s">
        <v>544</v>
      </c>
      <c r="D108" s="55" t="s">
        <v>8</v>
      </c>
      <c r="E108" s="55" t="s">
        <v>198</v>
      </c>
      <c r="F108" s="270">
        <v>77</v>
      </c>
      <c r="G108" s="55">
        <v>250000001</v>
      </c>
      <c r="H108" s="98" t="s">
        <v>9</v>
      </c>
      <c r="I108" s="496" t="s">
        <v>752</v>
      </c>
      <c r="J108" s="98" t="s">
        <v>234</v>
      </c>
      <c r="K108" s="56" t="s">
        <v>886</v>
      </c>
      <c r="L108" s="56" t="s">
        <v>887</v>
      </c>
      <c r="M108" s="56" t="s">
        <v>888</v>
      </c>
      <c r="N108" s="56" t="s">
        <v>888</v>
      </c>
      <c r="O108" s="56" t="s">
        <v>8</v>
      </c>
      <c r="P108" s="56" t="s">
        <v>9</v>
      </c>
      <c r="Q108" s="56" t="s">
        <v>8</v>
      </c>
      <c r="R108" s="56" t="s">
        <v>210</v>
      </c>
      <c r="S108" s="99" t="s">
        <v>235</v>
      </c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</row>
    <row r="109" spans="1:35" ht="15.75" thickBot="1" x14ac:dyDescent="0.3">
      <c r="A109" s="75"/>
      <c r="B109" s="150" t="s">
        <v>586</v>
      </c>
      <c r="C109" s="75" t="s">
        <v>586</v>
      </c>
      <c r="D109" s="75" t="s">
        <v>586</v>
      </c>
      <c r="E109" s="75" t="s">
        <v>586</v>
      </c>
      <c r="F109" s="276" t="s">
        <v>586</v>
      </c>
      <c r="G109" s="75" t="s">
        <v>586</v>
      </c>
      <c r="H109" s="75" t="s">
        <v>586</v>
      </c>
      <c r="I109" s="75" t="s">
        <v>586</v>
      </c>
      <c r="J109" s="75" t="s">
        <v>586</v>
      </c>
      <c r="K109" s="75" t="s">
        <v>586</v>
      </c>
      <c r="L109" s="75" t="s">
        <v>586</v>
      </c>
      <c r="M109" s="75" t="s">
        <v>586</v>
      </c>
      <c r="N109" s="75" t="s">
        <v>586</v>
      </c>
      <c r="O109" s="75" t="s">
        <v>586</v>
      </c>
      <c r="P109" s="75" t="s">
        <v>586</v>
      </c>
      <c r="Q109" s="75" t="s">
        <v>586</v>
      </c>
      <c r="R109" s="75" t="s">
        <v>586</v>
      </c>
      <c r="S109" s="75" t="s">
        <v>586</v>
      </c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</row>
    <row r="110" spans="1:35" ht="100.15" customHeight="1" x14ac:dyDescent="0.25">
      <c r="A110" s="608" t="s">
        <v>361</v>
      </c>
      <c r="B110" s="327" t="s">
        <v>13</v>
      </c>
      <c r="C110" s="328" t="s">
        <v>14</v>
      </c>
      <c r="D110" s="328" t="s">
        <v>339</v>
      </c>
      <c r="E110" s="329" t="s">
        <v>469</v>
      </c>
      <c r="F110" s="330" t="s">
        <v>470</v>
      </c>
      <c r="G110" s="328" t="s">
        <v>471</v>
      </c>
      <c r="H110" s="328" t="s">
        <v>340</v>
      </c>
      <c r="I110" s="328" t="s">
        <v>473</v>
      </c>
      <c r="J110" s="328" t="s">
        <v>472</v>
      </c>
      <c r="K110" s="331" t="s">
        <v>312</v>
      </c>
      <c r="L110" s="331" t="s">
        <v>341</v>
      </c>
      <c r="M110" s="328" t="s">
        <v>25</v>
      </c>
      <c r="N110" s="328" t="s">
        <v>15</v>
      </c>
      <c r="O110" s="328" t="s">
        <v>474</v>
      </c>
      <c r="P110" s="328" t="s">
        <v>342</v>
      </c>
      <c r="Q110" s="328" t="s">
        <v>15</v>
      </c>
      <c r="R110" s="328" t="s">
        <v>343</v>
      </c>
      <c r="S110" s="332" t="s">
        <v>228</v>
      </c>
    </row>
    <row r="111" spans="1:35" ht="19.899999999999999" customHeight="1" x14ac:dyDescent="0.25">
      <c r="A111" s="609"/>
      <c r="B111" s="158">
        <v>1</v>
      </c>
      <c r="C111" s="102" t="s">
        <v>47</v>
      </c>
      <c r="D111" s="103" t="s">
        <v>344</v>
      </c>
      <c r="E111" s="104" t="s">
        <v>345</v>
      </c>
      <c r="F111" s="298" t="s">
        <v>346</v>
      </c>
      <c r="G111" s="103" t="s">
        <v>347</v>
      </c>
      <c r="H111" s="103" t="s">
        <v>348</v>
      </c>
      <c r="I111" s="103" t="s">
        <v>349</v>
      </c>
      <c r="J111" s="103" t="s">
        <v>350</v>
      </c>
      <c r="K111" s="105" t="s">
        <v>351</v>
      </c>
      <c r="L111" s="105" t="s">
        <v>352</v>
      </c>
      <c r="M111" s="103" t="s">
        <v>353</v>
      </c>
      <c r="N111" s="103" t="s">
        <v>354</v>
      </c>
      <c r="O111" s="103" t="s">
        <v>355</v>
      </c>
      <c r="P111" s="103" t="s">
        <v>356</v>
      </c>
      <c r="Q111" s="103" t="s">
        <v>357</v>
      </c>
      <c r="R111" s="103" t="s">
        <v>358</v>
      </c>
      <c r="S111" s="333" t="s">
        <v>233</v>
      </c>
    </row>
    <row r="112" spans="1:35" outlineLevel="1" x14ac:dyDescent="0.25">
      <c r="A112" s="609"/>
      <c r="B112" s="158">
        <v>1</v>
      </c>
      <c r="C112" s="101">
        <v>9</v>
      </c>
      <c r="D112" s="101">
        <v>3</v>
      </c>
      <c r="E112" s="101">
        <v>4</v>
      </c>
      <c r="F112" s="299">
        <v>4</v>
      </c>
      <c r="G112" s="101">
        <v>3</v>
      </c>
      <c r="H112" s="101">
        <v>9</v>
      </c>
      <c r="I112" s="101">
        <v>9</v>
      </c>
      <c r="J112" s="101">
        <v>9</v>
      </c>
      <c r="K112" s="107">
        <v>3</v>
      </c>
      <c r="L112" s="107">
        <v>1</v>
      </c>
      <c r="M112" s="101">
        <v>1</v>
      </c>
      <c r="N112" s="101">
        <v>4</v>
      </c>
      <c r="O112" s="101">
        <v>12</v>
      </c>
      <c r="P112" s="101">
        <v>12</v>
      </c>
      <c r="Q112" s="103">
        <v>3</v>
      </c>
      <c r="R112" s="101">
        <v>9</v>
      </c>
      <c r="S112" s="334">
        <v>32</v>
      </c>
    </row>
    <row r="113" spans="1:35" outlineLevel="1" x14ac:dyDescent="0.25">
      <c r="A113" s="609"/>
      <c r="B113" s="158" t="s">
        <v>1</v>
      </c>
      <c r="C113" s="101" t="s">
        <v>1</v>
      </c>
      <c r="D113" s="197" t="s">
        <v>1</v>
      </c>
      <c r="E113" s="106" t="s">
        <v>1</v>
      </c>
      <c r="F113" s="299" t="s">
        <v>1</v>
      </c>
      <c r="G113" s="101" t="s">
        <v>1</v>
      </c>
      <c r="H113" s="101" t="s">
        <v>1</v>
      </c>
      <c r="I113" s="101" t="s">
        <v>1</v>
      </c>
      <c r="J113" s="101" t="s">
        <v>1</v>
      </c>
      <c r="K113" s="108" t="s">
        <v>1</v>
      </c>
      <c r="L113" s="108" t="s">
        <v>69</v>
      </c>
      <c r="M113" s="101" t="s">
        <v>69</v>
      </c>
      <c r="N113" s="101" t="s">
        <v>69</v>
      </c>
      <c r="O113" s="101" t="s">
        <v>69</v>
      </c>
      <c r="P113" s="101" t="s">
        <v>1</v>
      </c>
      <c r="Q113" s="101" t="s">
        <v>69</v>
      </c>
      <c r="R113" s="101" t="s">
        <v>1</v>
      </c>
      <c r="S113" s="334" t="s">
        <v>1</v>
      </c>
    </row>
    <row r="114" spans="1:35" outlineLevel="1" x14ac:dyDescent="0.25">
      <c r="A114" s="609"/>
      <c r="B114" s="158" t="s">
        <v>0</v>
      </c>
      <c r="C114" s="101" t="s">
        <v>0</v>
      </c>
      <c r="D114" s="101" t="s">
        <v>0</v>
      </c>
      <c r="E114" s="106" t="s">
        <v>0</v>
      </c>
      <c r="F114" s="299" t="s">
        <v>0</v>
      </c>
      <c r="G114" s="101" t="s">
        <v>0</v>
      </c>
      <c r="H114" s="101" t="s">
        <v>0</v>
      </c>
      <c r="I114" s="101" t="s">
        <v>0</v>
      </c>
      <c r="J114" s="101" t="s">
        <v>0</v>
      </c>
      <c r="K114" s="108" t="s">
        <v>0</v>
      </c>
      <c r="L114" s="108" t="s">
        <v>4</v>
      </c>
      <c r="M114" s="101" t="s">
        <v>4</v>
      </c>
      <c r="N114" s="101" t="s">
        <v>4</v>
      </c>
      <c r="O114" s="101" t="s">
        <v>4</v>
      </c>
      <c r="P114" s="101" t="s">
        <v>4</v>
      </c>
      <c r="Q114" s="101" t="s">
        <v>4</v>
      </c>
      <c r="R114" s="101" t="s">
        <v>4</v>
      </c>
      <c r="S114" s="334" t="s">
        <v>0</v>
      </c>
    </row>
    <row r="115" spans="1:35" s="163" customFormat="1" ht="30" customHeight="1" thickBot="1" x14ac:dyDescent="0.3">
      <c r="A115" s="610"/>
      <c r="B115" s="183">
        <v>6</v>
      </c>
      <c r="C115" s="335" t="s">
        <v>544</v>
      </c>
      <c r="D115" s="185" t="s">
        <v>195</v>
      </c>
      <c r="E115" s="336" t="s">
        <v>889</v>
      </c>
      <c r="F115" s="337" t="s">
        <v>521</v>
      </c>
      <c r="G115" s="185" t="s">
        <v>195</v>
      </c>
      <c r="H115" s="184" t="s">
        <v>890</v>
      </c>
      <c r="I115" s="184" t="s">
        <v>891</v>
      </c>
      <c r="J115" s="184" t="s">
        <v>892</v>
      </c>
      <c r="K115" s="184" t="s">
        <v>195</v>
      </c>
      <c r="L115" s="186" t="s">
        <v>8</v>
      </c>
      <c r="M115" s="186" t="s">
        <v>8</v>
      </c>
      <c r="N115" s="186" t="s">
        <v>387</v>
      </c>
      <c r="O115" s="186" t="s">
        <v>941</v>
      </c>
      <c r="P115" s="186" t="s">
        <v>388</v>
      </c>
      <c r="Q115" s="186" t="s">
        <v>9</v>
      </c>
      <c r="R115" s="186" t="s">
        <v>389</v>
      </c>
      <c r="S115" s="187" t="s">
        <v>235</v>
      </c>
    </row>
    <row r="116" spans="1:35" ht="9.75" customHeight="1" thickBot="1" x14ac:dyDescent="0.3">
      <c r="B116" s="150" t="s">
        <v>586</v>
      </c>
      <c r="C116" s="150" t="s">
        <v>586</v>
      </c>
      <c r="D116" s="150" t="s">
        <v>586</v>
      </c>
      <c r="E116" s="150" t="s">
        <v>586</v>
      </c>
      <c r="F116" s="276" t="s">
        <v>586</v>
      </c>
      <c r="G116" s="150" t="s">
        <v>586</v>
      </c>
      <c r="H116" s="150" t="s">
        <v>586</v>
      </c>
      <c r="I116" s="150" t="s">
        <v>586</v>
      </c>
      <c r="J116" s="150" t="s">
        <v>586</v>
      </c>
      <c r="K116" s="150" t="s">
        <v>586</v>
      </c>
      <c r="L116" s="150" t="s">
        <v>586</v>
      </c>
      <c r="M116" s="150" t="s">
        <v>586</v>
      </c>
      <c r="N116" s="150" t="s">
        <v>586</v>
      </c>
      <c r="O116" s="150" t="s">
        <v>586</v>
      </c>
      <c r="P116" s="150" t="s">
        <v>586</v>
      </c>
      <c r="Q116" s="150" t="s">
        <v>586</v>
      </c>
      <c r="R116" s="150" t="s">
        <v>586</v>
      </c>
      <c r="S116" s="150" t="s">
        <v>586</v>
      </c>
    </row>
    <row r="117" spans="1:35" ht="100.15" customHeight="1" x14ac:dyDescent="0.25">
      <c r="A117" s="611" t="s">
        <v>371</v>
      </c>
      <c r="B117" s="159" t="s">
        <v>13</v>
      </c>
      <c r="C117" s="117" t="s">
        <v>363</v>
      </c>
      <c r="D117" s="117" t="s">
        <v>364</v>
      </c>
      <c r="E117" s="118" t="s">
        <v>15</v>
      </c>
      <c r="F117" s="300" t="s">
        <v>283</v>
      </c>
      <c r="G117" s="117" t="s">
        <v>365</v>
      </c>
      <c r="H117" s="117" t="s">
        <v>15</v>
      </c>
      <c r="I117" s="117" t="s">
        <v>286</v>
      </c>
      <c r="J117" s="117" t="s">
        <v>287</v>
      </c>
      <c r="K117" s="119" t="s">
        <v>366</v>
      </c>
      <c r="L117" s="119" t="s">
        <v>15</v>
      </c>
      <c r="M117" s="117" t="s">
        <v>367</v>
      </c>
      <c r="N117" s="120" t="s">
        <v>15</v>
      </c>
    </row>
    <row r="118" spans="1:35" ht="19.899999999999999" customHeight="1" x14ac:dyDescent="0.25">
      <c r="A118" s="612"/>
      <c r="B118" s="198" t="s">
        <v>293</v>
      </c>
      <c r="C118" s="110" t="s">
        <v>294</v>
      </c>
      <c r="D118" s="111" t="s">
        <v>295</v>
      </c>
      <c r="E118" s="112" t="s">
        <v>296</v>
      </c>
      <c r="F118" s="301" t="s">
        <v>297</v>
      </c>
      <c r="G118" s="111" t="s">
        <v>298</v>
      </c>
      <c r="H118" s="111" t="s">
        <v>299</v>
      </c>
      <c r="I118" s="111" t="s">
        <v>300</v>
      </c>
      <c r="J118" s="111" t="s">
        <v>301</v>
      </c>
      <c r="K118" s="113" t="s">
        <v>368</v>
      </c>
      <c r="L118" s="113" t="s">
        <v>369</v>
      </c>
      <c r="M118" s="111" t="s">
        <v>307</v>
      </c>
      <c r="N118" s="121" t="s">
        <v>370</v>
      </c>
    </row>
    <row r="119" spans="1:35" outlineLevel="1" x14ac:dyDescent="0.25">
      <c r="A119" s="612"/>
      <c r="B119" s="160">
        <v>3</v>
      </c>
      <c r="C119" s="109">
        <v>2</v>
      </c>
      <c r="D119" s="109">
        <v>14</v>
      </c>
      <c r="E119" s="109">
        <v>6</v>
      </c>
      <c r="F119" s="302">
        <v>2</v>
      </c>
      <c r="G119" s="109">
        <v>14</v>
      </c>
      <c r="H119" s="109">
        <v>6</v>
      </c>
      <c r="I119" s="109">
        <v>2</v>
      </c>
      <c r="J119" s="109">
        <v>6</v>
      </c>
      <c r="K119" s="115">
        <v>8</v>
      </c>
      <c r="L119" s="115">
        <v>19</v>
      </c>
      <c r="M119" s="109">
        <v>3</v>
      </c>
      <c r="N119" s="122">
        <v>43</v>
      </c>
    </row>
    <row r="120" spans="1:35" outlineLevel="1" x14ac:dyDescent="0.25">
      <c r="A120" s="612"/>
      <c r="B120" s="160" t="s">
        <v>1</v>
      </c>
      <c r="C120" s="109" t="s">
        <v>69</v>
      </c>
      <c r="D120" s="109" t="s">
        <v>1</v>
      </c>
      <c r="E120" s="114" t="s">
        <v>69</v>
      </c>
      <c r="F120" s="302" t="s">
        <v>69</v>
      </c>
      <c r="G120" s="109" t="s">
        <v>1</v>
      </c>
      <c r="H120" s="109" t="s">
        <v>69</v>
      </c>
      <c r="I120" s="109" t="s">
        <v>69</v>
      </c>
      <c r="J120" s="109" t="s">
        <v>69</v>
      </c>
      <c r="K120" s="116" t="s">
        <v>1</v>
      </c>
      <c r="L120" s="116" t="s">
        <v>69</v>
      </c>
      <c r="M120" s="109" t="s">
        <v>1</v>
      </c>
      <c r="N120" s="122" t="s">
        <v>69</v>
      </c>
    </row>
    <row r="121" spans="1:35" outlineLevel="1" x14ac:dyDescent="0.25">
      <c r="A121" s="612"/>
      <c r="B121" s="160" t="s">
        <v>0</v>
      </c>
      <c r="C121" s="109" t="s">
        <v>0</v>
      </c>
      <c r="D121" s="109" t="s">
        <v>0</v>
      </c>
      <c r="E121" s="114" t="s">
        <v>4</v>
      </c>
      <c r="F121" s="302" t="s">
        <v>0</v>
      </c>
      <c r="G121" s="109" t="s">
        <v>0</v>
      </c>
      <c r="H121" s="109" t="s">
        <v>4</v>
      </c>
      <c r="I121" s="109" t="s">
        <v>0</v>
      </c>
      <c r="J121" s="109" t="s">
        <v>0</v>
      </c>
      <c r="K121" s="116" t="s">
        <v>0</v>
      </c>
      <c r="L121" s="116" t="s">
        <v>4</v>
      </c>
      <c r="M121" s="109" t="s">
        <v>0</v>
      </c>
      <c r="N121" s="122" t="s">
        <v>4</v>
      </c>
    </row>
    <row r="122" spans="1:35" ht="30" customHeight="1" thickBot="1" x14ac:dyDescent="0.3">
      <c r="A122" s="613"/>
      <c r="B122" s="183">
        <v>999</v>
      </c>
      <c r="C122" s="186" t="s">
        <v>373</v>
      </c>
      <c r="D122" s="174" t="s">
        <v>584</v>
      </c>
      <c r="E122" s="186" t="s">
        <v>374</v>
      </c>
      <c r="F122" s="303" t="s">
        <v>375</v>
      </c>
      <c r="G122" s="174" t="s">
        <v>585</v>
      </c>
      <c r="H122" s="186" t="s">
        <v>374</v>
      </c>
      <c r="I122" s="186" t="s">
        <v>376</v>
      </c>
      <c r="J122" s="184" t="s">
        <v>377</v>
      </c>
      <c r="K122" s="497" t="s">
        <v>909</v>
      </c>
      <c r="L122" s="186" t="s">
        <v>390</v>
      </c>
      <c r="M122" s="185" t="s">
        <v>195</v>
      </c>
      <c r="N122" s="187" t="s">
        <v>391</v>
      </c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</row>
    <row r="123" spans="1:35" x14ac:dyDescent="0.25">
      <c r="B123" s="150" t="s">
        <v>586</v>
      </c>
      <c r="C123" s="150" t="s">
        <v>586</v>
      </c>
      <c r="D123" s="150" t="s">
        <v>586</v>
      </c>
      <c r="E123" s="150" t="s">
        <v>586</v>
      </c>
      <c r="F123" s="276" t="s">
        <v>586</v>
      </c>
      <c r="G123" s="150" t="s">
        <v>586</v>
      </c>
      <c r="H123" s="150" t="s">
        <v>586</v>
      </c>
      <c r="I123" s="150" t="s">
        <v>586</v>
      </c>
      <c r="J123" s="150" t="s">
        <v>586</v>
      </c>
      <c r="K123" s="150" t="s">
        <v>586</v>
      </c>
      <c r="L123" s="150" t="s">
        <v>586</v>
      </c>
      <c r="M123" s="150" t="s">
        <v>586</v>
      </c>
      <c r="N123" s="150" t="s">
        <v>586</v>
      </c>
    </row>
  </sheetData>
  <sheetProtection algorithmName="SHA-512" hashValue="DJU781CItNjgvoQABl8wJQJEg/9xLgoeuKaW5nlG3oAlRMyjvD++6UuqNR/dPMsTdvysLFQJXxW2vpv+EilUgQ==" saltValue="XJtkwyo4XNJBfOjik9GQGQ==" spinCount="100000" sheet="1" sort="0"/>
  <mergeCells count="29">
    <mergeCell ref="H5:H8"/>
    <mergeCell ref="A10:AI10"/>
    <mergeCell ref="B1:AI1"/>
    <mergeCell ref="A3:C3"/>
    <mergeCell ref="D3:F3"/>
    <mergeCell ref="G3:H3"/>
    <mergeCell ref="I3:X3"/>
    <mergeCell ref="Z3:AE3"/>
    <mergeCell ref="AG3:AI3"/>
    <mergeCell ref="A47:A52"/>
    <mergeCell ref="A5:A8"/>
    <mergeCell ref="B5:B8"/>
    <mergeCell ref="D5:D8"/>
    <mergeCell ref="E5:E8"/>
    <mergeCell ref="A12:A17"/>
    <mergeCell ref="A19:A24"/>
    <mergeCell ref="A26:A31"/>
    <mergeCell ref="A33:A38"/>
    <mergeCell ref="A40:A45"/>
    <mergeCell ref="A96:A101"/>
    <mergeCell ref="A103:A108"/>
    <mergeCell ref="A110:A115"/>
    <mergeCell ref="A117:A122"/>
    <mergeCell ref="A54:A59"/>
    <mergeCell ref="A61:A66"/>
    <mergeCell ref="A68:A73"/>
    <mergeCell ref="A75:A80"/>
    <mergeCell ref="A82:A87"/>
    <mergeCell ref="A89:A94"/>
  </mergeCells>
  <conditionalFormatting sqref="B31">
    <cfRule type="expression" dxfId="15" priority="2">
      <formula>"B17&lt;&gt;0"</formula>
    </cfRule>
  </conditionalFormatting>
  <conditionalFormatting sqref="F31">
    <cfRule type="expression" dxfId="14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ageMargins left="0.7" right="0.7" top="0.75" bottom="0.75" header="0.3" footer="0.3"/>
  <pageSetup paperSize="9" scale="1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tabColor theme="8" tint="-0.499984740745262"/>
    <pageSetUpPr fitToPage="1"/>
  </sheetPr>
  <dimension ref="A1:AL85"/>
  <sheetViews>
    <sheetView view="pageBreakPreview" topLeftCell="K49" zoomScale="55" zoomScaleNormal="25" zoomScaleSheetLayoutView="55" workbookViewId="0">
      <selection activeCell="O77" sqref="O77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8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8" ht="15.75" thickBot="1" x14ac:dyDescent="0.3">
      <c r="C2" s="78"/>
    </row>
    <row r="3" spans="1:38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8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927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8" ht="58.5" customHeight="1" thickBot="1" x14ac:dyDescent="0.3">
      <c r="A5" s="379" t="str">
        <f>'LISTE DES CAS ANNEXE 30'!A47</f>
        <v>CONVENTION CAS 18</v>
      </c>
      <c r="B5" s="369">
        <f>'LISTE DES CAS ANNEXE 30'!B47</f>
        <v>1</v>
      </c>
      <c r="C5" s="370">
        <f>'LISTE DES CAS ANNEXE 30'!C47</f>
        <v>1</v>
      </c>
      <c r="D5" s="367" t="str">
        <f>'LISTE DES CAS ANNEXE 30'!D47</f>
        <v>MALADIE RLAM</v>
      </c>
      <c r="E5" s="368">
        <f>'LISTE DES CAS ANNEXE 30'!E47</f>
        <v>1</v>
      </c>
      <c r="F5" s="519" t="s">
        <v>267</v>
      </c>
      <c r="G5" s="384" t="str">
        <f>'LISTE DES CAS ANNEXE 30'!I47</f>
        <v>Sans objet</v>
      </c>
      <c r="H5" s="366" t="str">
        <f>'LISTE DES CAS ANNEXE 30'!J47</f>
        <v>05 - TP AMO SEUL</v>
      </c>
      <c r="I5" s="412" t="str">
        <f>'LISTE DES CAS ANNEXE 30'!K47</f>
        <v>69-LYON</v>
      </c>
      <c r="J5" s="355" t="str">
        <f>'LISTE DES CAS ANNEXE 30'!L47</f>
        <v>42-SAINT-ETIENNE</v>
      </c>
      <c r="K5" s="356" t="str">
        <f>'LISTE DES CAS ANNEXE 30'!M47</f>
        <v>01/12/2025 à 10H00</v>
      </c>
      <c r="L5" s="356" t="str">
        <f>'LISTE DES CAS ANNEXE 30'!N47</f>
        <v>01/12/2025 à 11h15</v>
      </c>
      <c r="M5" s="357" t="str">
        <f>'LISTE DES CAS ANNEXE 30'!O47</f>
        <v>EE-003-FF</v>
      </c>
      <c r="N5" s="357" t="str">
        <f>'LISTE DES CAS ANNEXE 30'!P47</f>
        <v>69123
(LYON)</v>
      </c>
      <c r="O5" s="357" t="str">
        <f>'LISTE DES CAS ANNEXE 30'!Q47</f>
        <v>069</v>
      </c>
      <c r="P5" s="357" t="str">
        <f>'LISTE DES CAS ANNEXE 30'!R47</f>
        <v xml:space="preserve">691 - CPAM DU RHONE </v>
      </c>
      <c r="Q5" s="358">
        <f>'LISTE DES CAS ANNEXE 30'!S47</f>
        <v>63</v>
      </c>
      <c r="R5" s="359" t="str">
        <f>'LISTE DES CAS ANNEXE 30'!T47</f>
        <v>JOUR</v>
      </c>
      <c r="S5" s="360">
        <f>'LISTE DES CAS ANNEXE 30'!U47</f>
        <v>1</v>
      </c>
      <c r="T5" s="356" t="str">
        <f>'LISTE DES CAS ANNEXE 30'!V47</f>
        <v>NON</v>
      </c>
      <c r="U5" s="356" t="str">
        <f>'LISTE DES CAS ANNEXE 30'!W47</f>
        <v>NON</v>
      </c>
      <c r="V5" s="356" t="str">
        <f>'LISTE DES CAS ANNEXE 30'!X47</f>
        <v>NON</v>
      </c>
      <c r="W5" s="356" t="str">
        <f>'LISTE DES CAS ANNEXE 30'!Y47</f>
        <v>NON</v>
      </c>
      <c r="X5" s="361" t="str">
        <f>'LISTE DES CAS ANNEXE 30'!Z47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8" ht="15.75" thickBot="1" x14ac:dyDescent="0.3">
      <c r="C6" s="78"/>
    </row>
    <row r="7" spans="1:38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8" s="371" customFormat="1" ht="15.75" thickBot="1" x14ac:dyDescent="0.3">
      <c r="B8" s="372"/>
      <c r="C8" s="373"/>
      <c r="F8" s="374"/>
      <c r="AJ8" s="77"/>
      <c r="AK8" s="77"/>
      <c r="AL8" s="77"/>
    </row>
    <row r="9" spans="1:38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8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8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8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8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8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8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8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935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207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602</v>
      </c>
      <c r="Z42" s="194" t="s">
        <v>602</v>
      </c>
      <c r="AA42" s="194" t="s">
        <v>766</v>
      </c>
      <c r="AB42" s="194" t="s">
        <v>602</v>
      </c>
      <c r="AC42" s="194" t="s">
        <v>602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5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5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5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5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5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5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5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5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214</v>
      </c>
      <c r="M56" s="54" t="s">
        <v>543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609</v>
      </c>
      <c r="T56" s="54" t="s">
        <v>263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5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5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5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5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5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5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5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611</v>
      </c>
      <c r="Z63" s="96" t="s">
        <v>611</v>
      </c>
      <c r="AA63" s="97" t="s">
        <v>766</v>
      </c>
      <c r="AB63" s="96" t="s">
        <v>611</v>
      </c>
      <c r="AC63" s="96" t="s">
        <v>611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5" s="75" customFormat="1" ht="15.75" thickBot="1" x14ac:dyDescent="0.3">
      <c r="A64" s="77"/>
      <c r="B64" s="144"/>
      <c r="C64" s="77"/>
      <c r="D64" s="77"/>
      <c r="E64" s="77"/>
      <c r="F64" s="271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</row>
    <row r="65" spans="1:35" ht="100.15" customHeight="1" x14ac:dyDescent="0.25">
      <c r="A65" s="614" t="s">
        <v>360</v>
      </c>
      <c r="B65" s="147" t="s">
        <v>13</v>
      </c>
      <c r="C65" s="24" t="s">
        <v>14</v>
      </c>
      <c r="D65" s="24" t="s">
        <v>15</v>
      </c>
      <c r="E65" s="25" t="s">
        <v>16</v>
      </c>
      <c r="F65" s="282" t="s">
        <v>17</v>
      </c>
      <c r="G65" s="24" t="s">
        <v>70</v>
      </c>
      <c r="H65" s="24" t="s">
        <v>15</v>
      </c>
      <c r="I65" s="24" t="s">
        <v>220</v>
      </c>
      <c r="J65" s="24" t="s">
        <v>221</v>
      </c>
      <c r="K65" s="26" t="s">
        <v>222</v>
      </c>
      <c r="L65" s="26" t="s">
        <v>223</v>
      </c>
      <c r="M65" s="24" t="s">
        <v>224</v>
      </c>
      <c r="N65" s="24" t="s">
        <v>225</v>
      </c>
      <c r="O65" s="24" t="s">
        <v>226</v>
      </c>
      <c r="P65" s="24" t="s">
        <v>221</v>
      </c>
      <c r="Q65" s="24" t="s">
        <v>227</v>
      </c>
      <c r="R65" s="24" t="s">
        <v>15</v>
      </c>
      <c r="S65" s="27" t="s">
        <v>228</v>
      </c>
    </row>
    <row r="66" spans="1:35" ht="19.899999999999999" customHeight="1" x14ac:dyDescent="0.25">
      <c r="A66" s="615"/>
      <c r="B66" s="148">
        <v>1</v>
      </c>
      <c r="C66" s="5" t="s">
        <v>47</v>
      </c>
      <c r="D66" s="4">
        <v>11</v>
      </c>
      <c r="E66" s="6" t="s">
        <v>48</v>
      </c>
      <c r="F66" s="283" t="s">
        <v>49</v>
      </c>
      <c r="G66" s="7" t="s">
        <v>50</v>
      </c>
      <c r="H66" s="7" t="s">
        <v>229</v>
      </c>
      <c r="I66" s="7" t="s">
        <v>216</v>
      </c>
      <c r="J66" s="7" t="s">
        <v>230</v>
      </c>
      <c r="K66" s="8" t="s">
        <v>217</v>
      </c>
      <c r="L66" s="8" t="s">
        <v>218</v>
      </c>
      <c r="M66" s="7" t="s">
        <v>179</v>
      </c>
      <c r="N66" s="7" t="s">
        <v>219</v>
      </c>
      <c r="O66" s="7">
        <v>90</v>
      </c>
      <c r="P66" s="7" t="s">
        <v>231</v>
      </c>
      <c r="Q66" s="7">
        <v>94</v>
      </c>
      <c r="R66" s="7" t="s">
        <v>232</v>
      </c>
      <c r="S66" s="28" t="s">
        <v>233</v>
      </c>
    </row>
    <row r="67" spans="1:35" outlineLevel="1" x14ac:dyDescent="0.25">
      <c r="A67" s="615"/>
      <c r="B67" s="148">
        <v>1</v>
      </c>
      <c r="C67" s="4">
        <v>9</v>
      </c>
      <c r="D67" s="4">
        <v>1</v>
      </c>
      <c r="E67" s="9">
        <v>13</v>
      </c>
      <c r="F67" s="284">
        <v>2</v>
      </c>
      <c r="G67" s="4">
        <v>9</v>
      </c>
      <c r="H67" s="4">
        <v>3</v>
      </c>
      <c r="I67" s="4">
        <v>3</v>
      </c>
      <c r="J67" s="4">
        <v>16</v>
      </c>
      <c r="K67" s="10">
        <v>8</v>
      </c>
      <c r="L67" s="10">
        <v>8</v>
      </c>
      <c r="M67" s="4">
        <v>8</v>
      </c>
      <c r="N67" s="4">
        <v>8</v>
      </c>
      <c r="O67" s="4">
        <v>1</v>
      </c>
      <c r="P67" s="4">
        <v>3</v>
      </c>
      <c r="Q67" s="4">
        <v>1</v>
      </c>
      <c r="R67" s="4">
        <v>2</v>
      </c>
      <c r="S67" s="29">
        <v>32</v>
      </c>
    </row>
    <row r="68" spans="1:35" ht="13.5" customHeight="1" outlineLevel="1" x14ac:dyDescent="0.25">
      <c r="A68" s="615"/>
      <c r="B68" s="148" t="s">
        <v>1</v>
      </c>
      <c r="C68" s="4" t="s">
        <v>1</v>
      </c>
      <c r="D68" s="4" t="s">
        <v>69</v>
      </c>
      <c r="E68" s="9" t="s">
        <v>69</v>
      </c>
      <c r="F68" s="284" t="s">
        <v>1</v>
      </c>
      <c r="G68" s="4" t="s">
        <v>1</v>
      </c>
      <c r="H68" s="4" t="s">
        <v>69</v>
      </c>
      <c r="I68" s="4" t="s">
        <v>1</v>
      </c>
      <c r="J68" s="4" t="s">
        <v>69</v>
      </c>
      <c r="K68" s="12" t="s">
        <v>1</v>
      </c>
      <c r="L68" s="12" t="s">
        <v>1</v>
      </c>
      <c r="M68" s="4" t="s">
        <v>1</v>
      </c>
      <c r="N68" s="4" t="s">
        <v>1</v>
      </c>
      <c r="O68" s="4" t="s">
        <v>69</v>
      </c>
      <c r="P68" s="4" t="s">
        <v>69</v>
      </c>
      <c r="Q68" s="4" t="s">
        <v>69</v>
      </c>
      <c r="R68" s="4" t="s">
        <v>69</v>
      </c>
      <c r="S68" s="29" t="s">
        <v>69</v>
      </c>
    </row>
    <row r="69" spans="1:35" outlineLevel="1" x14ac:dyDescent="0.25">
      <c r="A69" s="615"/>
      <c r="B69" s="148" t="s">
        <v>0</v>
      </c>
      <c r="C69" s="4" t="s">
        <v>0</v>
      </c>
      <c r="D69" s="4" t="s">
        <v>4</v>
      </c>
      <c r="E69" s="9" t="s">
        <v>0</v>
      </c>
      <c r="F69" s="284" t="s">
        <v>0</v>
      </c>
      <c r="G69" s="4" t="s">
        <v>0</v>
      </c>
      <c r="H69" s="4" t="s">
        <v>4</v>
      </c>
      <c r="I69" s="4" t="s">
        <v>0</v>
      </c>
      <c r="J69" s="4" t="s">
        <v>0</v>
      </c>
      <c r="K69" s="12" t="s">
        <v>0</v>
      </c>
      <c r="L69" s="12" t="s">
        <v>0</v>
      </c>
      <c r="M69" s="4" t="s">
        <v>0</v>
      </c>
      <c r="N69" s="4" t="s">
        <v>4</v>
      </c>
      <c r="O69" s="4" t="s">
        <v>4</v>
      </c>
      <c r="P69" s="4" t="s">
        <v>0</v>
      </c>
      <c r="Q69" s="4" t="s">
        <v>0</v>
      </c>
      <c r="R69" s="4" t="s">
        <v>4</v>
      </c>
      <c r="S69" s="29" t="s">
        <v>4</v>
      </c>
    </row>
    <row r="70" spans="1:35" s="163" customFormat="1" ht="30" customHeight="1" thickBot="1" x14ac:dyDescent="0.3">
      <c r="A70" s="616"/>
      <c r="B70" s="157">
        <v>5</v>
      </c>
      <c r="C70" s="54" t="s">
        <v>544</v>
      </c>
      <c r="D70" s="55" t="s">
        <v>8</v>
      </c>
      <c r="E70" s="55" t="s">
        <v>198</v>
      </c>
      <c r="F70" s="270">
        <v>77</v>
      </c>
      <c r="G70" s="55">
        <v>250000001</v>
      </c>
      <c r="H70" s="98" t="s">
        <v>9</v>
      </c>
      <c r="I70" s="496" t="s">
        <v>885</v>
      </c>
      <c r="J70" s="98" t="s">
        <v>234</v>
      </c>
      <c r="K70" s="56" t="s">
        <v>613</v>
      </c>
      <c r="L70" s="56" t="s">
        <v>613</v>
      </c>
      <c r="M70" s="56" t="s">
        <v>599</v>
      </c>
      <c r="N70" s="56" t="s">
        <v>599</v>
      </c>
      <c r="O70" s="56" t="s">
        <v>8</v>
      </c>
      <c r="P70" s="56" t="s">
        <v>9</v>
      </c>
      <c r="Q70" s="56" t="s">
        <v>8</v>
      </c>
      <c r="R70" s="56" t="s">
        <v>210</v>
      </c>
      <c r="S70" s="99" t="s">
        <v>235</v>
      </c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</row>
    <row r="71" spans="1:35" ht="15.75" thickBot="1" x14ac:dyDescent="0.3">
      <c r="A71" s="75"/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</row>
    <row r="72" spans="1:35" ht="100.15" customHeight="1" x14ac:dyDescent="0.25">
      <c r="A72" s="608" t="s">
        <v>361</v>
      </c>
      <c r="B72" s="327" t="s">
        <v>13</v>
      </c>
      <c r="C72" s="328" t="s">
        <v>14</v>
      </c>
      <c r="D72" s="328" t="s">
        <v>339</v>
      </c>
      <c r="E72" s="329" t="s">
        <v>469</v>
      </c>
      <c r="F72" s="330" t="s">
        <v>470</v>
      </c>
      <c r="G72" s="328" t="s">
        <v>471</v>
      </c>
      <c r="H72" s="328" t="s">
        <v>340</v>
      </c>
      <c r="I72" s="328" t="s">
        <v>473</v>
      </c>
      <c r="J72" s="328" t="s">
        <v>472</v>
      </c>
      <c r="K72" s="331" t="s">
        <v>312</v>
      </c>
      <c r="L72" s="331" t="s">
        <v>341</v>
      </c>
      <c r="M72" s="328" t="s">
        <v>25</v>
      </c>
      <c r="N72" s="328" t="s">
        <v>15</v>
      </c>
      <c r="O72" s="328" t="s">
        <v>474</v>
      </c>
      <c r="P72" s="328" t="s">
        <v>342</v>
      </c>
      <c r="Q72" s="328" t="s">
        <v>15</v>
      </c>
      <c r="R72" s="328" t="s">
        <v>343</v>
      </c>
      <c r="S72" s="332" t="s">
        <v>228</v>
      </c>
    </row>
    <row r="73" spans="1:35" ht="19.899999999999999" customHeight="1" x14ac:dyDescent="0.25">
      <c r="A73" s="609"/>
      <c r="B73" s="158">
        <v>1</v>
      </c>
      <c r="C73" s="102" t="s">
        <v>47</v>
      </c>
      <c r="D73" s="103" t="s">
        <v>344</v>
      </c>
      <c r="E73" s="104" t="s">
        <v>345</v>
      </c>
      <c r="F73" s="298" t="s">
        <v>346</v>
      </c>
      <c r="G73" s="103" t="s">
        <v>347</v>
      </c>
      <c r="H73" s="103" t="s">
        <v>348</v>
      </c>
      <c r="I73" s="103" t="s">
        <v>349</v>
      </c>
      <c r="J73" s="103" t="s">
        <v>350</v>
      </c>
      <c r="K73" s="105" t="s">
        <v>351</v>
      </c>
      <c r="L73" s="105" t="s">
        <v>352</v>
      </c>
      <c r="M73" s="103" t="s">
        <v>353</v>
      </c>
      <c r="N73" s="103" t="s">
        <v>354</v>
      </c>
      <c r="O73" s="103" t="s">
        <v>355</v>
      </c>
      <c r="P73" s="103" t="s">
        <v>356</v>
      </c>
      <c r="Q73" s="103" t="s">
        <v>357</v>
      </c>
      <c r="R73" s="103" t="s">
        <v>358</v>
      </c>
      <c r="S73" s="333" t="s">
        <v>233</v>
      </c>
    </row>
    <row r="74" spans="1:35" outlineLevel="1" x14ac:dyDescent="0.25">
      <c r="A74" s="609"/>
      <c r="B74" s="158">
        <v>1</v>
      </c>
      <c r="C74" s="101">
        <v>9</v>
      </c>
      <c r="D74" s="101">
        <v>3</v>
      </c>
      <c r="E74" s="101">
        <v>4</v>
      </c>
      <c r="F74" s="299">
        <v>4</v>
      </c>
      <c r="G74" s="101">
        <v>3</v>
      </c>
      <c r="H74" s="101">
        <v>9</v>
      </c>
      <c r="I74" s="101">
        <v>9</v>
      </c>
      <c r="J74" s="101">
        <v>9</v>
      </c>
      <c r="K74" s="107">
        <v>3</v>
      </c>
      <c r="L74" s="107">
        <v>1</v>
      </c>
      <c r="M74" s="101">
        <v>1</v>
      </c>
      <c r="N74" s="101">
        <v>4</v>
      </c>
      <c r="O74" s="101">
        <v>12</v>
      </c>
      <c r="P74" s="101">
        <v>12</v>
      </c>
      <c r="Q74" s="103">
        <v>3</v>
      </c>
      <c r="R74" s="101">
        <v>9</v>
      </c>
      <c r="S74" s="334">
        <v>32</v>
      </c>
    </row>
    <row r="75" spans="1:35" outlineLevel="1" x14ac:dyDescent="0.25">
      <c r="A75" s="609"/>
      <c r="B75" s="158" t="s">
        <v>1</v>
      </c>
      <c r="C75" s="101" t="s">
        <v>1</v>
      </c>
      <c r="D75" s="197" t="s">
        <v>1</v>
      </c>
      <c r="E75" s="106" t="s">
        <v>1</v>
      </c>
      <c r="F75" s="299" t="s">
        <v>1</v>
      </c>
      <c r="G75" s="101" t="s">
        <v>1</v>
      </c>
      <c r="H75" s="101" t="s">
        <v>1</v>
      </c>
      <c r="I75" s="101" t="s">
        <v>1</v>
      </c>
      <c r="J75" s="101" t="s">
        <v>1</v>
      </c>
      <c r="K75" s="108" t="s">
        <v>1</v>
      </c>
      <c r="L75" s="108" t="s">
        <v>69</v>
      </c>
      <c r="M75" s="101" t="s">
        <v>69</v>
      </c>
      <c r="N75" s="101" t="s">
        <v>69</v>
      </c>
      <c r="O75" s="101" t="s">
        <v>69</v>
      </c>
      <c r="P75" s="101" t="s">
        <v>1</v>
      </c>
      <c r="Q75" s="101" t="s">
        <v>69</v>
      </c>
      <c r="R75" s="101" t="s">
        <v>1</v>
      </c>
      <c r="S75" s="334" t="s">
        <v>1</v>
      </c>
    </row>
    <row r="76" spans="1:35" outlineLevel="1" x14ac:dyDescent="0.25">
      <c r="A76" s="609"/>
      <c r="B76" s="158" t="s">
        <v>0</v>
      </c>
      <c r="C76" s="101" t="s">
        <v>0</v>
      </c>
      <c r="D76" s="101" t="s">
        <v>0</v>
      </c>
      <c r="E76" s="106" t="s">
        <v>0</v>
      </c>
      <c r="F76" s="299" t="s">
        <v>0</v>
      </c>
      <c r="G76" s="101" t="s">
        <v>0</v>
      </c>
      <c r="H76" s="101" t="s">
        <v>0</v>
      </c>
      <c r="I76" s="101" t="s">
        <v>0</v>
      </c>
      <c r="J76" s="101" t="s">
        <v>0</v>
      </c>
      <c r="K76" s="108" t="s">
        <v>0</v>
      </c>
      <c r="L76" s="108" t="s">
        <v>4</v>
      </c>
      <c r="M76" s="101" t="s">
        <v>4</v>
      </c>
      <c r="N76" s="101" t="s">
        <v>4</v>
      </c>
      <c r="O76" s="101" t="s">
        <v>4</v>
      </c>
      <c r="P76" s="101" t="s">
        <v>4</v>
      </c>
      <c r="Q76" s="101" t="s">
        <v>4</v>
      </c>
      <c r="R76" s="101" t="s">
        <v>4</v>
      </c>
      <c r="S76" s="334" t="s">
        <v>0</v>
      </c>
    </row>
    <row r="77" spans="1:35" s="163" customFormat="1" ht="30" customHeight="1" thickBot="1" x14ac:dyDescent="0.3">
      <c r="A77" s="610"/>
      <c r="B77" s="183">
        <v>6</v>
      </c>
      <c r="C77" s="335" t="s">
        <v>544</v>
      </c>
      <c r="D77" s="185" t="s">
        <v>195</v>
      </c>
      <c r="E77" s="336" t="s">
        <v>521</v>
      </c>
      <c r="F77" s="337" t="s">
        <v>521</v>
      </c>
      <c r="G77" s="185" t="s">
        <v>195</v>
      </c>
      <c r="H77" s="184" t="s">
        <v>616</v>
      </c>
      <c r="I77" s="184" t="s">
        <v>616</v>
      </c>
      <c r="J77" s="184" t="s">
        <v>209</v>
      </c>
      <c r="K77" s="184" t="s">
        <v>195</v>
      </c>
      <c r="L77" s="186" t="s">
        <v>8</v>
      </c>
      <c r="M77" s="186" t="s">
        <v>8</v>
      </c>
      <c r="N77" s="186" t="s">
        <v>387</v>
      </c>
      <c r="O77" s="186" t="s">
        <v>941</v>
      </c>
      <c r="P77" s="186" t="s">
        <v>388</v>
      </c>
      <c r="Q77" s="186" t="s">
        <v>9</v>
      </c>
      <c r="R77" s="186" t="s">
        <v>389</v>
      </c>
      <c r="S77" s="187" t="s">
        <v>235</v>
      </c>
    </row>
    <row r="78" spans="1:35" ht="9.75" customHeight="1" thickBot="1" x14ac:dyDescent="0.3">
      <c r="B78" s="150" t="s">
        <v>586</v>
      </c>
      <c r="C78" s="150" t="s">
        <v>586</v>
      </c>
      <c r="D78" s="150" t="s">
        <v>586</v>
      </c>
      <c r="E78" s="150" t="s">
        <v>586</v>
      </c>
      <c r="F78" s="276" t="s">
        <v>586</v>
      </c>
      <c r="G78" s="150" t="s">
        <v>586</v>
      </c>
      <c r="H78" s="150" t="s">
        <v>586</v>
      </c>
      <c r="I78" s="150" t="s">
        <v>586</v>
      </c>
      <c r="J78" s="150" t="s">
        <v>586</v>
      </c>
      <c r="K78" s="150" t="s">
        <v>586</v>
      </c>
      <c r="L78" s="150" t="s">
        <v>586</v>
      </c>
      <c r="M78" s="150" t="s">
        <v>586</v>
      </c>
      <c r="N78" s="150" t="s">
        <v>586</v>
      </c>
      <c r="O78" s="150" t="s">
        <v>586</v>
      </c>
      <c r="P78" s="150" t="s">
        <v>586</v>
      </c>
      <c r="Q78" s="150" t="s">
        <v>586</v>
      </c>
      <c r="R78" s="150" t="s">
        <v>586</v>
      </c>
      <c r="S78" s="150" t="s">
        <v>586</v>
      </c>
    </row>
    <row r="79" spans="1:35" ht="100.15" customHeight="1" x14ac:dyDescent="0.25">
      <c r="A79" s="611" t="s">
        <v>371</v>
      </c>
      <c r="B79" s="159" t="s">
        <v>13</v>
      </c>
      <c r="C79" s="117" t="s">
        <v>363</v>
      </c>
      <c r="D79" s="117" t="s">
        <v>364</v>
      </c>
      <c r="E79" s="118" t="s">
        <v>15</v>
      </c>
      <c r="F79" s="300" t="s">
        <v>283</v>
      </c>
      <c r="G79" s="117" t="s">
        <v>365</v>
      </c>
      <c r="H79" s="117" t="s">
        <v>15</v>
      </c>
      <c r="I79" s="117" t="s">
        <v>286</v>
      </c>
      <c r="J79" s="117" t="s">
        <v>287</v>
      </c>
      <c r="K79" s="119" t="s">
        <v>366</v>
      </c>
      <c r="L79" s="119" t="s">
        <v>15</v>
      </c>
      <c r="M79" s="117" t="s">
        <v>367</v>
      </c>
      <c r="N79" s="120" t="s">
        <v>15</v>
      </c>
    </row>
    <row r="80" spans="1:35" ht="19.899999999999999" customHeight="1" x14ac:dyDescent="0.25">
      <c r="A80" s="612"/>
      <c r="B80" s="198" t="s">
        <v>293</v>
      </c>
      <c r="C80" s="110" t="s">
        <v>294</v>
      </c>
      <c r="D80" s="111" t="s">
        <v>295</v>
      </c>
      <c r="E80" s="112" t="s">
        <v>296</v>
      </c>
      <c r="F80" s="301" t="s">
        <v>297</v>
      </c>
      <c r="G80" s="111" t="s">
        <v>298</v>
      </c>
      <c r="H80" s="111" t="s">
        <v>299</v>
      </c>
      <c r="I80" s="111" t="s">
        <v>300</v>
      </c>
      <c r="J80" s="111" t="s">
        <v>301</v>
      </c>
      <c r="K80" s="113" t="s">
        <v>368</v>
      </c>
      <c r="L80" s="113" t="s">
        <v>369</v>
      </c>
      <c r="M80" s="111" t="s">
        <v>307</v>
      </c>
      <c r="N80" s="121" t="s">
        <v>370</v>
      </c>
    </row>
    <row r="81" spans="1:35" outlineLevel="1" x14ac:dyDescent="0.25">
      <c r="A81" s="612"/>
      <c r="B81" s="160">
        <v>3</v>
      </c>
      <c r="C81" s="109">
        <v>2</v>
      </c>
      <c r="D81" s="109">
        <v>14</v>
      </c>
      <c r="E81" s="109">
        <v>6</v>
      </c>
      <c r="F81" s="302">
        <v>2</v>
      </c>
      <c r="G81" s="109">
        <v>14</v>
      </c>
      <c r="H81" s="109">
        <v>6</v>
      </c>
      <c r="I81" s="109">
        <v>2</v>
      </c>
      <c r="J81" s="109">
        <v>6</v>
      </c>
      <c r="K81" s="115">
        <v>8</v>
      </c>
      <c r="L81" s="115">
        <v>19</v>
      </c>
      <c r="M81" s="109">
        <v>3</v>
      </c>
      <c r="N81" s="122">
        <v>43</v>
      </c>
    </row>
    <row r="82" spans="1:35" outlineLevel="1" x14ac:dyDescent="0.25">
      <c r="A82" s="612"/>
      <c r="B82" s="160" t="s">
        <v>1</v>
      </c>
      <c r="C82" s="109" t="s">
        <v>69</v>
      </c>
      <c r="D82" s="109" t="s">
        <v>1</v>
      </c>
      <c r="E82" s="114" t="s">
        <v>69</v>
      </c>
      <c r="F82" s="302" t="s">
        <v>69</v>
      </c>
      <c r="G82" s="109" t="s">
        <v>1</v>
      </c>
      <c r="H82" s="109" t="s">
        <v>69</v>
      </c>
      <c r="I82" s="109" t="s">
        <v>69</v>
      </c>
      <c r="J82" s="109" t="s">
        <v>69</v>
      </c>
      <c r="K82" s="116" t="s">
        <v>1</v>
      </c>
      <c r="L82" s="116" t="s">
        <v>69</v>
      </c>
      <c r="M82" s="109" t="s">
        <v>1</v>
      </c>
      <c r="N82" s="122" t="s">
        <v>69</v>
      </c>
    </row>
    <row r="83" spans="1:35" outlineLevel="1" x14ac:dyDescent="0.25">
      <c r="A83" s="612"/>
      <c r="B83" s="160" t="s">
        <v>0</v>
      </c>
      <c r="C83" s="109" t="s">
        <v>0</v>
      </c>
      <c r="D83" s="109" t="s">
        <v>0</v>
      </c>
      <c r="E83" s="114" t="s">
        <v>4</v>
      </c>
      <c r="F83" s="302" t="s">
        <v>0</v>
      </c>
      <c r="G83" s="109" t="s">
        <v>0</v>
      </c>
      <c r="H83" s="109" t="s">
        <v>4</v>
      </c>
      <c r="I83" s="109" t="s">
        <v>0</v>
      </c>
      <c r="J83" s="109" t="s">
        <v>0</v>
      </c>
      <c r="K83" s="116" t="s">
        <v>0</v>
      </c>
      <c r="L83" s="116" t="s">
        <v>4</v>
      </c>
      <c r="M83" s="109" t="s">
        <v>0</v>
      </c>
      <c r="N83" s="122" t="s">
        <v>4</v>
      </c>
    </row>
    <row r="84" spans="1:35" ht="30" customHeight="1" thickBot="1" x14ac:dyDescent="0.3">
      <c r="A84" s="613"/>
      <c r="B84" s="183">
        <v>999</v>
      </c>
      <c r="C84" s="186" t="s">
        <v>373</v>
      </c>
      <c r="D84" s="174" t="s">
        <v>584</v>
      </c>
      <c r="E84" s="186" t="s">
        <v>374</v>
      </c>
      <c r="F84" s="303" t="s">
        <v>375</v>
      </c>
      <c r="G84" s="174" t="s">
        <v>585</v>
      </c>
      <c r="H84" s="186" t="s">
        <v>374</v>
      </c>
      <c r="I84" s="186" t="s">
        <v>376</v>
      </c>
      <c r="J84" s="184" t="s">
        <v>377</v>
      </c>
      <c r="K84" s="497" t="s">
        <v>908</v>
      </c>
      <c r="L84" s="186" t="s">
        <v>390</v>
      </c>
      <c r="M84" s="185" t="s">
        <v>195</v>
      </c>
      <c r="N84" s="187" t="s">
        <v>391</v>
      </c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</row>
    <row r="85" spans="1:35" x14ac:dyDescent="0.25">
      <c r="B85" s="150" t="s">
        <v>586</v>
      </c>
      <c r="C85" s="150" t="s">
        <v>586</v>
      </c>
      <c r="D85" s="150" t="s">
        <v>586</v>
      </c>
      <c r="E85" s="150" t="s">
        <v>586</v>
      </c>
      <c r="F85" s="276" t="s">
        <v>586</v>
      </c>
      <c r="G85" s="150" t="s">
        <v>586</v>
      </c>
      <c r="H85" s="150" t="s">
        <v>586</v>
      </c>
      <c r="I85" s="150" t="s">
        <v>586</v>
      </c>
      <c r="J85" s="150" t="s">
        <v>586</v>
      </c>
      <c r="K85" s="150" t="s">
        <v>586</v>
      </c>
      <c r="L85" s="150" t="s">
        <v>586</v>
      </c>
      <c r="M85" s="150" t="s">
        <v>586</v>
      </c>
      <c r="N85" s="150" t="s">
        <v>586</v>
      </c>
    </row>
  </sheetData>
  <sheetProtection algorithmName="SHA-512" hashValue="AHAvPzPA7E7+HhBp5YZV95UIFMlj7OHosDAI0WyliBjEd+R2JUtIgJjk07dXI4Hb4mRrb5FugXuEcjqjpgJOMw==" saltValue="kwnjwkiFlH4Ct37DsyF6cg==" spinCount="100000" sheet="1" sort="0"/>
  <mergeCells count="19">
    <mergeCell ref="B1:AI1"/>
    <mergeCell ref="A3:C3"/>
    <mergeCell ref="D3:F3"/>
    <mergeCell ref="G3:H3"/>
    <mergeCell ref="I3:X3"/>
    <mergeCell ref="Z3:AE3"/>
    <mergeCell ref="AG3:AI3"/>
    <mergeCell ref="A79:A84"/>
    <mergeCell ref="A7:AI7"/>
    <mergeCell ref="A9:A14"/>
    <mergeCell ref="A16:A21"/>
    <mergeCell ref="A23:A28"/>
    <mergeCell ref="A30:A35"/>
    <mergeCell ref="A37:A42"/>
    <mergeCell ref="A44:A49"/>
    <mergeCell ref="A51:A56"/>
    <mergeCell ref="A58:A63"/>
    <mergeCell ref="A65:A70"/>
    <mergeCell ref="A72:A77"/>
  </mergeCells>
  <conditionalFormatting sqref="B28">
    <cfRule type="expression" dxfId="13" priority="2">
      <formula>"B17&lt;&gt;0"</formula>
    </cfRule>
  </conditionalFormatting>
  <conditionalFormatting sqref="F28">
    <cfRule type="expression" dxfId="12" priority="1">
      <formula>"b17&lt;&gt;0"</formula>
    </cfRule>
  </conditionalFormatting>
  <hyperlinks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tabColor theme="8" tint="-0.499984740745262"/>
    <pageSetUpPr fitToPage="1"/>
  </sheetPr>
  <dimension ref="A1:AL85"/>
  <sheetViews>
    <sheetView view="pageBreakPreview" topLeftCell="A62" zoomScale="70" zoomScaleNormal="25" zoomScaleSheetLayoutView="70" workbookViewId="0">
      <selection activeCell="O77" sqref="O77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8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8" ht="15.75" thickBot="1" x14ac:dyDescent="0.3">
      <c r="C2" s="78"/>
    </row>
    <row r="3" spans="1:38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8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926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8" ht="58.5" customHeight="1" thickBot="1" x14ac:dyDescent="0.3">
      <c r="A5" s="379" t="str">
        <f>'LISTE DES CAS ANNEXE 30'!A49</f>
        <v>CONVENTION CAS 19</v>
      </c>
      <c r="B5" s="369">
        <f>'LISTE DES CAS ANNEXE 30'!B49</f>
        <v>1</v>
      </c>
      <c r="C5" s="370">
        <f>'LISTE DES CAS ANNEXE 30'!C49</f>
        <v>1</v>
      </c>
      <c r="D5" s="367" t="str">
        <f>'LISTE DES CAS ANNEXE 30'!D49</f>
        <v>MALADIE</v>
      </c>
      <c r="E5" s="368">
        <f>'LISTE DES CAS ANNEXE 30'!E49</f>
        <v>0</v>
      </c>
      <c r="F5" s="519" t="str">
        <f>'LISTE DES CAS ANNEXE 30'!F49</f>
        <v>OUI</v>
      </c>
      <c r="G5" s="384" t="str">
        <f>'LISTE DES CAS ANNEXE 30'!I49</f>
        <v>Sans objet</v>
      </c>
      <c r="H5" s="518" t="str">
        <f>'LISTE DES CAS ANNEXE 30'!J49</f>
        <v>15 - TP AMO &amp; TP AMC</v>
      </c>
      <c r="I5" s="412" t="str">
        <f>'LISTE DES CAS ANNEXE 30'!K49</f>
        <v>69-LYON</v>
      </c>
      <c r="J5" s="355" t="str">
        <f>'LISTE DES CAS ANNEXE 30'!L49</f>
        <v>42-SAINT-ETIENNE</v>
      </c>
      <c r="K5" s="356" t="str">
        <f>'LISTE DES CAS ANNEXE 30'!M49</f>
        <v>01/12/2025 à 10H00</v>
      </c>
      <c r="L5" s="356" t="str">
        <f>'LISTE DES CAS ANNEXE 30'!N49</f>
        <v>01/12/2025 à 11h15</v>
      </c>
      <c r="M5" s="357" t="str">
        <f>'LISTE DES CAS ANNEXE 30'!O49</f>
        <v>EE-003-FF</v>
      </c>
      <c r="N5" s="357" t="str">
        <f>'LISTE DES CAS ANNEXE 30'!P49</f>
        <v>69123
(LYON)</v>
      </c>
      <c r="O5" s="357" t="str">
        <f>'LISTE DES CAS ANNEXE 30'!Q49</f>
        <v>069</v>
      </c>
      <c r="P5" s="357" t="str">
        <f>'LISTE DES CAS ANNEXE 30'!R49</f>
        <v xml:space="preserve">691 - CPAM DU RHONE </v>
      </c>
      <c r="Q5" s="358">
        <f>'LISTE DES CAS ANNEXE 30'!S49</f>
        <v>63</v>
      </c>
      <c r="R5" s="359" t="str">
        <f>'LISTE DES CAS ANNEXE 30'!T49</f>
        <v>JOUR</v>
      </c>
      <c r="S5" s="360">
        <f>'LISTE DES CAS ANNEXE 30'!U49</f>
        <v>1</v>
      </c>
      <c r="T5" s="356" t="str">
        <f>'LISTE DES CAS ANNEXE 30'!V49</f>
        <v>NON</v>
      </c>
      <c r="U5" s="356" t="str">
        <f>'LISTE DES CAS ANNEXE 30'!W49</f>
        <v>NON</v>
      </c>
      <c r="V5" s="356" t="str">
        <f>'LISTE DES CAS ANNEXE 30'!X49</f>
        <v>NON</v>
      </c>
      <c r="W5" s="356" t="str">
        <f>'LISTE DES CAS ANNEXE 30'!Y49</f>
        <v>NON</v>
      </c>
      <c r="X5" s="361" t="str">
        <f>'LISTE DES CAS ANNEXE 30'!Z49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8" ht="15.75" thickBot="1" x14ac:dyDescent="0.3">
      <c r="C6" s="78"/>
    </row>
    <row r="7" spans="1:38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8" s="371" customFormat="1" ht="15.75" thickBot="1" x14ac:dyDescent="0.3">
      <c r="B8" s="372"/>
      <c r="C8" s="373"/>
      <c r="F8" s="374"/>
      <c r="AJ8" s="77"/>
      <c r="AK8" s="77"/>
      <c r="AL8" s="77"/>
    </row>
    <row r="9" spans="1:38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8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8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8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8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8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8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8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258</v>
      </c>
      <c r="AH28" s="54" t="s">
        <v>5</v>
      </c>
      <c r="AI28" s="82" t="s">
        <v>936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 t="str">
        <f>TEXT(Z42,"000")</f>
        <v>000</v>
      </c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602</v>
      </c>
      <c r="Z42" s="194" t="s">
        <v>212</v>
      </c>
      <c r="AA42" s="194" t="s">
        <v>6</v>
      </c>
      <c r="AB42" s="194" t="s">
        <v>212</v>
      </c>
      <c r="AC42" s="194" t="s">
        <v>602</v>
      </c>
      <c r="AD42" s="193" t="s">
        <v>1</v>
      </c>
      <c r="AE42" s="193" t="s">
        <v>200</v>
      </c>
      <c r="AF42" s="195" t="s">
        <v>602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5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5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5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5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5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5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5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5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214</v>
      </c>
      <c r="M56" s="54" t="s">
        <v>543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609</v>
      </c>
      <c r="T56" s="54" t="s">
        <v>263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5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5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5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5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5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5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5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611</v>
      </c>
      <c r="Z63" s="194" t="s">
        <v>212</v>
      </c>
      <c r="AA63" s="194" t="s">
        <v>6</v>
      </c>
      <c r="AB63" s="194" t="s">
        <v>212</v>
      </c>
      <c r="AC63" s="96" t="s">
        <v>611</v>
      </c>
      <c r="AD63" s="193" t="s">
        <v>1</v>
      </c>
      <c r="AE63" s="193" t="s">
        <v>200</v>
      </c>
      <c r="AF63" s="82" t="s">
        <v>611</v>
      </c>
      <c r="AG63" s="188" t="s">
        <v>589</v>
      </c>
    </row>
    <row r="64" spans="1:35" s="75" customFormat="1" ht="15.75" thickBot="1" x14ac:dyDescent="0.3">
      <c r="A64" s="77"/>
      <c r="B64" s="144"/>
      <c r="C64" s="77"/>
      <c r="D64" s="77"/>
      <c r="E64" s="77"/>
      <c r="F64" s="271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</row>
    <row r="65" spans="1:35" ht="100.15" customHeight="1" x14ac:dyDescent="0.25">
      <c r="A65" s="614" t="s">
        <v>360</v>
      </c>
      <c r="B65" s="147" t="s">
        <v>13</v>
      </c>
      <c r="C65" s="24" t="s">
        <v>14</v>
      </c>
      <c r="D65" s="24" t="s">
        <v>15</v>
      </c>
      <c r="E65" s="25" t="s">
        <v>16</v>
      </c>
      <c r="F65" s="282" t="s">
        <v>17</v>
      </c>
      <c r="G65" s="24" t="s">
        <v>70</v>
      </c>
      <c r="H65" s="24" t="s">
        <v>15</v>
      </c>
      <c r="I65" s="24" t="s">
        <v>220</v>
      </c>
      <c r="J65" s="24" t="s">
        <v>221</v>
      </c>
      <c r="K65" s="26" t="s">
        <v>222</v>
      </c>
      <c r="L65" s="26" t="s">
        <v>223</v>
      </c>
      <c r="M65" s="24" t="s">
        <v>224</v>
      </c>
      <c r="N65" s="24" t="s">
        <v>225</v>
      </c>
      <c r="O65" s="24" t="s">
        <v>226</v>
      </c>
      <c r="P65" s="24" t="s">
        <v>221</v>
      </c>
      <c r="Q65" s="24" t="s">
        <v>227</v>
      </c>
      <c r="R65" s="24" t="s">
        <v>15</v>
      </c>
      <c r="S65" s="27" t="s">
        <v>228</v>
      </c>
    </row>
    <row r="66" spans="1:35" ht="19.899999999999999" customHeight="1" x14ac:dyDescent="0.25">
      <c r="A66" s="615"/>
      <c r="B66" s="148">
        <v>1</v>
      </c>
      <c r="C66" s="5" t="s">
        <v>47</v>
      </c>
      <c r="D66" s="4">
        <v>11</v>
      </c>
      <c r="E66" s="6" t="s">
        <v>48</v>
      </c>
      <c r="F66" s="283" t="s">
        <v>49</v>
      </c>
      <c r="G66" s="7" t="s">
        <v>50</v>
      </c>
      <c r="H66" s="7" t="s">
        <v>229</v>
      </c>
      <c r="I66" s="7" t="s">
        <v>216</v>
      </c>
      <c r="J66" s="7" t="s">
        <v>230</v>
      </c>
      <c r="K66" s="8" t="s">
        <v>217</v>
      </c>
      <c r="L66" s="8" t="s">
        <v>218</v>
      </c>
      <c r="M66" s="7" t="s">
        <v>179</v>
      </c>
      <c r="N66" s="7" t="s">
        <v>219</v>
      </c>
      <c r="O66" s="7">
        <v>90</v>
      </c>
      <c r="P66" s="7" t="s">
        <v>231</v>
      </c>
      <c r="Q66" s="7">
        <v>94</v>
      </c>
      <c r="R66" s="7" t="s">
        <v>232</v>
      </c>
      <c r="S66" s="28" t="s">
        <v>233</v>
      </c>
    </row>
    <row r="67" spans="1:35" outlineLevel="1" x14ac:dyDescent="0.25">
      <c r="A67" s="615"/>
      <c r="B67" s="148">
        <v>1</v>
      </c>
      <c r="C67" s="4">
        <v>9</v>
      </c>
      <c r="D67" s="4">
        <v>1</v>
      </c>
      <c r="E67" s="9">
        <v>13</v>
      </c>
      <c r="F67" s="284">
        <v>2</v>
      </c>
      <c r="G67" s="4">
        <v>9</v>
      </c>
      <c r="H67" s="4">
        <v>3</v>
      </c>
      <c r="I67" s="4">
        <v>3</v>
      </c>
      <c r="J67" s="4">
        <v>16</v>
      </c>
      <c r="K67" s="10">
        <v>8</v>
      </c>
      <c r="L67" s="10">
        <v>8</v>
      </c>
      <c r="M67" s="4">
        <v>8</v>
      </c>
      <c r="N67" s="4">
        <v>8</v>
      </c>
      <c r="O67" s="4">
        <v>1</v>
      </c>
      <c r="P67" s="4">
        <v>3</v>
      </c>
      <c r="Q67" s="4">
        <v>1</v>
      </c>
      <c r="R67" s="4">
        <v>2</v>
      </c>
      <c r="S67" s="29">
        <v>32</v>
      </c>
    </row>
    <row r="68" spans="1:35" ht="13.5" customHeight="1" outlineLevel="1" x14ac:dyDescent="0.25">
      <c r="A68" s="615"/>
      <c r="B68" s="148" t="s">
        <v>1</v>
      </c>
      <c r="C68" s="4" t="s">
        <v>1</v>
      </c>
      <c r="D68" s="4" t="s">
        <v>69</v>
      </c>
      <c r="E68" s="9" t="s">
        <v>69</v>
      </c>
      <c r="F68" s="284" t="s">
        <v>1</v>
      </c>
      <c r="G68" s="4" t="s">
        <v>1</v>
      </c>
      <c r="H68" s="4" t="s">
        <v>69</v>
      </c>
      <c r="I68" s="4" t="s">
        <v>1</v>
      </c>
      <c r="J68" s="4" t="s">
        <v>69</v>
      </c>
      <c r="K68" s="12" t="s">
        <v>1</v>
      </c>
      <c r="L68" s="12" t="s">
        <v>1</v>
      </c>
      <c r="M68" s="4" t="s">
        <v>1</v>
      </c>
      <c r="N68" s="4" t="s">
        <v>1</v>
      </c>
      <c r="O68" s="4" t="s">
        <v>69</v>
      </c>
      <c r="P68" s="4" t="s">
        <v>69</v>
      </c>
      <c r="Q68" s="4" t="s">
        <v>69</v>
      </c>
      <c r="R68" s="4" t="s">
        <v>69</v>
      </c>
      <c r="S68" s="29" t="s">
        <v>69</v>
      </c>
    </row>
    <row r="69" spans="1:35" outlineLevel="1" x14ac:dyDescent="0.25">
      <c r="A69" s="615"/>
      <c r="B69" s="148" t="s">
        <v>0</v>
      </c>
      <c r="C69" s="4" t="s">
        <v>0</v>
      </c>
      <c r="D69" s="4" t="s">
        <v>4</v>
      </c>
      <c r="E69" s="9" t="s">
        <v>0</v>
      </c>
      <c r="F69" s="284" t="s">
        <v>0</v>
      </c>
      <c r="G69" s="4" t="s">
        <v>0</v>
      </c>
      <c r="H69" s="4" t="s">
        <v>4</v>
      </c>
      <c r="I69" s="4" t="s">
        <v>0</v>
      </c>
      <c r="J69" s="4" t="s">
        <v>0</v>
      </c>
      <c r="K69" s="12" t="s">
        <v>0</v>
      </c>
      <c r="L69" s="12" t="s">
        <v>0</v>
      </c>
      <c r="M69" s="4" t="s">
        <v>0</v>
      </c>
      <c r="N69" s="4" t="s">
        <v>4</v>
      </c>
      <c r="O69" s="4" t="s">
        <v>4</v>
      </c>
      <c r="P69" s="4" t="s">
        <v>0</v>
      </c>
      <c r="Q69" s="4" t="s">
        <v>0</v>
      </c>
      <c r="R69" s="4" t="s">
        <v>4</v>
      </c>
      <c r="S69" s="29" t="s">
        <v>4</v>
      </c>
    </row>
    <row r="70" spans="1:35" s="163" customFormat="1" ht="30" customHeight="1" thickBot="1" x14ac:dyDescent="0.3">
      <c r="A70" s="616"/>
      <c r="B70" s="157">
        <v>5</v>
      </c>
      <c r="C70" s="54" t="s">
        <v>544</v>
      </c>
      <c r="D70" s="55" t="s">
        <v>8</v>
      </c>
      <c r="E70" s="55" t="s">
        <v>198</v>
      </c>
      <c r="F70" s="270">
        <v>77</v>
      </c>
      <c r="G70" s="55">
        <v>250000001</v>
      </c>
      <c r="H70" s="98" t="s">
        <v>9</v>
      </c>
      <c r="I70" s="496" t="s">
        <v>885</v>
      </c>
      <c r="J70" s="98" t="s">
        <v>234</v>
      </c>
      <c r="K70" s="56" t="s">
        <v>613</v>
      </c>
      <c r="L70" s="56" t="s">
        <v>599</v>
      </c>
      <c r="M70" s="56" t="s">
        <v>599</v>
      </c>
      <c r="N70" s="56" t="s">
        <v>613</v>
      </c>
      <c r="O70" s="56" t="s">
        <v>8</v>
      </c>
      <c r="P70" s="56" t="s">
        <v>9</v>
      </c>
      <c r="Q70" s="56" t="s">
        <v>8</v>
      </c>
      <c r="R70" s="56" t="s">
        <v>210</v>
      </c>
      <c r="S70" s="99" t="s">
        <v>235</v>
      </c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</row>
    <row r="71" spans="1:35" ht="15.75" thickBot="1" x14ac:dyDescent="0.3">
      <c r="A71" s="75"/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</row>
    <row r="72" spans="1:35" ht="100.15" customHeight="1" x14ac:dyDescent="0.25">
      <c r="A72" s="608" t="s">
        <v>361</v>
      </c>
      <c r="B72" s="327" t="s">
        <v>13</v>
      </c>
      <c r="C72" s="328" t="s">
        <v>14</v>
      </c>
      <c r="D72" s="328" t="s">
        <v>339</v>
      </c>
      <c r="E72" s="329" t="s">
        <v>469</v>
      </c>
      <c r="F72" s="330" t="s">
        <v>470</v>
      </c>
      <c r="G72" s="328" t="s">
        <v>471</v>
      </c>
      <c r="H72" s="328" t="s">
        <v>340</v>
      </c>
      <c r="I72" s="328" t="s">
        <v>473</v>
      </c>
      <c r="J72" s="328" t="s">
        <v>472</v>
      </c>
      <c r="K72" s="331" t="s">
        <v>312</v>
      </c>
      <c r="L72" s="331" t="s">
        <v>341</v>
      </c>
      <c r="M72" s="328" t="s">
        <v>25</v>
      </c>
      <c r="N72" s="328" t="s">
        <v>15</v>
      </c>
      <c r="O72" s="328" t="s">
        <v>474</v>
      </c>
      <c r="P72" s="328" t="s">
        <v>342</v>
      </c>
      <c r="Q72" s="328" t="s">
        <v>15</v>
      </c>
      <c r="R72" s="328" t="s">
        <v>343</v>
      </c>
      <c r="S72" s="332" t="s">
        <v>228</v>
      </c>
    </row>
    <row r="73" spans="1:35" ht="19.899999999999999" customHeight="1" x14ac:dyDescent="0.25">
      <c r="A73" s="609"/>
      <c r="B73" s="158">
        <v>1</v>
      </c>
      <c r="C73" s="102" t="s">
        <v>47</v>
      </c>
      <c r="D73" s="103" t="s">
        <v>344</v>
      </c>
      <c r="E73" s="104" t="s">
        <v>345</v>
      </c>
      <c r="F73" s="298" t="s">
        <v>346</v>
      </c>
      <c r="G73" s="103" t="s">
        <v>347</v>
      </c>
      <c r="H73" s="103" t="s">
        <v>348</v>
      </c>
      <c r="I73" s="103" t="s">
        <v>349</v>
      </c>
      <c r="J73" s="103" t="s">
        <v>350</v>
      </c>
      <c r="K73" s="105" t="s">
        <v>351</v>
      </c>
      <c r="L73" s="105" t="s">
        <v>352</v>
      </c>
      <c r="M73" s="103" t="s">
        <v>353</v>
      </c>
      <c r="N73" s="103" t="s">
        <v>354</v>
      </c>
      <c r="O73" s="103" t="s">
        <v>355</v>
      </c>
      <c r="P73" s="103" t="s">
        <v>356</v>
      </c>
      <c r="Q73" s="103" t="s">
        <v>357</v>
      </c>
      <c r="R73" s="103" t="s">
        <v>358</v>
      </c>
      <c r="S73" s="333" t="s">
        <v>233</v>
      </c>
    </row>
    <row r="74" spans="1:35" outlineLevel="1" x14ac:dyDescent="0.25">
      <c r="A74" s="609"/>
      <c r="B74" s="158">
        <v>1</v>
      </c>
      <c r="C74" s="101">
        <v>9</v>
      </c>
      <c r="D74" s="101">
        <v>3</v>
      </c>
      <c r="E74" s="101">
        <v>4</v>
      </c>
      <c r="F74" s="299">
        <v>4</v>
      </c>
      <c r="G74" s="101">
        <v>3</v>
      </c>
      <c r="H74" s="101">
        <v>9</v>
      </c>
      <c r="I74" s="101">
        <v>9</v>
      </c>
      <c r="J74" s="101">
        <v>9</v>
      </c>
      <c r="K74" s="107">
        <v>3</v>
      </c>
      <c r="L74" s="107">
        <v>1</v>
      </c>
      <c r="M74" s="101">
        <v>1</v>
      </c>
      <c r="N74" s="101">
        <v>4</v>
      </c>
      <c r="O74" s="101">
        <v>12</v>
      </c>
      <c r="P74" s="101">
        <v>12</v>
      </c>
      <c r="Q74" s="103">
        <v>3</v>
      </c>
      <c r="R74" s="101">
        <v>9</v>
      </c>
      <c r="S74" s="334">
        <v>32</v>
      </c>
    </row>
    <row r="75" spans="1:35" outlineLevel="1" x14ac:dyDescent="0.25">
      <c r="A75" s="609"/>
      <c r="B75" s="158" t="s">
        <v>1</v>
      </c>
      <c r="C75" s="101" t="s">
        <v>1</v>
      </c>
      <c r="D75" s="197" t="s">
        <v>1</v>
      </c>
      <c r="E75" s="106" t="s">
        <v>1</v>
      </c>
      <c r="F75" s="299" t="s">
        <v>1</v>
      </c>
      <c r="G75" s="101" t="s">
        <v>1</v>
      </c>
      <c r="H75" s="101" t="s">
        <v>1</v>
      </c>
      <c r="I75" s="101" t="s">
        <v>1</v>
      </c>
      <c r="J75" s="101" t="s">
        <v>1</v>
      </c>
      <c r="K75" s="108" t="s">
        <v>1</v>
      </c>
      <c r="L75" s="108" t="s">
        <v>69</v>
      </c>
      <c r="M75" s="101" t="s">
        <v>69</v>
      </c>
      <c r="N75" s="101" t="s">
        <v>69</v>
      </c>
      <c r="O75" s="101" t="s">
        <v>69</v>
      </c>
      <c r="P75" s="101" t="s">
        <v>1</v>
      </c>
      <c r="Q75" s="101" t="s">
        <v>69</v>
      </c>
      <c r="R75" s="101" t="s">
        <v>1</v>
      </c>
      <c r="S75" s="334" t="s">
        <v>1</v>
      </c>
    </row>
    <row r="76" spans="1:35" outlineLevel="1" x14ac:dyDescent="0.25">
      <c r="A76" s="609"/>
      <c r="B76" s="158" t="s">
        <v>0</v>
      </c>
      <c r="C76" s="101" t="s">
        <v>0</v>
      </c>
      <c r="D76" s="101" t="s">
        <v>0</v>
      </c>
      <c r="E76" s="106" t="s">
        <v>0</v>
      </c>
      <c r="F76" s="299" t="s">
        <v>0</v>
      </c>
      <c r="G76" s="101" t="s">
        <v>0</v>
      </c>
      <c r="H76" s="101" t="s">
        <v>0</v>
      </c>
      <c r="I76" s="101" t="s">
        <v>0</v>
      </c>
      <c r="J76" s="101" t="s">
        <v>0</v>
      </c>
      <c r="K76" s="108" t="s">
        <v>0</v>
      </c>
      <c r="L76" s="108" t="s">
        <v>4</v>
      </c>
      <c r="M76" s="101" t="s">
        <v>4</v>
      </c>
      <c r="N76" s="101" t="s">
        <v>4</v>
      </c>
      <c r="O76" s="101" t="s">
        <v>4</v>
      </c>
      <c r="P76" s="101" t="s">
        <v>4</v>
      </c>
      <c r="Q76" s="101" t="s">
        <v>4</v>
      </c>
      <c r="R76" s="101" t="s">
        <v>4</v>
      </c>
      <c r="S76" s="334" t="s">
        <v>0</v>
      </c>
    </row>
    <row r="77" spans="1:35" s="163" customFormat="1" ht="30" customHeight="1" thickBot="1" x14ac:dyDescent="0.3">
      <c r="A77" s="610"/>
      <c r="B77" s="183">
        <v>6</v>
      </c>
      <c r="C77" s="335" t="s">
        <v>544</v>
      </c>
      <c r="D77" s="185" t="s">
        <v>195</v>
      </c>
      <c r="E77" s="336" t="s">
        <v>521</v>
      </c>
      <c r="F77" s="337" t="s">
        <v>521</v>
      </c>
      <c r="G77" s="185" t="s">
        <v>195</v>
      </c>
      <c r="H77" s="184" t="s">
        <v>616</v>
      </c>
      <c r="I77" s="184" t="s">
        <v>209</v>
      </c>
      <c r="J77" s="184" t="s">
        <v>616</v>
      </c>
      <c r="K77" s="184" t="s">
        <v>195</v>
      </c>
      <c r="L77" s="186" t="s">
        <v>8</v>
      </c>
      <c r="M77" s="186" t="s">
        <v>8</v>
      </c>
      <c r="N77" s="186" t="s">
        <v>387</v>
      </c>
      <c r="O77" s="186" t="s">
        <v>941</v>
      </c>
      <c r="P77" s="186" t="s">
        <v>388</v>
      </c>
      <c r="Q77" s="186" t="s">
        <v>9</v>
      </c>
      <c r="R77" s="186" t="s">
        <v>389</v>
      </c>
      <c r="S77" s="187" t="s">
        <v>235</v>
      </c>
    </row>
    <row r="78" spans="1:35" ht="9.75" customHeight="1" thickBot="1" x14ac:dyDescent="0.3">
      <c r="B78" s="150" t="s">
        <v>586</v>
      </c>
      <c r="C78" s="150" t="s">
        <v>586</v>
      </c>
      <c r="D78" s="150" t="s">
        <v>586</v>
      </c>
      <c r="E78" s="150" t="s">
        <v>586</v>
      </c>
      <c r="F78" s="276" t="s">
        <v>586</v>
      </c>
      <c r="G78" s="150" t="s">
        <v>586</v>
      </c>
      <c r="H78" s="150" t="s">
        <v>586</v>
      </c>
      <c r="I78" s="150" t="s">
        <v>586</v>
      </c>
      <c r="J78" s="150" t="s">
        <v>586</v>
      </c>
      <c r="K78" s="150" t="s">
        <v>586</v>
      </c>
      <c r="L78" s="150" t="s">
        <v>586</v>
      </c>
      <c r="M78" s="150" t="s">
        <v>586</v>
      </c>
      <c r="N78" s="150" t="s">
        <v>586</v>
      </c>
      <c r="O78" s="150" t="s">
        <v>586</v>
      </c>
      <c r="P78" s="150" t="s">
        <v>586</v>
      </c>
      <c r="Q78" s="150" t="s">
        <v>586</v>
      </c>
      <c r="R78" s="150" t="s">
        <v>586</v>
      </c>
      <c r="S78" s="150" t="s">
        <v>586</v>
      </c>
    </row>
    <row r="79" spans="1:35" ht="100.15" customHeight="1" x14ac:dyDescent="0.25">
      <c r="A79" s="611" t="s">
        <v>371</v>
      </c>
      <c r="B79" s="159" t="s">
        <v>13</v>
      </c>
      <c r="C79" s="117" t="s">
        <v>363</v>
      </c>
      <c r="D79" s="117" t="s">
        <v>364</v>
      </c>
      <c r="E79" s="118" t="s">
        <v>15</v>
      </c>
      <c r="F79" s="300" t="s">
        <v>283</v>
      </c>
      <c r="G79" s="117" t="s">
        <v>365</v>
      </c>
      <c r="H79" s="117" t="s">
        <v>15</v>
      </c>
      <c r="I79" s="117" t="s">
        <v>286</v>
      </c>
      <c r="J79" s="117" t="s">
        <v>287</v>
      </c>
      <c r="K79" s="119" t="s">
        <v>366</v>
      </c>
      <c r="L79" s="119" t="s">
        <v>15</v>
      </c>
      <c r="M79" s="117" t="s">
        <v>367</v>
      </c>
      <c r="N79" s="120" t="s">
        <v>15</v>
      </c>
    </row>
    <row r="80" spans="1:35" ht="19.899999999999999" customHeight="1" x14ac:dyDescent="0.25">
      <c r="A80" s="612"/>
      <c r="B80" s="198" t="s">
        <v>293</v>
      </c>
      <c r="C80" s="110" t="s">
        <v>294</v>
      </c>
      <c r="D80" s="111" t="s">
        <v>295</v>
      </c>
      <c r="E80" s="112" t="s">
        <v>296</v>
      </c>
      <c r="F80" s="301" t="s">
        <v>297</v>
      </c>
      <c r="G80" s="111" t="s">
        <v>298</v>
      </c>
      <c r="H80" s="111" t="s">
        <v>299</v>
      </c>
      <c r="I80" s="111" t="s">
        <v>300</v>
      </c>
      <c r="J80" s="111" t="s">
        <v>301</v>
      </c>
      <c r="K80" s="113" t="s">
        <v>368</v>
      </c>
      <c r="L80" s="113" t="s">
        <v>369</v>
      </c>
      <c r="M80" s="111" t="s">
        <v>307</v>
      </c>
      <c r="N80" s="121" t="s">
        <v>370</v>
      </c>
    </row>
    <row r="81" spans="1:35" outlineLevel="1" x14ac:dyDescent="0.25">
      <c r="A81" s="612"/>
      <c r="B81" s="160">
        <v>3</v>
      </c>
      <c r="C81" s="109">
        <v>2</v>
      </c>
      <c r="D81" s="109">
        <v>14</v>
      </c>
      <c r="E81" s="109">
        <v>6</v>
      </c>
      <c r="F81" s="302">
        <v>2</v>
      </c>
      <c r="G81" s="109">
        <v>14</v>
      </c>
      <c r="H81" s="109">
        <v>6</v>
      </c>
      <c r="I81" s="109">
        <v>2</v>
      </c>
      <c r="J81" s="109">
        <v>6</v>
      </c>
      <c r="K81" s="115">
        <v>8</v>
      </c>
      <c r="L81" s="115">
        <v>19</v>
      </c>
      <c r="M81" s="109">
        <v>3</v>
      </c>
      <c r="N81" s="122">
        <v>43</v>
      </c>
    </row>
    <row r="82" spans="1:35" outlineLevel="1" x14ac:dyDescent="0.25">
      <c r="A82" s="612"/>
      <c r="B82" s="160" t="s">
        <v>1</v>
      </c>
      <c r="C82" s="109" t="s">
        <v>69</v>
      </c>
      <c r="D82" s="109" t="s">
        <v>1</v>
      </c>
      <c r="E82" s="114" t="s">
        <v>69</v>
      </c>
      <c r="F82" s="302" t="s">
        <v>69</v>
      </c>
      <c r="G82" s="109" t="s">
        <v>1</v>
      </c>
      <c r="H82" s="109" t="s">
        <v>69</v>
      </c>
      <c r="I82" s="109" t="s">
        <v>69</v>
      </c>
      <c r="J82" s="109" t="s">
        <v>69</v>
      </c>
      <c r="K82" s="116" t="s">
        <v>1</v>
      </c>
      <c r="L82" s="116" t="s">
        <v>69</v>
      </c>
      <c r="M82" s="109" t="s">
        <v>1</v>
      </c>
      <c r="N82" s="122" t="s">
        <v>69</v>
      </c>
    </row>
    <row r="83" spans="1:35" outlineLevel="1" x14ac:dyDescent="0.25">
      <c r="A83" s="612"/>
      <c r="B83" s="160" t="s">
        <v>0</v>
      </c>
      <c r="C83" s="109" t="s">
        <v>0</v>
      </c>
      <c r="D83" s="109" t="s">
        <v>0</v>
      </c>
      <c r="E83" s="114" t="s">
        <v>4</v>
      </c>
      <c r="F83" s="302" t="s">
        <v>0</v>
      </c>
      <c r="G83" s="109" t="s">
        <v>0</v>
      </c>
      <c r="H83" s="109" t="s">
        <v>4</v>
      </c>
      <c r="I83" s="109" t="s">
        <v>0</v>
      </c>
      <c r="J83" s="109" t="s">
        <v>0</v>
      </c>
      <c r="K83" s="116" t="s">
        <v>0</v>
      </c>
      <c r="L83" s="116" t="s">
        <v>4</v>
      </c>
      <c r="M83" s="109" t="s">
        <v>0</v>
      </c>
      <c r="N83" s="122" t="s">
        <v>4</v>
      </c>
    </row>
    <row r="84" spans="1:35" ht="30" customHeight="1" thickBot="1" x14ac:dyDescent="0.3">
      <c r="A84" s="613"/>
      <c r="B84" s="183">
        <v>999</v>
      </c>
      <c r="C84" s="186" t="s">
        <v>373</v>
      </c>
      <c r="D84" s="174" t="s">
        <v>584</v>
      </c>
      <c r="E84" s="186" t="s">
        <v>374</v>
      </c>
      <c r="F84" s="303" t="s">
        <v>375</v>
      </c>
      <c r="G84" s="174" t="s">
        <v>585</v>
      </c>
      <c r="H84" s="186" t="s">
        <v>374</v>
      </c>
      <c r="I84" s="186" t="s">
        <v>376</v>
      </c>
      <c r="J84" s="184" t="s">
        <v>377</v>
      </c>
      <c r="K84" s="497" t="s">
        <v>908</v>
      </c>
      <c r="L84" s="186" t="s">
        <v>390</v>
      </c>
      <c r="M84" s="185" t="s">
        <v>195</v>
      </c>
      <c r="N84" s="187" t="s">
        <v>391</v>
      </c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</row>
    <row r="85" spans="1:35" x14ac:dyDescent="0.25">
      <c r="B85" s="150" t="s">
        <v>586</v>
      </c>
      <c r="C85" s="150" t="s">
        <v>586</v>
      </c>
      <c r="D85" s="150" t="s">
        <v>586</v>
      </c>
      <c r="E85" s="150" t="s">
        <v>586</v>
      </c>
      <c r="F85" s="276" t="s">
        <v>586</v>
      </c>
      <c r="G85" s="150" t="s">
        <v>586</v>
      </c>
      <c r="H85" s="150" t="s">
        <v>586</v>
      </c>
      <c r="I85" s="150" t="s">
        <v>586</v>
      </c>
      <c r="J85" s="150" t="s">
        <v>586</v>
      </c>
      <c r="K85" s="150" t="s">
        <v>586</v>
      </c>
      <c r="L85" s="150" t="s">
        <v>586</v>
      </c>
      <c r="M85" s="150" t="s">
        <v>586</v>
      </c>
      <c r="N85" s="150" t="s">
        <v>586</v>
      </c>
    </row>
  </sheetData>
  <sheetProtection algorithmName="SHA-512" hashValue="1FaesfXl1/4J3zd7Uso0EKIzXiu6OjWqc0x5E3cMpy4SN1oqV0V9li0FvfzWuXMoWMvr4PRX0P7N+sDOkOY9Gg==" saltValue="AZ9I6RGNs1e3bBeU/SUaOg==" spinCount="100000" sheet="1" sort="0"/>
  <mergeCells count="19">
    <mergeCell ref="B1:AI1"/>
    <mergeCell ref="A3:C3"/>
    <mergeCell ref="D3:F3"/>
    <mergeCell ref="G3:H3"/>
    <mergeCell ref="I3:X3"/>
    <mergeCell ref="Z3:AE3"/>
    <mergeCell ref="AG3:AI3"/>
    <mergeCell ref="A79:A84"/>
    <mergeCell ref="A7:AI7"/>
    <mergeCell ref="A9:A14"/>
    <mergeCell ref="A16:A21"/>
    <mergeCell ref="A23:A28"/>
    <mergeCell ref="A30:A35"/>
    <mergeCell ref="A37:A42"/>
    <mergeCell ref="A44:A49"/>
    <mergeCell ref="A51:A56"/>
    <mergeCell ref="A58:A63"/>
    <mergeCell ref="A65:A70"/>
    <mergeCell ref="A72:A77"/>
  </mergeCells>
  <conditionalFormatting sqref="B28">
    <cfRule type="expression" dxfId="11" priority="2">
      <formula>"B17&lt;&gt;0"</formula>
    </cfRule>
  </conditionalFormatting>
  <conditionalFormatting sqref="F28">
    <cfRule type="expression" dxfId="10" priority="1">
      <formula>"b17&lt;&gt;0"</formula>
    </cfRule>
  </conditionalFormatting>
  <hyperlinks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tabColor theme="8" tint="-0.499984740745262"/>
    <pageSetUpPr fitToPage="1"/>
  </sheetPr>
  <dimension ref="A1:AL159"/>
  <sheetViews>
    <sheetView view="pageBreakPreview" topLeftCell="A130" zoomScale="55" zoomScaleNormal="70" zoomScaleSheetLayoutView="55" workbookViewId="0">
      <selection activeCell="O151" sqref="O151"/>
    </sheetView>
  </sheetViews>
  <sheetFormatPr baseColWidth="10" defaultColWidth="11.42578125" defaultRowHeight="15" outlineLevelRow="2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8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8" ht="15.75" thickBot="1" x14ac:dyDescent="0.3">
      <c r="C2" s="78"/>
    </row>
    <row r="3" spans="1:38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8" ht="87" customHeight="1" thickBot="1" x14ac:dyDescent="0.3">
      <c r="A4" s="347" t="s">
        <v>401</v>
      </c>
      <c r="B4" s="348" t="s">
        <v>402</v>
      </c>
      <c r="C4" s="349" t="s">
        <v>406</v>
      </c>
      <c r="D4" s="347" t="s">
        <v>265</v>
      </c>
      <c r="E4" s="348" t="s">
        <v>408</v>
      </c>
      <c r="F4" s="349" t="s">
        <v>409</v>
      </c>
      <c r="G4" s="347" t="s">
        <v>415</v>
      </c>
      <c r="H4" s="349" t="s">
        <v>413</v>
      </c>
      <c r="I4" s="350" t="s">
        <v>434</v>
      </c>
      <c r="J4" s="351" t="s">
        <v>435</v>
      </c>
      <c r="K4" s="351" t="s">
        <v>436</v>
      </c>
      <c r="L4" s="351" t="s">
        <v>437</v>
      </c>
      <c r="M4" s="351" t="s">
        <v>528</v>
      </c>
      <c r="N4" s="351" t="s">
        <v>531</v>
      </c>
      <c r="O4" s="351" t="s">
        <v>529</v>
      </c>
      <c r="P4" s="351" t="s">
        <v>530</v>
      </c>
      <c r="Q4" s="351" t="s">
        <v>398</v>
      </c>
      <c r="R4" s="351" t="s">
        <v>399</v>
      </c>
      <c r="S4" s="351" t="s">
        <v>276</v>
      </c>
      <c r="T4" s="351" t="s">
        <v>404</v>
      </c>
      <c r="U4" s="351" t="s">
        <v>510</v>
      </c>
      <c r="V4" s="351" t="s">
        <v>405</v>
      </c>
      <c r="W4" s="351" t="s">
        <v>547</v>
      </c>
      <c r="X4" s="352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8" ht="58.5" customHeight="1" thickBot="1" x14ac:dyDescent="0.3">
      <c r="A5" s="657" t="str">
        <f>'LISTE DES CAS ANNEXE 30'!A51</f>
        <v>CONVENTION CAS 20</v>
      </c>
      <c r="B5" s="659">
        <f>'LISTE DES CAS ANNEXE 30'!B51</f>
        <v>5</v>
      </c>
      <c r="C5" s="380">
        <f>'LISTE DES CAS ANNEXE 30'!C51</f>
        <v>1</v>
      </c>
      <c r="D5" s="675" t="str">
        <f>'LISTE DES CAS ANNEXE 30'!D51</f>
        <v>AT / MP</v>
      </c>
      <c r="E5" s="678">
        <f>'LISTE DES CAS ANNEXE 30'!E51</f>
        <v>1</v>
      </c>
      <c r="F5" s="397" t="str">
        <f>'LISTE DES CAS ANNEXE 30'!H51</f>
        <v>NON</v>
      </c>
      <c r="G5" s="411" t="str">
        <f>'LISTE DES CAS ANNEXE 30'!I51</f>
        <v>NON</v>
      </c>
      <c r="H5" s="648" t="str">
        <f>'LISTE DES CAS ANNEXE 30'!J51</f>
        <v>05 - TP AMO SEUL</v>
      </c>
      <c r="I5" s="414" t="str">
        <f>'LISTE DES CAS ANNEXE 30'!K51</f>
        <v>69-LYON</v>
      </c>
      <c r="J5" s="391" t="str">
        <f>'LISTE DES CAS ANNEXE 30'!L51</f>
        <v>42-SAINT-ETIENNE</v>
      </c>
      <c r="K5" s="392" t="str">
        <f>'LISTE DES CAS ANNEXE 30'!M51</f>
        <v>10/11/2025 à 10H00</v>
      </c>
      <c r="L5" s="392" t="str">
        <f>'LISTE DES CAS ANNEXE 30'!N51</f>
        <v>10/11/2025 à 11h15</v>
      </c>
      <c r="M5" s="393" t="str">
        <f>'LISTE DES CAS ANNEXE 30'!O51</f>
        <v>EE-003-FF</v>
      </c>
      <c r="N5" s="393" t="str">
        <f>'LISTE DES CAS ANNEXE 30'!P51</f>
        <v>69123
(LYON)</v>
      </c>
      <c r="O5" s="393" t="str">
        <f>'LISTE DES CAS ANNEXE 30'!Q51</f>
        <v>069</v>
      </c>
      <c r="P5" s="393" t="str">
        <f>'LISTE DES CAS ANNEXE 30'!R51</f>
        <v xml:space="preserve">691 - CPAM DU RHONE </v>
      </c>
      <c r="Q5" s="394">
        <f>'LISTE DES CAS ANNEXE 30'!S51</f>
        <v>63</v>
      </c>
      <c r="R5" s="395" t="str">
        <f>'LISTE DES CAS ANNEXE 30'!T51</f>
        <v>JOUR</v>
      </c>
      <c r="S5" s="420">
        <f>'LISTE DES CAS ANNEXE 30'!U51</f>
        <v>2</v>
      </c>
      <c r="T5" s="427" t="str">
        <f>'LISTE DES CAS ANNEXE 30'!V51</f>
        <v>OUI 
(TYPE 1)</v>
      </c>
      <c r="U5" s="392" t="str">
        <f>'LISTE DES CAS ANNEXE 30'!W51</f>
        <v>NON</v>
      </c>
      <c r="V5" s="392" t="str">
        <f>'LISTE DES CAS ANNEXE 30'!X51</f>
        <v>NON</v>
      </c>
      <c r="W5" s="392" t="str">
        <f>'LISTE DES CAS ANNEXE 30'!Y51</f>
        <v>NON</v>
      </c>
      <c r="X5" s="424" t="str">
        <f>'LISTE DES CAS ANNEXE 30'!Z51</f>
        <v>OUI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8" ht="58.5" customHeight="1" x14ac:dyDescent="0.25">
      <c r="A6" s="658"/>
      <c r="B6" s="660"/>
      <c r="C6" s="410">
        <f>'LISTE DES CAS ANNEXE 30'!C52</f>
        <v>2</v>
      </c>
      <c r="D6" s="676"/>
      <c r="E6" s="679"/>
      <c r="F6" s="408" t="str">
        <f>'LISTE DES CAS ANNEXE 30'!H52</f>
        <v>NON</v>
      </c>
      <c r="G6" s="406" t="str">
        <f>'LISTE DES CAS ANNEXE 30'!I52</f>
        <v>NON</v>
      </c>
      <c r="H6" s="649"/>
      <c r="I6" s="409" t="str">
        <f>'LISTE DES CAS ANNEXE 30'!K52</f>
        <v>42-SAINT-ETIENNE</v>
      </c>
      <c r="J6" s="415" t="str">
        <f>'LISTE DES CAS ANNEXE 30'!L52</f>
        <v>69-LYON</v>
      </c>
      <c r="K6" s="382" t="str">
        <f>'LISTE DES CAS ANNEXE 30'!M52</f>
        <v>11/11/2025 à 11h00</v>
      </c>
      <c r="L6" s="382" t="str">
        <f>'LISTE DES CAS ANNEXE 30'!N52</f>
        <v>11/11/2025 à 12h15</v>
      </c>
      <c r="M6" s="386" t="str">
        <f>'LISTE DES CAS ANNEXE 30'!O52</f>
        <v>AA-001-BB</v>
      </c>
      <c r="N6" s="386" t="str">
        <f>'LISTE DES CAS ANNEXE 30'!P52</f>
        <v>42218 
(SAINT-ETIENNE)</v>
      </c>
      <c r="O6" s="386" t="str">
        <f>'LISTE DES CAS ANNEXE 30'!Q52</f>
        <v>042</v>
      </c>
      <c r="P6" s="386" t="str">
        <f>'LISTE DES CAS ANNEXE 30'!R52</f>
        <v>422 - CPAM DE LA LOIRE</v>
      </c>
      <c r="Q6" s="387">
        <f>'LISTE DES CAS ANNEXE 30'!S52</f>
        <v>63</v>
      </c>
      <c r="R6" s="438" t="str">
        <f>'LISTE DES CAS ANNEXE 30'!T52</f>
        <v>DIM / J FERIE</v>
      </c>
      <c r="S6" s="421">
        <f>'LISTE DES CAS ANNEXE 30'!U52</f>
        <v>2</v>
      </c>
      <c r="T6" s="423" t="str">
        <f>'LISTE DES CAS ANNEXE 30'!V52</f>
        <v>OUI 
(TYPES 1  &amp; 2 &amp; 3)</v>
      </c>
      <c r="U6" s="382" t="str">
        <f>'LISTE DES CAS ANNEXE 30'!W52</f>
        <v>NON</v>
      </c>
      <c r="V6" s="382" t="str">
        <f>'LISTE DES CAS ANNEXE 30'!X52</f>
        <v>NON</v>
      </c>
      <c r="W6" s="382" t="str">
        <f>'LISTE DES CAS ANNEXE 30'!Y52</f>
        <v>NON</v>
      </c>
      <c r="X6" s="408" t="str">
        <f>'LISTE DES CAS ANNEXE 30'!Z52</f>
        <v>NON</v>
      </c>
    </row>
    <row r="7" spans="1:38" ht="58.5" customHeight="1" x14ac:dyDescent="0.25">
      <c r="A7" s="658"/>
      <c r="B7" s="660"/>
      <c r="C7" s="410">
        <f>'LISTE DES CAS ANNEXE 30'!C53</f>
        <v>3</v>
      </c>
      <c r="D7" s="676"/>
      <c r="E7" s="679"/>
      <c r="F7" s="408" t="str">
        <f>'LISTE DES CAS ANNEXE 30'!H53</f>
        <v>NON</v>
      </c>
      <c r="G7" s="406" t="str">
        <f>'LISTE DES CAS ANNEXE 30'!I53</f>
        <v>NON</v>
      </c>
      <c r="H7" s="649"/>
      <c r="I7" s="416" t="str">
        <f>'LISTE DES CAS ANNEXE 30'!K53</f>
        <v>69-LYON</v>
      </c>
      <c r="J7" s="385" t="str">
        <f>'LISTE DES CAS ANNEXE 30'!L53</f>
        <v>42-SAINT-ETIENNE</v>
      </c>
      <c r="K7" s="382" t="str">
        <f>'LISTE DES CAS ANNEXE 30'!M53</f>
        <v>25/12/2025 à 10H00</v>
      </c>
      <c r="L7" s="382" t="str">
        <f>'LISTE DES CAS ANNEXE 30'!N53</f>
        <v>25/12/2025 à 11h15</v>
      </c>
      <c r="M7" s="386" t="str">
        <f>'LISTE DES CAS ANNEXE 30'!O53</f>
        <v>EE-003-FF</v>
      </c>
      <c r="N7" s="386" t="str">
        <f>'LISTE DES CAS ANNEXE 30'!P53</f>
        <v>69123
(LYON)</v>
      </c>
      <c r="O7" s="386" t="str">
        <f>'LISTE DES CAS ANNEXE 30'!Q53</f>
        <v>069</v>
      </c>
      <c r="P7" s="386" t="str">
        <f>'LISTE DES CAS ANNEXE 30'!R53</f>
        <v xml:space="preserve">691 - CPAM DU RHONE </v>
      </c>
      <c r="Q7" s="387">
        <f>'LISTE DES CAS ANNEXE 30'!S53</f>
        <v>63</v>
      </c>
      <c r="R7" s="438" t="str">
        <f>'LISTE DES CAS ANNEXE 30'!T53</f>
        <v>DIM / J FERIE</v>
      </c>
      <c r="S7" s="421">
        <f>'LISTE DES CAS ANNEXE 30'!U53</f>
        <v>2</v>
      </c>
      <c r="T7" s="423" t="str">
        <f>'LISTE DES CAS ANNEXE 30'!V53</f>
        <v>OUI 
(TYPE 1)</v>
      </c>
      <c r="U7" s="382" t="str">
        <f>'LISTE DES CAS ANNEXE 30'!W53</f>
        <v>NON</v>
      </c>
      <c r="V7" s="382" t="str">
        <f>'LISTE DES CAS ANNEXE 30'!X53</f>
        <v>NON</v>
      </c>
      <c r="W7" s="423" t="str">
        <f>'LISTE DES CAS ANNEXE 30'!Y53</f>
        <v>OUI</v>
      </c>
      <c r="X7" s="408" t="str">
        <f>'LISTE DES CAS ANNEXE 30'!Z53</f>
        <v>NON</v>
      </c>
    </row>
    <row r="8" spans="1:38" ht="58.5" customHeight="1" x14ac:dyDescent="0.25">
      <c r="A8" s="658"/>
      <c r="B8" s="660"/>
      <c r="C8" s="410">
        <f>'LISTE DES CAS ANNEXE 30'!C54</f>
        <v>4</v>
      </c>
      <c r="D8" s="676"/>
      <c r="E8" s="679"/>
      <c r="F8" s="408" t="str">
        <f>'LISTE DES CAS ANNEXE 30'!H54</f>
        <v>NON</v>
      </c>
      <c r="G8" s="406" t="str">
        <f>'LISTE DES CAS ANNEXE 30'!I54</f>
        <v>NON</v>
      </c>
      <c r="H8" s="649"/>
      <c r="I8" s="409" t="str">
        <f>'LISTE DES CAS ANNEXE 30'!K54</f>
        <v>42-SAINT-ETIENNE</v>
      </c>
      <c r="J8" s="415" t="str">
        <f>'LISTE DES CAS ANNEXE 30'!L54</f>
        <v>69-LYON</v>
      </c>
      <c r="K8" s="382" t="str">
        <f>'LISTE DES CAS ANNEXE 30'!M54</f>
        <v>26/12/2025 à 09H00</v>
      </c>
      <c r="L8" s="382" t="str">
        <f>'LISTE DES CAS ANNEXE 30'!N54</f>
        <v>26/12/2025 à 10H15</v>
      </c>
      <c r="M8" s="386" t="str">
        <f>'LISTE DES CAS ANNEXE 30'!O54</f>
        <v>AA-001-BB</v>
      </c>
      <c r="N8" s="386" t="str">
        <f>'LISTE DES CAS ANNEXE 30'!P54</f>
        <v>42218 
(SAINT-ETIENNE)</v>
      </c>
      <c r="O8" s="386" t="str">
        <f>'LISTE DES CAS ANNEXE 30'!Q54</f>
        <v>042</v>
      </c>
      <c r="P8" s="386" t="str">
        <f>'LISTE DES CAS ANNEXE 30'!R54</f>
        <v>422 - CPAM DE LA LOIRE</v>
      </c>
      <c r="Q8" s="387">
        <f>'LISTE DES CAS ANNEXE 30'!S54</f>
        <v>63</v>
      </c>
      <c r="R8" s="388" t="str">
        <f>'LISTE DES CAS ANNEXE 30'!T54</f>
        <v>JOUR</v>
      </c>
      <c r="S8" s="437">
        <f>'LISTE DES CAS ANNEXE 30'!U54</f>
        <v>4</v>
      </c>
      <c r="T8" s="423" t="str">
        <f>'LISTE DES CAS ANNEXE 30'!V54</f>
        <v>OUI 
(TYPE 2)</v>
      </c>
      <c r="U8" s="382" t="str">
        <f>'LISTE DES CAS ANNEXE 30'!W54</f>
        <v>NON</v>
      </c>
      <c r="V8" s="382" t="str">
        <f>'LISTE DES CAS ANNEXE 30'!X54</f>
        <v>NON</v>
      </c>
      <c r="W8" s="382" t="str">
        <f>'LISTE DES CAS ANNEXE 30'!Y54</f>
        <v>NON</v>
      </c>
      <c r="X8" s="425" t="str">
        <f>'LISTE DES CAS ANNEXE 30'!Z54</f>
        <v>OUI</v>
      </c>
    </row>
    <row r="9" spans="1:38" ht="58.5" customHeight="1" thickBot="1" x14ac:dyDescent="0.3">
      <c r="A9" s="638"/>
      <c r="B9" s="636"/>
      <c r="C9" s="381">
        <f>'LISTE DES CAS ANNEXE 30'!C55</f>
        <v>5</v>
      </c>
      <c r="D9" s="677"/>
      <c r="E9" s="680"/>
      <c r="F9" s="405" t="str">
        <f>'LISTE DES CAS ANNEXE 30'!H55</f>
        <v>NON</v>
      </c>
      <c r="G9" s="389" t="str">
        <f>'LISTE DES CAS ANNEXE 30'!I55</f>
        <v>Sans objet</v>
      </c>
      <c r="H9" s="650"/>
      <c r="I9" s="417" t="str">
        <f>'LISTE DES CAS ANNEXE 30'!K55</f>
        <v>69-LYON</v>
      </c>
      <c r="J9" s="399" t="str">
        <f>'LISTE DES CAS ANNEXE 30'!L55</f>
        <v>42-SAINT-ETIENNE</v>
      </c>
      <c r="K9" s="521" t="str">
        <f>'LISTE DES CAS ANNEXE 30'!M55</f>
        <v>27/12/2025 à 20h00</v>
      </c>
      <c r="L9" s="521" t="str">
        <f>'LISTE DES CAS ANNEXE 30'!N55</f>
        <v>27/12/2025 à 21h15</v>
      </c>
      <c r="M9" s="401" t="str">
        <f>'LISTE DES CAS ANNEXE 30'!O55</f>
        <v>EE-003-FF</v>
      </c>
      <c r="N9" s="401" t="str">
        <f>'LISTE DES CAS ANNEXE 30'!P55</f>
        <v>69123
(LYON)</v>
      </c>
      <c r="O9" s="401" t="str">
        <f>'LISTE DES CAS ANNEXE 30'!Q55</f>
        <v>069</v>
      </c>
      <c r="P9" s="401" t="str">
        <f>'LISTE DES CAS ANNEXE 30'!R55</f>
        <v xml:space="preserve">691 - CPAM DU RHONE </v>
      </c>
      <c r="Q9" s="402">
        <f>'LISTE DES CAS ANNEXE 30'!S55</f>
        <v>63</v>
      </c>
      <c r="R9" s="419" t="str">
        <f>'LISTE DES CAS ANNEXE 30'!T55</f>
        <v>NUIT</v>
      </c>
      <c r="S9" s="404">
        <f>'LISTE DES CAS ANNEXE 30'!U55</f>
        <v>1</v>
      </c>
      <c r="T9" s="426" t="str">
        <f>'LISTE DES CAS ANNEXE 30'!V55</f>
        <v>OUI 
(TYPE 1)</v>
      </c>
      <c r="U9" s="400" t="str">
        <f>'LISTE DES CAS ANNEXE 30'!W55</f>
        <v>NON</v>
      </c>
      <c r="V9" s="400" t="str">
        <f>'LISTE DES CAS ANNEXE 30'!X55</f>
        <v>NON</v>
      </c>
      <c r="W9" s="426" t="str">
        <f>'LISTE DES CAS ANNEXE 30'!Y55</f>
        <v>OUI</v>
      </c>
      <c r="X9" s="522" t="str">
        <f>'LISTE DES CAS ANNEXE 30'!Z55</f>
        <v>Sans objet</v>
      </c>
    </row>
    <row r="10" spans="1:38" ht="15.75" thickBot="1" x14ac:dyDescent="0.3">
      <c r="C10" s="78"/>
    </row>
    <row r="11" spans="1:38" ht="80.099999999999994" customHeight="1" thickBot="1" x14ac:dyDescent="0.3">
      <c r="A11" s="597" t="s">
        <v>819</v>
      </c>
      <c r="B11" s="601"/>
      <c r="C11" s="601"/>
      <c r="D11" s="601"/>
      <c r="E11" s="601"/>
      <c r="F11" s="601"/>
      <c r="G11" s="601"/>
      <c r="H11" s="601"/>
      <c r="I11" s="601"/>
      <c r="J11" s="601"/>
      <c r="K11" s="601"/>
      <c r="L11" s="601"/>
      <c r="M11" s="601"/>
      <c r="N11" s="601"/>
      <c r="O11" s="601"/>
      <c r="P11" s="601"/>
      <c r="Q11" s="601"/>
      <c r="R11" s="601"/>
      <c r="S11" s="601"/>
      <c r="T11" s="601"/>
      <c r="U11" s="601"/>
      <c r="V11" s="601"/>
      <c r="W11" s="601"/>
      <c r="X11" s="601"/>
      <c r="Y11" s="599"/>
      <c r="Z11" s="599"/>
      <c r="AA11" s="599"/>
      <c r="AB11" s="599"/>
      <c r="AC11" s="599"/>
      <c r="AD11" s="599"/>
      <c r="AE11" s="599"/>
      <c r="AF11" s="599"/>
      <c r="AG11" s="599"/>
      <c r="AH11" s="599"/>
      <c r="AI11" s="600"/>
    </row>
    <row r="12" spans="1:38" ht="15.75" thickBot="1" x14ac:dyDescent="0.3">
      <c r="C12" s="78"/>
    </row>
    <row r="13" spans="1:38" ht="100.15" customHeight="1" x14ac:dyDescent="0.25">
      <c r="A13" s="623" t="s">
        <v>372</v>
      </c>
      <c r="B13" s="164" t="s">
        <v>13</v>
      </c>
      <c r="C13" s="165" t="s">
        <v>281</v>
      </c>
      <c r="D13" s="165" t="s">
        <v>282</v>
      </c>
      <c r="E13" s="165" t="s">
        <v>15</v>
      </c>
      <c r="F13" s="272" t="s">
        <v>283</v>
      </c>
      <c r="G13" s="165" t="s">
        <v>284</v>
      </c>
      <c r="H13" s="165" t="s">
        <v>285</v>
      </c>
      <c r="I13" s="165" t="s">
        <v>286</v>
      </c>
      <c r="J13" s="165" t="s">
        <v>287</v>
      </c>
      <c r="K13" s="165" t="s">
        <v>288</v>
      </c>
      <c r="L13" s="166" t="s">
        <v>289</v>
      </c>
      <c r="M13" s="166" t="s">
        <v>290</v>
      </c>
      <c r="N13" s="165" t="s">
        <v>15</v>
      </c>
      <c r="O13" s="165" t="s">
        <v>15</v>
      </c>
      <c r="P13" s="165" t="s">
        <v>15</v>
      </c>
      <c r="Q13" s="165" t="s">
        <v>15</v>
      </c>
      <c r="R13" s="165" t="s">
        <v>291</v>
      </c>
      <c r="S13" s="165" t="s">
        <v>15</v>
      </c>
      <c r="T13" s="167" t="s">
        <v>292</v>
      </c>
      <c r="AL13" s="2"/>
    </row>
    <row r="14" spans="1:38" ht="19.899999999999999" customHeight="1" x14ac:dyDescent="0.25">
      <c r="A14" s="624"/>
      <c r="B14" s="168" t="s">
        <v>293</v>
      </c>
      <c r="C14" s="123" t="s">
        <v>294</v>
      </c>
      <c r="D14" s="123" t="s">
        <v>295</v>
      </c>
      <c r="E14" s="124" t="s">
        <v>296</v>
      </c>
      <c r="F14" s="273" t="s">
        <v>297</v>
      </c>
      <c r="G14" s="124" t="s">
        <v>298</v>
      </c>
      <c r="H14" s="124" t="s">
        <v>299</v>
      </c>
      <c r="I14" s="124" t="s">
        <v>300</v>
      </c>
      <c r="J14" s="124" t="s">
        <v>301</v>
      </c>
      <c r="K14" s="124" t="s">
        <v>302</v>
      </c>
      <c r="L14" s="125" t="s">
        <v>303</v>
      </c>
      <c r="M14" s="125" t="s">
        <v>101</v>
      </c>
      <c r="N14" s="124" t="s">
        <v>304</v>
      </c>
      <c r="O14" s="124" t="s">
        <v>255</v>
      </c>
      <c r="P14" s="124" t="s">
        <v>305</v>
      </c>
      <c r="Q14" s="124" t="s">
        <v>306</v>
      </c>
      <c r="R14" s="124" t="s">
        <v>307</v>
      </c>
      <c r="S14" s="124" t="s">
        <v>308</v>
      </c>
      <c r="T14" s="169" t="s">
        <v>309</v>
      </c>
    </row>
    <row r="15" spans="1:38" outlineLevel="1" x14ac:dyDescent="0.25">
      <c r="A15" s="624"/>
      <c r="B15" s="170">
        <v>3</v>
      </c>
      <c r="C15" s="100">
        <v>2</v>
      </c>
      <c r="D15" s="100">
        <v>14</v>
      </c>
      <c r="E15" s="100">
        <v>6</v>
      </c>
      <c r="F15" s="274" t="s">
        <v>204</v>
      </c>
      <c r="G15" s="100">
        <v>14</v>
      </c>
      <c r="H15" s="100">
        <v>6</v>
      </c>
      <c r="I15" s="100">
        <v>2</v>
      </c>
      <c r="J15" s="100">
        <v>6</v>
      </c>
      <c r="K15" s="100">
        <v>6</v>
      </c>
      <c r="L15" s="126">
        <v>4</v>
      </c>
      <c r="M15" s="126">
        <v>2</v>
      </c>
      <c r="N15" s="100">
        <v>1</v>
      </c>
      <c r="O15" s="100">
        <v>1</v>
      </c>
      <c r="P15" s="100">
        <v>3</v>
      </c>
      <c r="Q15" s="100">
        <v>10</v>
      </c>
      <c r="R15" s="100">
        <v>3</v>
      </c>
      <c r="S15" s="100">
        <v>6</v>
      </c>
      <c r="T15" s="171">
        <v>37</v>
      </c>
    </row>
    <row r="16" spans="1:38" outlineLevel="1" x14ac:dyDescent="0.25">
      <c r="A16" s="624"/>
      <c r="B16" s="170" t="s">
        <v>1</v>
      </c>
      <c r="C16" s="100" t="s">
        <v>69</v>
      </c>
      <c r="D16" s="127" t="s">
        <v>1</v>
      </c>
      <c r="E16" s="100" t="s">
        <v>69</v>
      </c>
      <c r="F16" s="274" t="s">
        <v>69</v>
      </c>
      <c r="G16" s="100" t="s">
        <v>1</v>
      </c>
      <c r="H16" s="100" t="s">
        <v>69</v>
      </c>
      <c r="I16" s="100" t="s">
        <v>69</v>
      </c>
      <c r="J16" s="100" t="s">
        <v>69</v>
      </c>
      <c r="K16" s="100" t="s">
        <v>1</v>
      </c>
      <c r="L16" s="128" t="s">
        <v>69</v>
      </c>
      <c r="M16" s="128" t="s">
        <v>69</v>
      </c>
      <c r="N16" s="100" t="s">
        <v>69</v>
      </c>
      <c r="O16" s="100" t="s">
        <v>69</v>
      </c>
      <c r="P16" s="100" t="s">
        <v>69</v>
      </c>
      <c r="Q16" s="100" t="s">
        <v>69</v>
      </c>
      <c r="R16" s="100" t="s">
        <v>1</v>
      </c>
      <c r="S16" s="100" t="s">
        <v>69</v>
      </c>
      <c r="T16" s="171" t="s">
        <v>1</v>
      </c>
    </row>
    <row r="17" spans="1:35" outlineLevel="1" x14ac:dyDescent="0.25">
      <c r="A17" s="624"/>
      <c r="B17" s="170" t="s">
        <v>0</v>
      </c>
      <c r="C17" s="100" t="s">
        <v>0</v>
      </c>
      <c r="D17" s="100" t="s">
        <v>0</v>
      </c>
      <c r="E17" s="100" t="s">
        <v>4</v>
      </c>
      <c r="F17" s="274" t="s">
        <v>0</v>
      </c>
      <c r="G17" s="100" t="s">
        <v>0</v>
      </c>
      <c r="H17" s="100" t="s">
        <v>0</v>
      </c>
      <c r="I17" s="100" t="s">
        <v>0</v>
      </c>
      <c r="J17" s="100" t="s">
        <v>0</v>
      </c>
      <c r="K17" s="100" t="s">
        <v>0</v>
      </c>
      <c r="L17" s="128" t="s">
        <v>0</v>
      </c>
      <c r="M17" s="128" t="s">
        <v>0</v>
      </c>
      <c r="N17" s="100" t="s">
        <v>4</v>
      </c>
      <c r="O17" s="100" t="s">
        <v>4</v>
      </c>
      <c r="P17" s="100" t="s">
        <v>4</v>
      </c>
      <c r="Q17" s="100" t="s">
        <v>4</v>
      </c>
      <c r="R17" s="100" t="s">
        <v>4</v>
      </c>
      <c r="S17" s="100" t="s">
        <v>4</v>
      </c>
      <c r="T17" s="171" t="s">
        <v>0</v>
      </c>
    </row>
    <row r="18" spans="1:35" s="163" customFormat="1" ht="30" customHeight="1" thickBot="1" x14ac:dyDescent="0.3">
      <c r="A18" s="625"/>
      <c r="B18" s="172" t="s">
        <v>6</v>
      </c>
      <c r="C18" s="173" t="s">
        <v>373</v>
      </c>
      <c r="D18" s="174" t="s">
        <v>584</v>
      </c>
      <c r="E18" s="175" t="s">
        <v>374</v>
      </c>
      <c r="F18" s="275" t="s">
        <v>375</v>
      </c>
      <c r="G18" s="174" t="s">
        <v>585</v>
      </c>
      <c r="H18" s="269" t="s">
        <v>482</v>
      </c>
      <c r="I18" s="176" t="s">
        <v>376</v>
      </c>
      <c r="J18" s="176" t="s">
        <v>377</v>
      </c>
      <c r="K18" s="55" t="s">
        <v>482</v>
      </c>
      <c r="L18" s="176" t="s">
        <v>382</v>
      </c>
      <c r="M18" s="176" t="s">
        <v>379</v>
      </c>
      <c r="N18" s="175" t="s">
        <v>8</v>
      </c>
      <c r="O18" s="175" t="s">
        <v>8</v>
      </c>
      <c r="P18" s="175" t="s">
        <v>9</v>
      </c>
      <c r="Q18" s="175" t="s">
        <v>380</v>
      </c>
      <c r="R18" s="175" t="s">
        <v>511</v>
      </c>
      <c r="S18" s="175" t="s">
        <v>374</v>
      </c>
      <c r="T18" s="177" t="s">
        <v>381</v>
      </c>
    </row>
    <row r="19" spans="1:35" ht="15.75" thickBot="1" x14ac:dyDescent="0.3">
      <c r="B19" s="150" t="s">
        <v>586</v>
      </c>
      <c r="C19" s="150" t="s">
        <v>586</v>
      </c>
      <c r="D19" s="150" t="s">
        <v>586</v>
      </c>
      <c r="E19" s="150" t="s">
        <v>586</v>
      </c>
      <c r="F19" s="276" t="s">
        <v>586</v>
      </c>
      <c r="G19" s="150" t="s">
        <v>586</v>
      </c>
      <c r="H19" s="150" t="s">
        <v>586</v>
      </c>
      <c r="I19" s="150" t="s">
        <v>586</v>
      </c>
      <c r="J19" s="150" t="s">
        <v>586</v>
      </c>
      <c r="K19" s="150" t="s">
        <v>586</v>
      </c>
      <c r="L19" s="150" t="s">
        <v>586</v>
      </c>
      <c r="M19" s="150" t="s">
        <v>586</v>
      </c>
      <c r="N19" s="150" t="s">
        <v>586</v>
      </c>
      <c r="O19" s="150" t="s">
        <v>586</v>
      </c>
      <c r="P19" s="150" t="s">
        <v>586</v>
      </c>
      <c r="Q19" s="150" t="s">
        <v>586</v>
      </c>
      <c r="R19" s="150" t="s">
        <v>586</v>
      </c>
      <c r="S19" s="150" t="s">
        <v>586</v>
      </c>
      <c r="T19" s="150" t="s">
        <v>586</v>
      </c>
    </row>
    <row r="20" spans="1:35" ht="100.15" customHeight="1" x14ac:dyDescent="0.25">
      <c r="A20" s="626" t="s">
        <v>362</v>
      </c>
      <c r="B20" s="145" t="s">
        <v>13</v>
      </c>
      <c r="C20" s="129" t="s">
        <v>14</v>
      </c>
      <c r="D20" s="129" t="s">
        <v>310</v>
      </c>
      <c r="E20" s="130" t="s">
        <v>311</v>
      </c>
      <c r="F20" s="277" t="s">
        <v>312</v>
      </c>
      <c r="G20" s="129" t="s">
        <v>313</v>
      </c>
      <c r="H20" s="129" t="s">
        <v>314</v>
      </c>
      <c r="I20" s="129" t="s">
        <v>315</v>
      </c>
      <c r="J20" s="129" t="s">
        <v>316</v>
      </c>
      <c r="K20" s="131" t="s">
        <v>317</v>
      </c>
      <c r="L20" s="131" t="s">
        <v>318</v>
      </c>
      <c r="M20" s="129" t="s">
        <v>114</v>
      </c>
      <c r="N20" s="129" t="s">
        <v>319</v>
      </c>
      <c r="O20" s="129" t="s">
        <v>320</v>
      </c>
      <c r="P20" s="129" t="s">
        <v>321</v>
      </c>
      <c r="Q20" s="129" t="s">
        <v>322</v>
      </c>
      <c r="R20" s="129" t="s">
        <v>465</v>
      </c>
      <c r="S20" s="129" t="s">
        <v>323</v>
      </c>
      <c r="T20" s="129" t="s">
        <v>324</v>
      </c>
      <c r="U20" s="132" t="s">
        <v>15</v>
      </c>
    </row>
    <row r="21" spans="1:35" ht="19.899999999999999" customHeight="1" x14ac:dyDescent="0.25">
      <c r="A21" s="627"/>
      <c r="B21" s="146">
        <v>1</v>
      </c>
      <c r="C21" s="133" t="s">
        <v>47</v>
      </c>
      <c r="D21" s="134" t="s">
        <v>325</v>
      </c>
      <c r="E21" s="135" t="s">
        <v>326</v>
      </c>
      <c r="F21" s="278" t="s">
        <v>327</v>
      </c>
      <c r="G21" s="134" t="s">
        <v>328</v>
      </c>
      <c r="H21" s="134" t="s">
        <v>297</v>
      </c>
      <c r="I21" s="134" t="s">
        <v>329</v>
      </c>
      <c r="J21" s="134" t="s">
        <v>330</v>
      </c>
      <c r="K21" s="134" t="s">
        <v>331</v>
      </c>
      <c r="L21" s="136" t="s">
        <v>332</v>
      </c>
      <c r="M21" s="134" t="s">
        <v>333</v>
      </c>
      <c r="N21" s="134" t="s">
        <v>103</v>
      </c>
      <c r="O21" s="137">
        <v>81</v>
      </c>
      <c r="P21" s="134" t="s">
        <v>334</v>
      </c>
      <c r="Q21" s="134" t="s">
        <v>335</v>
      </c>
      <c r="R21" s="134" t="s">
        <v>336</v>
      </c>
      <c r="S21" s="134" t="s">
        <v>231</v>
      </c>
      <c r="T21" s="134" t="s">
        <v>337</v>
      </c>
      <c r="U21" s="138" t="s">
        <v>338</v>
      </c>
    </row>
    <row r="22" spans="1:35" outlineLevel="1" x14ac:dyDescent="0.25">
      <c r="A22" s="627"/>
      <c r="B22" s="180">
        <v>1</v>
      </c>
      <c r="C22" s="140">
        <v>9</v>
      </c>
      <c r="D22" s="181">
        <v>6</v>
      </c>
      <c r="E22" s="140">
        <v>3</v>
      </c>
      <c r="F22" s="279">
        <v>3</v>
      </c>
      <c r="G22" s="140">
        <v>3</v>
      </c>
      <c r="H22" s="140">
        <v>2</v>
      </c>
      <c r="I22" s="140">
        <v>2</v>
      </c>
      <c r="J22" s="140">
        <v>40</v>
      </c>
      <c r="K22" s="140">
        <v>2</v>
      </c>
      <c r="L22" s="140">
        <v>6</v>
      </c>
      <c r="M22" s="140">
        <v>1</v>
      </c>
      <c r="N22" s="140">
        <v>2</v>
      </c>
      <c r="O22" s="140">
        <v>1</v>
      </c>
      <c r="P22" s="140">
        <v>6</v>
      </c>
      <c r="Q22" s="140">
        <v>1</v>
      </c>
      <c r="R22" s="140">
        <v>2</v>
      </c>
      <c r="S22" s="140">
        <v>3</v>
      </c>
      <c r="T22" s="140">
        <v>1</v>
      </c>
      <c r="U22" s="182">
        <v>34</v>
      </c>
    </row>
    <row r="23" spans="1:35" outlineLevel="1" x14ac:dyDescent="0.25">
      <c r="A23" s="627"/>
      <c r="B23" s="146" t="s">
        <v>1</v>
      </c>
      <c r="C23" s="137" t="s">
        <v>1</v>
      </c>
      <c r="D23" s="137" t="s">
        <v>69</v>
      </c>
      <c r="E23" s="139" t="s">
        <v>1</v>
      </c>
      <c r="F23" s="280" t="s">
        <v>1</v>
      </c>
      <c r="G23" s="137" t="s">
        <v>69</v>
      </c>
      <c r="H23" s="137" t="s">
        <v>69</v>
      </c>
      <c r="I23" s="137" t="s">
        <v>69</v>
      </c>
      <c r="J23" s="137" t="s">
        <v>69</v>
      </c>
      <c r="K23" s="142" t="s">
        <v>69</v>
      </c>
      <c r="L23" s="142" t="s">
        <v>1</v>
      </c>
      <c r="M23" s="137" t="s">
        <v>69</v>
      </c>
      <c r="N23" s="137" t="s">
        <v>69</v>
      </c>
      <c r="O23" s="137" t="s">
        <v>69</v>
      </c>
      <c r="P23" s="137" t="s">
        <v>1</v>
      </c>
      <c r="Q23" s="137" t="s">
        <v>69</v>
      </c>
      <c r="R23" s="137" t="s">
        <v>69</v>
      </c>
      <c r="S23" s="137" t="s">
        <v>69</v>
      </c>
      <c r="T23" s="137" t="s">
        <v>1</v>
      </c>
      <c r="U23" s="141" t="s">
        <v>69</v>
      </c>
    </row>
    <row r="24" spans="1:35" outlineLevel="1" x14ac:dyDescent="0.25">
      <c r="A24" s="627"/>
      <c r="B24" s="146" t="s">
        <v>0</v>
      </c>
      <c r="C24" s="137" t="s">
        <v>0</v>
      </c>
      <c r="D24" s="137" t="s">
        <v>4</v>
      </c>
      <c r="E24" s="139" t="s">
        <v>0</v>
      </c>
      <c r="F24" s="280" t="s">
        <v>0</v>
      </c>
      <c r="G24" s="137" t="s">
        <v>4</v>
      </c>
      <c r="H24" s="137" t="s">
        <v>4</v>
      </c>
      <c r="I24" s="137" t="s">
        <v>4</v>
      </c>
      <c r="J24" s="137" t="s">
        <v>0</v>
      </c>
      <c r="K24" s="142" t="s">
        <v>0</v>
      </c>
      <c r="L24" s="142" t="s">
        <v>0</v>
      </c>
      <c r="M24" s="137" t="s">
        <v>4</v>
      </c>
      <c r="N24" s="137" t="s">
        <v>0</v>
      </c>
      <c r="O24" s="137" t="s">
        <v>4</v>
      </c>
      <c r="P24" s="137" t="s">
        <v>0</v>
      </c>
      <c r="Q24" s="137" t="s">
        <v>4</v>
      </c>
      <c r="R24" s="137" t="s">
        <v>4</v>
      </c>
      <c r="S24" s="137" t="s">
        <v>4</v>
      </c>
      <c r="T24" s="137" t="s">
        <v>4</v>
      </c>
      <c r="U24" s="141" t="s">
        <v>15</v>
      </c>
    </row>
    <row r="25" spans="1:35" s="163" customFormat="1" ht="30" customHeight="1" thickBot="1" x14ac:dyDescent="0.3">
      <c r="A25" s="628"/>
      <c r="B25" s="178">
        <v>1</v>
      </c>
      <c r="C25" s="54" t="s">
        <v>544</v>
      </c>
      <c r="D25" s="161" t="s">
        <v>374</v>
      </c>
      <c r="E25" s="179" t="s">
        <v>274</v>
      </c>
      <c r="F25" s="281" t="s">
        <v>195</v>
      </c>
      <c r="G25" s="162" t="s">
        <v>9</v>
      </c>
      <c r="H25" s="162" t="s">
        <v>210</v>
      </c>
      <c r="I25" s="162" t="s">
        <v>210</v>
      </c>
      <c r="J25" s="162" t="s">
        <v>383</v>
      </c>
      <c r="K25" s="162" t="s">
        <v>379</v>
      </c>
      <c r="L25" s="55" t="s">
        <v>482</v>
      </c>
      <c r="M25" s="162" t="s">
        <v>8</v>
      </c>
      <c r="N25" s="162" t="s">
        <v>378</v>
      </c>
      <c r="O25" s="162" t="s">
        <v>8</v>
      </c>
      <c r="P25" s="161" t="s">
        <v>384</v>
      </c>
      <c r="Q25" s="162" t="s">
        <v>11</v>
      </c>
      <c r="R25" s="162" t="s">
        <v>210</v>
      </c>
      <c r="S25" s="162" t="s">
        <v>9</v>
      </c>
      <c r="T25" s="162" t="s">
        <v>8</v>
      </c>
      <c r="U25" s="177" t="s">
        <v>385</v>
      </c>
    </row>
    <row r="26" spans="1:35" ht="15.75" thickBot="1" x14ac:dyDescent="0.3">
      <c r="A26" s="2"/>
      <c r="B26" s="150" t="s">
        <v>586</v>
      </c>
      <c r="C26" s="150" t="s">
        <v>586</v>
      </c>
      <c r="D26" s="150" t="s">
        <v>586</v>
      </c>
      <c r="E26" s="150" t="s">
        <v>586</v>
      </c>
      <c r="F26" s="276" t="s">
        <v>586</v>
      </c>
      <c r="G26" s="150" t="s">
        <v>586</v>
      </c>
      <c r="H26" s="150" t="s">
        <v>586</v>
      </c>
      <c r="I26" s="150" t="s">
        <v>586</v>
      </c>
      <c r="J26" s="150" t="s">
        <v>586</v>
      </c>
      <c r="K26" s="150" t="s">
        <v>586</v>
      </c>
      <c r="L26" s="150" t="s">
        <v>586</v>
      </c>
      <c r="M26" s="150" t="s">
        <v>586</v>
      </c>
      <c r="N26" s="150" t="s">
        <v>586</v>
      </c>
      <c r="O26" s="150" t="s">
        <v>586</v>
      </c>
      <c r="P26" s="150" t="s">
        <v>586</v>
      </c>
      <c r="Q26" s="150" t="s">
        <v>586</v>
      </c>
      <c r="R26" s="150" t="s">
        <v>586</v>
      </c>
      <c r="S26" s="150" t="s">
        <v>586</v>
      </c>
      <c r="T26" s="150" t="s">
        <v>586</v>
      </c>
      <c r="U26" s="150" t="s">
        <v>586</v>
      </c>
    </row>
    <row r="27" spans="1:35" ht="100.15" customHeight="1" x14ac:dyDescent="0.25">
      <c r="A27" s="614" t="s">
        <v>359</v>
      </c>
      <c r="B27" s="147" t="s">
        <v>13</v>
      </c>
      <c r="C27" s="24" t="s">
        <v>14</v>
      </c>
      <c r="D27" s="24" t="s">
        <v>15</v>
      </c>
      <c r="E27" s="25" t="s">
        <v>16</v>
      </c>
      <c r="F27" s="282" t="s">
        <v>17</v>
      </c>
      <c r="G27" s="24" t="s">
        <v>18</v>
      </c>
      <c r="H27" s="24" t="s">
        <v>19</v>
      </c>
      <c r="I27" s="24" t="s">
        <v>20</v>
      </c>
      <c r="J27" s="24" t="s">
        <v>21</v>
      </c>
      <c r="K27" s="26" t="s">
        <v>22</v>
      </c>
      <c r="L27" s="26" t="s">
        <v>23</v>
      </c>
      <c r="M27" s="24" t="s">
        <v>24</v>
      </c>
      <c r="N27" s="24" t="s">
        <v>25</v>
      </c>
      <c r="O27" s="24" t="s">
        <v>26</v>
      </c>
      <c r="P27" s="24" t="s">
        <v>27</v>
      </c>
      <c r="Q27" s="24" t="s">
        <v>28</v>
      </c>
      <c r="R27" s="24" t="s">
        <v>29</v>
      </c>
      <c r="S27" s="24" t="s">
        <v>30</v>
      </c>
      <c r="T27" s="24" t="s">
        <v>31</v>
      </c>
      <c r="U27" s="24" t="s">
        <v>32</v>
      </c>
      <c r="V27" s="24" t="s">
        <v>33</v>
      </c>
      <c r="W27" s="24" t="s">
        <v>34</v>
      </c>
      <c r="X27" s="24" t="s">
        <v>35</v>
      </c>
      <c r="Y27" s="24" t="s">
        <v>36</v>
      </c>
      <c r="Z27" s="24" t="s">
        <v>37</v>
      </c>
      <c r="AA27" s="24" t="s">
        <v>38</v>
      </c>
      <c r="AB27" s="24" t="s">
        <v>39</v>
      </c>
      <c r="AC27" s="24" t="s">
        <v>40</v>
      </c>
      <c r="AD27" s="24" t="s">
        <v>41</v>
      </c>
      <c r="AE27" s="24" t="s">
        <v>42</v>
      </c>
      <c r="AF27" s="24" t="s">
        <v>43</v>
      </c>
      <c r="AG27" s="24" t="s">
        <v>44</v>
      </c>
      <c r="AH27" s="24" t="s">
        <v>45</v>
      </c>
      <c r="AI27" s="27" t="s">
        <v>46</v>
      </c>
    </row>
    <row r="28" spans="1:35" ht="19.899999999999999" customHeight="1" x14ac:dyDescent="0.25">
      <c r="A28" s="615"/>
      <c r="B28" s="148">
        <v>1</v>
      </c>
      <c r="C28" s="5" t="s">
        <v>47</v>
      </c>
      <c r="D28" s="4">
        <v>11</v>
      </c>
      <c r="E28" s="6" t="s">
        <v>48</v>
      </c>
      <c r="F28" s="283" t="s">
        <v>49</v>
      </c>
      <c r="G28" s="7" t="s">
        <v>50</v>
      </c>
      <c r="H28" s="7">
        <v>36</v>
      </c>
      <c r="I28" s="7">
        <v>37</v>
      </c>
      <c r="J28" s="7">
        <v>38</v>
      </c>
      <c r="K28" s="8" t="s">
        <v>51</v>
      </c>
      <c r="L28" s="8" t="s">
        <v>52</v>
      </c>
      <c r="M28" s="7">
        <v>46</v>
      </c>
      <c r="N28" s="7">
        <v>47</v>
      </c>
      <c r="O28" s="7">
        <v>48</v>
      </c>
      <c r="P28" s="7" t="s">
        <v>53</v>
      </c>
      <c r="Q28" s="7" t="s">
        <v>54</v>
      </c>
      <c r="R28" s="7" t="s">
        <v>55</v>
      </c>
      <c r="S28" s="7">
        <v>58</v>
      </c>
      <c r="T28" s="7" t="s">
        <v>56</v>
      </c>
      <c r="U28" s="7" t="s">
        <v>57</v>
      </c>
      <c r="V28" s="7" t="s">
        <v>58</v>
      </c>
      <c r="W28" s="7" t="s">
        <v>59</v>
      </c>
      <c r="X28" s="7">
        <v>79</v>
      </c>
      <c r="Y28" s="7" t="s">
        <v>60</v>
      </c>
      <c r="Z28" s="7" t="s">
        <v>61</v>
      </c>
      <c r="AA28" s="7">
        <v>95</v>
      </c>
      <c r="AB28" s="7" t="s">
        <v>62</v>
      </c>
      <c r="AC28" s="7">
        <v>102</v>
      </c>
      <c r="AD28" s="7" t="s">
        <v>63</v>
      </c>
      <c r="AE28" s="7" t="s">
        <v>64</v>
      </c>
      <c r="AF28" s="7" t="s">
        <v>65</v>
      </c>
      <c r="AG28" s="7" t="s">
        <v>66</v>
      </c>
      <c r="AH28" s="7" t="s">
        <v>67</v>
      </c>
      <c r="AI28" s="28" t="s">
        <v>68</v>
      </c>
    </row>
    <row r="29" spans="1:35" outlineLevel="1" x14ac:dyDescent="0.25">
      <c r="A29" s="615"/>
      <c r="B29" s="148">
        <v>1</v>
      </c>
      <c r="C29" s="4">
        <v>9</v>
      </c>
      <c r="D29" s="4">
        <v>1</v>
      </c>
      <c r="E29" s="9">
        <v>13</v>
      </c>
      <c r="F29" s="284">
        <v>2</v>
      </c>
      <c r="G29" s="4">
        <v>9</v>
      </c>
      <c r="H29" s="4">
        <v>1</v>
      </c>
      <c r="I29" s="4">
        <v>1</v>
      </c>
      <c r="J29" s="4">
        <v>1</v>
      </c>
      <c r="K29" s="10">
        <v>1</v>
      </c>
      <c r="L29" s="10">
        <v>6</v>
      </c>
      <c r="M29" s="4">
        <v>1</v>
      </c>
      <c r="N29" s="4">
        <v>1</v>
      </c>
      <c r="O29" s="4">
        <v>1</v>
      </c>
      <c r="P29" s="4">
        <v>2</v>
      </c>
      <c r="Q29" s="4">
        <v>3</v>
      </c>
      <c r="R29" s="4">
        <v>4</v>
      </c>
      <c r="S29" s="4">
        <v>1</v>
      </c>
      <c r="T29" s="4">
        <v>9</v>
      </c>
      <c r="U29" s="4">
        <v>6</v>
      </c>
      <c r="V29" s="4">
        <v>3</v>
      </c>
      <c r="W29" s="4">
        <v>2</v>
      </c>
      <c r="X29" s="4">
        <v>1</v>
      </c>
      <c r="Y29" s="4">
        <v>6</v>
      </c>
      <c r="Z29" s="4">
        <v>9</v>
      </c>
      <c r="AA29" s="4">
        <v>1</v>
      </c>
      <c r="AB29" s="4">
        <v>6</v>
      </c>
      <c r="AC29" s="4">
        <v>1</v>
      </c>
      <c r="AD29" s="4">
        <v>2</v>
      </c>
      <c r="AE29" s="4">
        <v>8</v>
      </c>
      <c r="AF29" s="4">
        <v>2</v>
      </c>
      <c r="AG29" s="4">
        <v>2</v>
      </c>
      <c r="AH29" s="4">
        <v>2</v>
      </c>
      <c r="AI29" s="29">
        <v>10</v>
      </c>
    </row>
    <row r="30" spans="1:35" outlineLevel="1" x14ac:dyDescent="0.25">
      <c r="A30" s="615"/>
      <c r="B30" s="148" t="s">
        <v>1</v>
      </c>
      <c r="C30" s="4" t="s">
        <v>1</v>
      </c>
      <c r="D30" s="4" t="s">
        <v>69</v>
      </c>
      <c r="E30" s="9" t="s">
        <v>69</v>
      </c>
      <c r="F30" s="284" t="s">
        <v>1</v>
      </c>
      <c r="G30" s="4" t="s">
        <v>1</v>
      </c>
      <c r="H30" s="4" t="s">
        <v>69</v>
      </c>
      <c r="I30" s="4" t="s">
        <v>69</v>
      </c>
      <c r="J30" s="4" t="s">
        <v>69</v>
      </c>
      <c r="K30" s="11" t="s">
        <v>1</v>
      </c>
      <c r="L30" s="12" t="s">
        <v>1</v>
      </c>
      <c r="M30" s="13" t="s">
        <v>69</v>
      </c>
      <c r="N30" s="4" t="s">
        <v>69</v>
      </c>
      <c r="O30" s="4" t="s">
        <v>69</v>
      </c>
      <c r="P30" s="13" t="s">
        <v>1</v>
      </c>
      <c r="Q30" s="13" t="s">
        <v>1</v>
      </c>
      <c r="R30" s="13" t="s">
        <v>1</v>
      </c>
      <c r="S30" s="4" t="s">
        <v>1</v>
      </c>
      <c r="T30" s="13" t="s">
        <v>1</v>
      </c>
      <c r="U30" s="4" t="s">
        <v>1</v>
      </c>
      <c r="V30" s="4" t="s">
        <v>69</v>
      </c>
      <c r="W30" s="13" t="s">
        <v>1</v>
      </c>
      <c r="X30" s="4" t="s">
        <v>69</v>
      </c>
      <c r="Y30" s="4" t="s">
        <v>1</v>
      </c>
      <c r="Z30" s="13" t="s">
        <v>1</v>
      </c>
      <c r="AA30" s="4" t="s">
        <v>69</v>
      </c>
      <c r="AB30" s="4" t="s">
        <v>1</v>
      </c>
      <c r="AC30" s="4" t="s">
        <v>1</v>
      </c>
      <c r="AD30" s="4" t="s">
        <v>69</v>
      </c>
      <c r="AE30" s="4" t="s">
        <v>69</v>
      </c>
      <c r="AF30" s="4" t="s">
        <v>1</v>
      </c>
      <c r="AG30" s="4" t="s">
        <v>1</v>
      </c>
      <c r="AH30" s="4" t="s">
        <v>1</v>
      </c>
      <c r="AI30" s="29" t="s">
        <v>69</v>
      </c>
    </row>
    <row r="31" spans="1:35" outlineLevel="1" x14ac:dyDescent="0.25">
      <c r="A31" s="615"/>
      <c r="B31" s="148" t="s">
        <v>0</v>
      </c>
      <c r="C31" s="4" t="s">
        <v>0</v>
      </c>
      <c r="D31" s="4" t="s">
        <v>4</v>
      </c>
      <c r="E31" s="9" t="s">
        <v>0</v>
      </c>
      <c r="F31" s="284" t="s">
        <v>0</v>
      </c>
      <c r="G31" s="4" t="s">
        <v>0</v>
      </c>
      <c r="H31" s="4" t="s">
        <v>4</v>
      </c>
      <c r="I31" s="4" t="s">
        <v>4</v>
      </c>
      <c r="J31" s="4" t="s">
        <v>4</v>
      </c>
      <c r="K31" s="12" t="s">
        <v>0</v>
      </c>
      <c r="L31" s="12" t="s">
        <v>0</v>
      </c>
      <c r="M31" s="4" t="s">
        <v>4</v>
      </c>
      <c r="N31" s="4" t="s">
        <v>4</v>
      </c>
      <c r="O31" s="4" t="s">
        <v>4</v>
      </c>
      <c r="P31" s="4" t="s">
        <v>0</v>
      </c>
      <c r="Q31" s="4" t="s">
        <v>0</v>
      </c>
      <c r="R31" s="4" t="s">
        <v>0</v>
      </c>
      <c r="S31" s="4" t="s">
        <v>0</v>
      </c>
      <c r="T31" s="4" t="s">
        <v>0</v>
      </c>
      <c r="U31" s="4" t="s">
        <v>0</v>
      </c>
      <c r="V31" s="4" t="s">
        <v>4</v>
      </c>
      <c r="W31" s="4" t="s">
        <v>4</v>
      </c>
      <c r="X31" s="4" t="s">
        <v>0</v>
      </c>
      <c r="Y31" s="4" t="s">
        <v>4</v>
      </c>
      <c r="Z31" s="4" t="s">
        <v>4</v>
      </c>
      <c r="AA31" s="4" t="s">
        <v>0</v>
      </c>
      <c r="AB31" s="4" t="s">
        <v>0</v>
      </c>
      <c r="AC31" s="4" t="s">
        <v>4</v>
      </c>
      <c r="AD31" s="4" t="s">
        <v>4</v>
      </c>
      <c r="AE31" s="4" t="s">
        <v>4</v>
      </c>
      <c r="AF31" s="4" t="s">
        <v>4</v>
      </c>
      <c r="AG31" s="4" t="s">
        <v>4</v>
      </c>
      <c r="AH31" s="4" t="s">
        <v>4</v>
      </c>
      <c r="AI31" s="29" t="s">
        <v>4</v>
      </c>
    </row>
    <row r="32" spans="1:35" s="76" customFormat="1" ht="30" customHeight="1" thickBot="1" x14ac:dyDescent="0.3">
      <c r="A32" s="616"/>
      <c r="B32" s="149">
        <v>2</v>
      </c>
      <c r="C32" s="54" t="s">
        <v>544</v>
      </c>
      <c r="D32" s="55" t="s">
        <v>8</v>
      </c>
      <c r="E32" s="55" t="s">
        <v>198</v>
      </c>
      <c r="F32" s="270">
        <v>77</v>
      </c>
      <c r="G32" s="55">
        <v>250000001</v>
      </c>
      <c r="H32" s="193" t="s">
        <v>69</v>
      </c>
      <c r="I32" s="79" t="s">
        <v>8</v>
      </c>
      <c r="J32" s="80" t="s">
        <v>8</v>
      </c>
      <c r="K32" s="81" t="s">
        <v>200</v>
      </c>
      <c r="L32" s="55" t="s">
        <v>482</v>
      </c>
      <c r="M32" s="54" t="s">
        <v>8</v>
      </c>
      <c r="N32" s="54" t="s">
        <v>8</v>
      </c>
      <c r="O32" s="54" t="s">
        <v>8</v>
      </c>
      <c r="P32" s="55" t="s">
        <v>202</v>
      </c>
      <c r="Q32" s="55" t="s">
        <v>274</v>
      </c>
      <c r="R32" s="55" t="s">
        <v>203</v>
      </c>
      <c r="S32" s="55" t="s">
        <v>204</v>
      </c>
      <c r="T32" s="55" t="s">
        <v>546</v>
      </c>
      <c r="U32" s="55" t="s">
        <v>269</v>
      </c>
      <c r="V32" s="79" t="s">
        <v>9</v>
      </c>
      <c r="W32" s="54" t="s">
        <v>937</v>
      </c>
      <c r="X32" s="199" t="s">
        <v>206</v>
      </c>
      <c r="Y32" s="55" t="s">
        <v>208</v>
      </c>
      <c r="Z32" s="193" t="s">
        <v>938</v>
      </c>
      <c r="AA32" s="55" t="s">
        <v>8</v>
      </c>
      <c r="AB32" s="55" t="s">
        <v>491</v>
      </c>
      <c r="AC32" s="55">
        <v>1</v>
      </c>
      <c r="AD32" s="79" t="s">
        <v>210</v>
      </c>
      <c r="AE32" s="79" t="s">
        <v>211</v>
      </c>
      <c r="AF32" s="55" t="s">
        <v>202</v>
      </c>
      <c r="AG32" s="54" t="s">
        <v>207</v>
      </c>
      <c r="AH32" s="54" t="s">
        <v>5</v>
      </c>
      <c r="AI32" s="82" t="s">
        <v>380</v>
      </c>
    </row>
    <row r="33" spans="1:35" s="75" customFormat="1" ht="15.75" thickBot="1" x14ac:dyDescent="0.3">
      <c r="B33" s="150" t="s">
        <v>586</v>
      </c>
      <c r="C33" s="75" t="s">
        <v>586</v>
      </c>
      <c r="D33" s="75" t="s">
        <v>586</v>
      </c>
      <c r="E33" s="75" t="s">
        <v>586</v>
      </c>
      <c r="F33" s="276" t="s">
        <v>586</v>
      </c>
      <c r="G33" s="75" t="s">
        <v>586</v>
      </c>
      <c r="H33" s="75" t="s">
        <v>586</v>
      </c>
      <c r="I33" s="75" t="s">
        <v>586</v>
      </c>
      <c r="J33" s="75" t="s">
        <v>586</v>
      </c>
      <c r="K33" s="75" t="s">
        <v>586</v>
      </c>
      <c r="L33" s="75" t="s">
        <v>586</v>
      </c>
      <c r="M33" s="75" t="s">
        <v>586</v>
      </c>
      <c r="N33" s="75" t="s">
        <v>586</v>
      </c>
      <c r="O33" s="75" t="s">
        <v>586</v>
      </c>
      <c r="P33" s="75" t="s">
        <v>586</v>
      </c>
      <c r="Q33" s="75" t="s">
        <v>586</v>
      </c>
      <c r="R33" s="75" t="s">
        <v>586</v>
      </c>
      <c r="S33" s="75" t="s">
        <v>586</v>
      </c>
      <c r="T33" s="75" t="s">
        <v>586</v>
      </c>
      <c r="U33" s="75" t="s">
        <v>586</v>
      </c>
      <c r="V33" s="75" t="s">
        <v>586</v>
      </c>
      <c r="W33" s="75" t="s">
        <v>586</v>
      </c>
      <c r="X33" s="75" t="s">
        <v>586</v>
      </c>
      <c r="Y33" s="75" t="s">
        <v>586</v>
      </c>
      <c r="Z33" s="75" t="s">
        <v>586</v>
      </c>
      <c r="AA33" s="75" t="s">
        <v>586</v>
      </c>
      <c r="AB33" s="75" t="s">
        <v>586</v>
      </c>
      <c r="AC33" s="75" t="s">
        <v>586</v>
      </c>
      <c r="AD33" s="75" t="s">
        <v>586</v>
      </c>
      <c r="AE33" s="75" t="s">
        <v>586</v>
      </c>
      <c r="AF33" s="75" t="s">
        <v>586</v>
      </c>
      <c r="AG33" s="75" t="s">
        <v>586</v>
      </c>
      <c r="AH33" s="75" t="s">
        <v>586</v>
      </c>
      <c r="AI33" s="75" t="s">
        <v>586</v>
      </c>
    </row>
    <row r="34" spans="1:35" s="75" customFormat="1" ht="100.15" customHeight="1" x14ac:dyDescent="0.25">
      <c r="A34" s="617" t="s">
        <v>447</v>
      </c>
      <c r="B34" s="238" t="s">
        <v>13</v>
      </c>
      <c r="C34" s="239" t="s">
        <v>14</v>
      </c>
      <c r="D34" s="239" t="s">
        <v>15</v>
      </c>
      <c r="E34" s="240" t="s">
        <v>16</v>
      </c>
      <c r="F34" s="285" t="s">
        <v>17</v>
      </c>
      <c r="G34" s="239" t="s">
        <v>70</v>
      </c>
      <c r="H34" s="239" t="s">
        <v>71</v>
      </c>
      <c r="I34" s="239" t="s">
        <v>429</v>
      </c>
      <c r="J34" s="241" t="s">
        <v>430</v>
      </c>
      <c r="K34" s="252" t="s">
        <v>15</v>
      </c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</row>
    <row r="35" spans="1:35" ht="19.899999999999999" customHeight="1" x14ac:dyDescent="0.25">
      <c r="A35" s="618"/>
      <c r="B35" s="242">
        <v>1</v>
      </c>
      <c r="C35" s="243" t="s">
        <v>47</v>
      </c>
      <c r="D35" s="244">
        <v>11</v>
      </c>
      <c r="E35" s="245" t="s">
        <v>48</v>
      </c>
      <c r="F35" s="286" t="s">
        <v>49</v>
      </c>
      <c r="G35" s="246" t="s">
        <v>50</v>
      </c>
      <c r="H35" s="246">
        <v>36</v>
      </c>
      <c r="I35" s="247" t="s">
        <v>443</v>
      </c>
      <c r="J35" s="248" t="s">
        <v>444</v>
      </c>
      <c r="K35" s="253" t="s">
        <v>445</v>
      </c>
    </row>
    <row r="36" spans="1:35" ht="16.149999999999999" customHeight="1" outlineLevel="1" x14ac:dyDescent="0.25">
      <c r="A36" s="618"/>
      <c r="B36" s="242">
        <v>1</v>
      </c>
      <c r="C36" s="244">
        <v>9</v>
      </c>
      <c r="D36" s="244">
        <v>1</v>
      </c>
      <c r="E36" s="249">
        <v>13</v>
      </c>
      <c r="F36" s="287">
        <v>2</v>
      </c>
      <c r="G36" s="244">
        <v>9</v>
      </c>
      <c r="H36" s="244">
        <v>1</v>
      </c>
      <c r="I36" s="244">
        <v>11</v>
      </c>
      <c r="J36" s="250">
        <v>14</v>
      </c>
      <c r="K36" s="254">
        <v>67</v>
      </c>
    </row>
    <row r="37" spans="1:35" ht="20.45" customHeight="1" outlineLevel="1" x14ac:dyDescent="0.25">
      <c r="A37" s="618"/>
      <c r="B37" s="242" t="s">
        <v>1</v>
      </c>
      <c r="C37" s="244" t="s">
        <v>1</v>
      </c>
      <c r="D37" s="244" t="s">
        <v>69</v>
      </c>
      <c r="E37" s="249" t="s">
        <v>69</v>
      </c>
      <c r="F37" s="287" t="s">
        <v>1</v>
      </c>
      <c r="G37" s="244" t="s">
        <v>1</v>
      </c>
      <c r="H37" s="244" t="s">
        <v>69</v>
      </c>
      <c r="I37" s="244" t="s">
        <v>1</v>
      </c>
      <c r="J37" s="251" t="s">
        <v>1</v>
      </c>
      <c r="K37" s="255" t="s">
        <v>69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5" ht="15.6" customHeight="1" outlineLevel="1" x14ac:dyDescent="0.25">
      <c r="A38" s="618"/>
      <c r="B38" s="242" t="s">
        <v>0</v>
      </c>
      <c r="C38" s="244" t="s">
        <v>0</v>
      </c>
      <c r="D38" s="244" t="s">
        <v>4</v>
      </c>
      <c r="E38" s="249" t="s">
        <v>0</v>
      </c>
      <c r="F38" s="287" t="s">
        <v>0</v>
      </c>
      <c r="G38" s="244" t="s">
        <v>0</v>
      </c>
      <c r="H38" s="244" t="s">
        <v>4</v>
      </c>
      <c r="I38" s="244" t="s">
        <v>4</v>
      </c>
      <c r="J38" s="251" t="s">
        <v>4</v>
      </c>
      <c r="K38" s="255" t="s">
        <v>4</v>
      </c>
      <c r="Q38" s="501" t="s">
        <v>913</v>
      </c>
    </row>
    <row r="39" spans="1:35" ht="30" customHeight="1" thickBot="1" x14ac:dyDescent="0.3">
      <c r="A39" s="619"/>
      <c r="B39" s="256" t="s">
        <v>204</v>
      </c>
      <c r="C39" s="54" t="s">
        <v>544</v>
      </c>
      <c r="D39" s="55" t="s">
        <v>8</v>
      </c>
      <c r="E39" s="54" t="s">
        <v>198</v>
      </c>
      <c r="F39" s="288">
        <v>77</v>
      </c>
      <c r="G39" s="54">
        <v>250000001</v>
      </c>
      <c r="H39" s="193" t="s">
        <v>431</v>
      </c>
      <c r="I39" s="33" t="s">
        <v>588</v>
      </c>
      <c r="J39" s="193" t="s">
        <v>432</v>
      </c>
      <c r="K39" s="226" t="s">
        <v>446</v>
      </c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 t="s">
        <v>589</v>
      </c>
      <c r="AH39" s="76"/>
      <c r="AI39" s="76"/>
    </row>
    <row r="40" spans="1:35" s="75" customFormat="1" ht="15.75" thickBot="1" x14ac:dyDescent="0.3">
      <c r="B40" s="150"/>
      <c r="F40" s="276"/>
    </row>
    <row r="41" spans="1:35" s="75" customFormat="1" ht="100.15" customHeight="1" x14ac:dyDescent="0.25">
      <c r="A41" s="620" t="s">
        <v>394</v>
      </c>
      <c r="B41" s="151" t="s">
        <v>13</v>
      </c>
      <c r="C41" s="40" t="s">
        <v>14</v>
      </c>
      <c r="D41" s="40" t="s">
        <v>15</v>
      </c>
      <c r="E41" s="41" t="s">
        <v>16</v>
      </c>
      <c r="F41" s="289" t="s">
        <v>17</v>
      </c>
      <c r="G41" s="40" t="s">
        <v>70</v>
      </c>
      <c r="H41" s="40" t="s">
        <v>71</v>
      </c>
      <c r="I41" s="40" t="s">
        <v>72</v>
      </c>
      <c r="J41" s="40" t="s">
        <v>2</v>
      </c>
      <c r="K41" s="40" t="s">
        <v>73</v>
      </c>
      <c r="L41" s="42" t="s">
        <v>466</v>
      </c>
      <c r="M41" s="42" t="s">
        <v>75</v>
      </c>
      <c r="N41" s="40" t="s">
        <v>76</v>
      </c>
      <c r="O41" s="40" t="s">
        <v>77</v>
      </c>
      <c r="P41" s="40" t="s">
        <v>467</v>
      </c>
      <c r="Q41" s="40" t="s">
        <v>468</v>
      </c>
      <c r="R41" s="40" t="s">
        <v>80</v>
      </c>
      <c r="S41" s="40" t="s">
        <v>81</v>
      </c>
      <c r="T41" s="40" t="s">
        <v>82</v>
      </c>
      <c r="U41" s="40" t="s">
        <v>83</v>
      </c>
      <c r="V41" s="40" t="s">
        <v>84</v>
      </c>
      <c r="W41" s="40" t="s">
        <v>3</v>
      </c>
      <c r="X41" s="40" t="s">
        <v>85</v>
      </c>
      <c r="Y41" s="40" t="s">
        <v>86</v>
      </c>
      <c r="Z41" s="40" t="s">
        <v>87</v>
      </c>
      <c r="AA41" s="40" t="s">
        <v>88</v>
      </c>
      <c r="AB41" s="40" t="s">
        <v>89</v>
      </c>
      <c r="AC41" s="40" t="s">
        <v>90</v>
      </c>
      <c r="AD41" s="40" t="s">
        <v>91</v>
      </c>
      <c r="AE41" s="40" t="s">
        <v>92</v>
      </c>
      <c r="AF41" s="43" t="s">
        <v>93</v>
      </c>
      <c r="AG41" s="77"/>
      <c r="AH41" s="77"/>
      <c r="AI41" s="77"/>
    </row>
    <row r="42" spans="1:35" s="75" customFormat="1" ht="19.899999999999999" customHeight="1" x14ac:dyDescent="0.25">
      <c r="A42" s="615"/>
      <c r="B42" s="152">
        <v>1</v>
      </c>
      <c r="C42" s="44" t="s">
        <v>47</v>
      </c>
      <c r="D42" s="45">
        <v>11</v>
      </c>
      <c r="E42" s="46" t="s">
        <v>48</v>
      </c>
      <c r="F42" s="290" t="s">
        <v>49</v>
      </c>
      <c r="G42" s="47" t="s">
        <v>50</v>
      </c>
      <c r="H42" s="47">
        <v>36</v>
      </c>
      <c r="I42" s="47" t="s">
        <v>94</v>
      </c>
      <c r="J42" s="47" t="s">
        <v>95</v>
      </c>
      <c r="K42" s="47" t="s">
        <v>96</v>
      </c>
      <c r="L42" s="48" t="s">
        <v>97</v>
      </c>
      <c r="M42" s="48" t="s">
        <v>98</v>
      </c>
      <c r="N42" s="47" t="s">
        <v>99</v>
      </c>
      <c r="O42" s="47">
        <v>53</v>
      </c>
      <c r="P42" s="47">
        <v>54</v>
      </c>
      <c r="Q42" s="47" t="s">
        <v>913</v>
      </c>
      <c r="R42" s="47" t="s">
        <v>100</v>
      </c>
      <c r="S42" s="47" t="s">
        <v>101</v>
      </c>
      <c r="T42" s="47" t="s">
        <v>57</v>
      </c>
      <c r="U42" s="47" t="s">
        <v>102</v>
      </c>
      <c r="V42" s="47" t="s">
        <v>103</v>
      </c>
      <c r="W42" s="47" t="s">
        <v>104</v>
      </c>
      <c r="X42" s="47" t="s">
        <v>105</v>
      </c>
      <c r="Y42" s="47" t="s">
        <v>106</v>
      </c>
      <c r="Z42" s="47" t="s">
        <v>107</v>
      </c>
      <c r="AA42" s="47" t="s">
        <v>108</v>
      </c>
      <c r="AB42" s="45" t="s">
        <v>109</v>
      </c>
      <c r="AC42" s="47" t="s">
        <v>110</v>
      </c>
      <c r="AD42" s="45">
        <v>120</v>
      </c>
      <c r="AE42" s="45">
        <v>121</v>
      </c>
      <c r="AF42" s="49" t="s">
        <v>111</v>
      </c>
      <c r="AG42" s="77"/>
      <c r="AH42" s="77"/>
      <c r="AI42" s="77"/>
    </row>
    <row r="43" spans="1:35" s="75" customFormat="1" outlineLevel="1" x14ac:dyDescent="0.25">
      <c r="A43" s="615"/>
      <c r="B43" s="152">
        <v>1</v>
      </c>
      <c r="C43" s="45">
        <v>9</v>
      </c>
      <c r="D43" s="45">
        <v>1</v>
      </c>
      <c r="E43" s="50">
        <v>13</v>
      </c>
      <c r="F43" s="291">
        <v>2</v>
      </c>
      <c r="G43" s="45">
        <v>9</v>
      </c>
      <c r="H43" s="45">
        <v>1</v>
      </c>
      <c r="I43" s="45">
        <v>2</v>
      </c>
      <c r="J43" s="45">
        <v>2</v>
      </c>
      <c r="K43" s="45">
        <v>3</v>
      </c>
      <c r="L43" s="51">
        <v>6</v>
      </c>
      <c r="M43" s="51">
        <v>1</v>
      </c>
      <c r="N43" s="45">
        <v>2</v>
      </c>
      <c r="O43" s="45">
        <v>1</v>
      </c>
      <c r="P43" s="45">
        <v>1</v>
      </c>
      <c r="Q43" s="45">
        <v>9</v>
      </c>
      <c r="R43" s="45">
        <v>2</v>
      </c>
      <c r="S43" s="45">
        <v>2</v>
      </c>
      <c r="T43" s="45">
        <v>6</v>
      </c>
      <c r="U43" s="45">
        <v>5</v>
      </c>
      <c r="V43" s="45">
        <v>2</v>
      </c>
      <c r="W43" s="45">
        <v>6</v>
      </c>
      <c r="X43" s="45">
        <v>2</v>
      </c>
      <c r="Y43" s="45">
        <v>7</v>
      </c>
      <c r="Z43" s="45">
        <v>7</v>
      </c>
      <c r="AA43" s="45">
        <v>3</v>
      </c>
      <c r="AB43" s="45">
        <v>7</v>
      </c>
      <c r="AC43" s="45">
        <v>7</v>
      </c>
      <c r="AD43" s="45">
        <v>1</v>
      </c>
      <c r="AE43" s="45">
        <v>1</v>
      </c>
      <c r="AF43" s="49">
        <v>7</v>
      </c>
      <c r="AG43" s="77"/>
      <c r="AH43" s="77"/>
      <c r="AI43" s="77"/>
    </row>
    <row r="44" spans="1:35" s="75" customFormat="1" outlineLevel="1" x14ac:dyDescent="0.25">
      <c r="A44" s="615"/>
      <c r="B44" s="152" t="s">
        <v>1</v>
      </c>
      <c r="C44" s="45" t="s">
        <v>1</v>
      </c>
      <c r="D44" s="45" t="s">
        <v>69</v>
      </c>
      <c r="E44" s="50" t="s">
        <v>69</v>
      </c>
      <c r="F44" s="291" t="s">
        <v>1</v>
      </c>
      <c r="G44" s="45" t="s">
        <v>1</v>
      </c>
      <c r="H44" s="45" t="s">
        <v>69</v>
      </c>
      <c r="I44" s="45" t="s">
        <v>1</v>
      </c>
      <c r="J44" s="45" t="s">
        <v>1</v>
      </c>
      <c r="K44" s="45" t="s">
        <v>1</v>
      </c>
      <c r="L44" s="52" t="s">
        <v>1</v>
      </c>
      <c r="M44" s="52" t="s">
        <v>1</v>
      </c>
      <c r="N44" s="45" t="s">
        <v>69</v>
      </c>
      <c r="O44" s="45" t="s">
        <v>69</v>
      </c>
      <c r="P44" s="53" t="s">
        <v>69</v>
      </c>
      <c r="Q44" s="45" t="s">
        <v>1</v>
      </c>
      <c r="R44" s="45" t="s">
        <v>1</v>
      </c>
      <c r="S44" s="45" t="s">
        <v>1</v>
      </c>
      <c r="T44" s="45" t="s">
        <v>1</v>
      </c>
      <c r="U44" s="45" t="s">
        <v>69</v>
      </c>
      <c r="V44" s="45" t="s">
        <v>1</v>
      </c>
      <c r="W44" s="45" t="s">
        <v>1</v>
      </c>
      <c r="X44" s="45" t="s">
        <v>1</v>
      </c>
      <c r="Y44" s="45" t="s">
        <v>1</v>
      </c>
      <c r="Z44" s="45" t="s">
        <v>1</v>
      </c>
      <c r="AA44" s="45" t="s">
        <v>1</v>
      </c>
      <c r="AB44" s="45" t="s">
        <v>1</v>
      </c>
      <c r="AC44" s="45" t="s">
        <v>1</v>
      </c>
      <c r="AD44" s="45" t="s">
        <v>69</v>
      </c>
      <c r="AE44" s="45" t="s">
        <v>1</v>
      </c>
      <c r="AF44" s="49" t="s">
        <v>1</v>
      </c>
      <c r="AG44" s="2"/>
      <c r="AH44" s="77"/>
      <c r="AI44" s="77"/>
    </row>
    <row r="45" spans="1:35" s="75" customFormat="1" outlineLevel="1" x14ac:dyDescent="0.25">
      <c r="A45" s="615"/>
      <c r="B45" s="152" t="s">
        <v>0</v>
      </c>
      <c r="C45" s="45" t="s">
        <v>0</v>
      </c>
      <c r="D45" s="45" t="s">
        <v>4</v>
      </c>
      <c r="E45" s="50" t="s">
        <v>0</v>
      </c>
      <c r="F45" s="291" t="s">
        <v>0</v>
      </c>
      <c r="G45" s="45" t="s">
        <v>0</v>
      </c>
      <c r="H45" s="45" t="s">
        <v>4</v>
      </c>
      <c r="I45" s="45" t="s">
        <v>4</v>
      </c>
      <c r="J45" s="45" t="s">
        <v>4</v>
      </c>
      <c r="K45" s="45" t="s">
        <v>4</v>
      </c>
      <c r="L45" s="52" t="s">
        <v>4</v>
      </c>
      <c r="M45" s="52" t="s">
        <v>0</v>
      </c>
      <c r="N45" s="45" t="s">
        <v>4</v>
      </c>
      <c r="O45" s="45" t="s">
        <v>4</v>
      </c>
      <c r="P45" s="45" t="s">
        <v>4</v>
      </c>
      <c r="Q45" s="45" t="s">
        <v>4</v>
      </c>
      <c r="R45" s="45" t="s">
        <v>4</v>
      </c>
      <c r="S45" s="45" t="s">
        <v>112</v>
      </c>
      <c r="T45" s="45" t="s">
        <v>0</v>
      </c>
      <c r="U45" s="45" t="s">
        <v>0</v>
      </c>
      <c r="V45" s="45" t="s">
        <v>0</v>
      </c>
      <c r="W45" s="45" t="s">
        <v>0</v>
      </c>
      <c r="X45" s="45" t="s">
        <v>0</v>
      </c>
      <c r="Y45" s="45" t="s">
        <v>0</v>
      </c>
      <c r="Z45" s="45" t="s">
        <v>0</v>
      </c>
      <c r="AA45" s="45" t="s">
        <v>0</v>
      </c>
      <c r="AB45" s="45" t="s">
        <v>0</v>
      </c>
      <c r="AC45" s="45" t="s">
        <v>0</v>
      </c>
      <c r="AD45" s="45" t="s">
        <v>4</v>
      </c>
      <c r="AE45" s="45" t="s">
        <v>4</v>
      </c>
      <c r="AF45" s="49" t="s">
        <v>4</v>
      </c>
      <c r="AG45" s="77"/>
      <c r="AH45" s="77"/>
      <c r="AI45" s="77"/>
    </row>
    <row r="46" spans="1:35" s="75" customFormat="1" ht="30" customHeight="1" thickBot="1" x14ac:dyDescent="0.3">
      <c r="A46" s="616"/>
      <c r="B46" s="149" t="s">
        <v>10</v>
      </c>
      <c r="C46" s="54" t="s">
        <v>544</v>
      </c>
      <c r="D46" s="55" t="s">
        <v>8</v>
      </c>
      <c r="E46" s="54" t="s">
        <v>198</v>
      </c>
      <c r="F46" s="288">
        <v>77</v>
      </c>
      <c r="G46" s="54">
        <v>250000001</v>
      </c>
      <c r="H46" s="55" t="s">
        <v>69</v>
      </c>
      <c r="I46" s="193" t="s">
        <v>5</v>
      </c>
      <c r="J46" s="55" t="s">
        <v>5</v>
      </c>
      <c r="K46" s="55" t="s">
        <v>6</v>
      </c>
      <c r="L46" s="55" t="s">
        <v>208</v>
      </c>
      <c r="M46" s="193" t="s">
        <v>397</v>
      </c>
      <c r="N46" s="55" t="s">
        <v>210</v>
      </c>
      <c r="O46" s="55" t="s">
        <v>8</v>
      </c>
      <c r="P46" s="55" t="s">
        <v>8</v>
      </c>
      <c r="Q46" s="54" t="s">
        <v>544</v>
      </c>
      <c r="R46" s="55" t="s">
        <v>5</v>
      </c>
      <c r="S46" s="55" t="s">
        <v>5</v>
      </c>
      <c r="T46" s="193" t="s">
        <v>756</v>
      </c>
      <c r="U46" s="228" t="s">
        <v>278</v>
      </c>
      <c r="V46" s="193" t="s">
        <v>202</v>
      </c>
      <c r="W46" s="33" t="s">
        <v>590</v>
      </c>
      <c r="X46" s="33" t="s">
        <v>207</v>
      </c>
      <c r="Y46" s="194" t="s">
        <v>765</v>
      </c>
      <c r="Z46" s="194" t="s">
        <v>765</v>
      </c>
      <c r="AA46" s="194" t="s">
        <v>766</v>
      </c>
      <c r="AB46" s="194" t="s">
        <v>765</v>
      </c>
      <c r="AC46" s="194" t="s">
        <v>765</v>
      </c>
      <c r="AD46" s="193" t="s">
        <v>8</v>
      </c>
      <c r="AE46" s="193" t="s">
        <v>200</v>
      </c>
      <c r="AF46" s="195" t="s">
        <v>212</v>
      </c>
      <c r="AG46" s="188" t="s">
        <v>589</v>
      </c>
      <c r="AH46" s="76"/>
      <c r="AI46" s="76"/>
    </row>
    <row r="47" spans="1:35" s="75" customFormat="1" ht="15.75" thickBot="1" x14ac:dyDescent="0.3">
      <c r="B47" s="150" t="s">
        <v>586</v>
      </c>
      <c r="C47" s="75" t="s">
        <v>586</v>
      </c>
      <c r="D47" s="75" t="s">
        <v>586</v>
      </c>
      <c r="E47" s="75" t="s">
        <v>586</v>
      </c>
      <c r="F47" s="276" t="s">
        <v>586</v>
      </c>
      <c r="G47" s="75" t="s">
        <v>586</v>
      </c>
      <c r="H47" s="75" t="s">
        <v>586</v>
      </c>
      <c r="I47" s="75" t="s">
        <v>586</v>
      </c>
      <c r="J47" s="75" t="s">
        <v>586</v>
      </c>
      <c r="K47" s="75" t="s">
        <v>586</v>
      </c>
      <c r="L47" s="75" t="s">
        <v>586</v>
      </c>
      <c r="M47" s="75" t="s">
        <v>586</v>
      </c>
      <c r="N47" s="75" t="s">
        <v>586</v>
      </c>
      <c r="O47" s="75" t="s">
        <v>586</v>
      </c>
      <c r="P47" s="75" t="s">
        <v>586</v>
      </c>
      <c r="Q47" s="75" t="s">
        <v>586</v>
      </c>
      <c r="R47" s="75" t="s">
        <v>586</v>
      </c>
      <c r="S47" s="75" t="s">
        <v>586</v>
      </c>
      <c r="T47" s="75" t="s">
        <v>586</v>
      </c>
      <c r="U47" s="75" t="s">
        <v>586</v>
      </c>
      <c r="V47" s="75" t="s">
        <v>586</v>
      </c>
      <c r="W47" s="75" t="s">
        <v>586</v>
      </c>
      <c r="X47" s="75" t="s">
        <v>586</v>
      </c>
      <c r="Y47" s="75" t="s">
        <v>586</v>
      </c>
      <c r="Z47" s="75" t="s">
        <v>586</v>
      </c>
      <c r="AA47" s="75" t="s">
        <v>586</v>
      </c>
      <c r="AB47" s="75" t="s">
        <v>586</v>
      </c>
      <c r="AC47" s="75" t="s">
        <v>586</v>
      </c>
      <c r="AD47" s="75" t="s">
        <v>586</v>
      </c>
      <c r="AE47" s="75" t="s">
        <v>586</v>
      </c>
      <c r="AF47" s="75" t="s">
        <v>586</v>
      </c>
    </row>
    <row r="48" spans="1:35" ht="100.15" customHeight="1" x14ac:dyDescent="0.25">
      <c r="A48" s="621" t="s">
        <v>190</v>
      </c>
      <c r="B48" s="153" t="s">
        <v>13</v>
      </c>
      <c r="C48" s="17" t="s">
        <v>14</v>
      </c>
      <c r="D48" s="17" t="s">
        <v>15</v>
      </c>
      <c r="E48" s="18" t="s">
        <v>16</v>
      </c>
      <c r="F48" s="292" t="s">
        <v>17</v>
      </c>
      <c r="G48" s="17" t="s">
        <v>70</v>
      </c>
      <c r="H48" s="17" t="s">
        <v>113</v>
      </c>
      <c r="I48" s="17" t="s">
        <v>72</v>
      </c>
      <c r="J48" s="17" t="s">
        <v>114</v>
      </c>
      <c r="K48" s="17" t="s">
        <v>115</v>
      </c>
      <c r="L48" s="17" t="s">
        <v>116</v>
      </c>
      <c r="M48" s="17" t="s">
        <v>117</v>
      </c>
      <c r="N48" s="17" t="s">
        <v>114</v>
      </c>
      <c r="O48" s="17" t="s">
        <v>118</v>
      </c>
      <c r="P48" s="17" t="s">
        <v>119</v>
      </c>
      <c r="Q48" s="17" t="s">
        <v>120</v>
      </c>
      <c r="R48" s="17" t="s">
        <v>121</v>
      </c>
      <c r="S48" s="17" t="s">
        <v>122</v>
      </c>
      <c r="T48" s="17" t="s">
        <v>123</v>
      </c>
      <c r="U48" s="17" t="s">
        <v>124</v>
      </c>
      <c r="V48" s="17" t="s">
        <v>125</v>
      </c>
      <c r="W48" s="17" t="s">
        <v>126</v>
      </c>
      <c r="X48" s="17" t="s">
        <v>125</v>
      </c>
      <c r="Y48" s="17" t="s">
        <v>127</v>
      </c>
      <c r="Z48" s="17" t="s">
        <v>125</v>
      </c>
      <c r="AA48" s="17" t="s">
        <v>128</v>
      </c>
      <c r="AB48" s="17" t="s">
        <v>7</v>
      </c>
      <c r="AC48" s="17" t="s">
        <v>129</v>
      </c>
      <c r="AD48" s="17" t="s">
        <v>130</v>
      </c>
      <c r="AE48" s="17" t="s">
        <v>129</v>
      </c>
      <c r="AF48" s="17" t="s">
        <v>131</v>
      </c>
      <c r="AG48" s="17" t="s">
        <v>132</v>
      </c>
      <c r="AH48" s="19" t="s">
        <v>114</v>
      </c>
    </row>
    <row r="49" spans="1:34" ht="19.899999999999999" customHeight="1" x14ac:dyDescent="0.25">
      <c r="A49" s="615"/>
      <c r="B49" s="154">
        <v>1</v>
      </c>
      <c r="C49" s="83" t="s">
        <v>47</v>
      </c>
      <c r="D49" s="14" t="s">
        <v>133</v>
      </c>
      <c r="E49" s="84" t="s">
        <v>48</v>
      </c>
      <c r="F49" s="293" t="s">
        <v>49</v>
      </c>
      <c r="G49" s="14" t="s">
        <v>50</v>
      </c>
      <c r="H49" s="14">
        <v>36</v>
      </c>
      <c r="I49" s="14" t="s">
        <v>94</v>
      </c>
      <c r="J49" s="14" t="s">
        <v>134</v>
      </c>
      <c r="K49" s="14">
        <v>46</v>
      </c>
      <c r="L49" s="14">
        <v>47</v>
      </c>
      <c r="M49" s="14">
        <v>48</v>
      </c>
      <c r="N49" s="14" t="s">
        <v>135</v>
      </c>
      <c r="O49" s="14">
        <v>50</v>
      </c>
      <c r="P49" s="14" t="s">
        <v>136</v>
      </c>
      <c r="Q49" s="14" t="s">
        <v>137</v>
      </c>
      <c r="R49" s="14" t="s">
        <v>138</v>
      </c>
      <c r="S49" s="14" t="s">
        <v>139</v>
      </c>
      <c r="T49" s="14" t="s">
        <v>140</v>
      </c>
      <c r="U49" s="14" t="s">
        <v>141</v>
      </c>
      <c r="V49" s="14" t="s">
        <v>142</v>
      </c>
      <c r="W49" s="14" t="s">
        <v>143</v>
      </c>
      <c r="X49" s="14" t="s">
        <v>144</v>
      </c>
      <c r="Y49" s="14" t="s">
        <v>145</v>
      </c>
      <c r="Z49" s="14" t="s">
        <v>146</v>
      </c>
      <c r="AA49" s="14">
        <v>93</v>
      </c>
      <c r="AB49" s="14" t="s">
        <v>147</v>
      </c>
      <c r="AC49" s="14" t="s">
        <v>62</v>
      </c>
      <c r="AD49" s="14" t="s">
        <v>148</v>
      </c>
      <c r="AE49" s="14" t="s">
        <v>149</v>
      </c>
      <c r="AF49" s="14" t="s">
        <v>150</v>
      </c>
      <c r="AG49" s="14" t="s">
        <v>151</v>
      </c>
      <c r="AH49" s="85" t="s">
        <v>152</v>
      </c>
    </row>
    <row r="50" spans="1:34" ht="30" customHeight="1" outlineLevel="1" x14ac:dyDescent="0.25">
      <c r="A50" s="615"/>
      <c r="B50" s="154">
        <v>1</v>
      </c>
      <c r="C50" s="15">
        <v>9</v>
      </c>
      <c r="D50" s="15">
        <v>1</v>
      </c>
      <c r="E50" s="86">
        <v>13</v>
      </c>
      <c r="F50" s="294">
        <v>2</v>
      </c>
      <c r="G50" s="15">
        <v>9</v>
      </c>
      <c r="H50" s="15">
        <v>1</v>
      </c>
      <c r="I50" s="15">
        <v>2</v>
      </c>
      <c r="J50" s="15">
        <v>7</v>
      </c>
      <c r="K50" s="15">
        <v>1</v>
      </c>
      <c r="L50" s="15">
        <v>1</v>
      </c>
      <c r="M50" s="15">
        <v>1</v>
      </c>
      <c r="N50" s="15">
        <v>1</v>
      </c>
      <c r="O50" s="15">
        <v>1</v>
      </c>
      <c r="P50" s="15">
        <v>6</v>
      </c>
      <c r="Q50" s="15">
        <v>2</v>
      </c>
      <c r="R50" s="15">
        <v>2</v>
      </c>
      <c r="S50" s="15">
        <v>2</v>
      </c>
      <c r="T50" s="15">
        <v>6</v>
      </c>
      <c r="U50" s="15">
        <v>4</v>
      </c>
      <c r="V50" s="15">
        <v>4</v>
      </c>
      <c r="W50" s="15">
        <v>4</v>
      </c>
      <c r="X50" s="15">
        <v>4</v>
      </c>
      <c r="Y50" s="15">
        <v>4</v>
      </c>
      <c r="Z50" s="15">
        <v>4</v>
      </c>
      <c r="AA50" s="15">
        <v>1</v>
      </c>
      <c r="AB50" s="15">
        <v>2</v>
      </c>
      <c r="AC50" s="15">
        <v>6</v>
      </c>
      <c r="AD50" s="15">
        <v>2</v>
      </c>
      <c r="AE50" s="15">
        <v>6</v>
      </c>
      <c r="AF50" s="15">
        <v>7</v>
      </c>
      <c r="AG50" s="15">
        <v>7</v>
      </c>
      <c r="AH50" s="87">
        <v>5</v>
      </c>
    </row>
    <row r="51" spans="1:34" ht="30" customHeight="1" outlineLevel="1" x14ac:dyDescent="0.25">
      <c r="A51" s="615"/>
      <c r="B51" s="154" t="s">
        <v>1</v>
      </c>
      <c r="C51" s="15" t="s">
        <v>1</v>
      </c>
      <c r="D51" s="15" t="s">
        <v>69</v>
      </c>
      <c r="E51" s="86" t="s">
        <v>69</v>
      </c>
      <c r="F51" s="294" t="s">
        <v>1</v>
      </c>
      <c r="G51" s="15" t="s">
        <v>1</v>
      </c>
      <c r="H51" s="15" t="s">
        <v>69</v>
      </c>
      <c r="I51" s="15" t="s">
        <v>1</v>
      </c>
      <c r="J51" s="15" t="s">
        <v>69</v>
      </c>
      <c r="K51" s="15" t="s">
        <v>1</v>
      </c>
      <c r="L51" s="15" t="s">
        <v>1</v>
      </c>
      <c r="M51" s="15" t="s">
        <v>1</v>
      </c>
      <c r="N51" s="15" t="s">
        <v>69</v>
      </c>
      <c r="O51" s="15" t="s">
        <v>1</v>
      </c>
      <c r="P51" s="15" t="s">
        <v>1</v>
      </c>
      <c r="Q51" s="15" t="s">
        <v>1</v>
      </c>
      <c r="R51" s="15" t="s">
        <v>1</v>
      </c>
      <c r="S51" s="15" t="s">
        <v>1</v>
      </c>
      <c r="T51" s="15" t="s">
        <v>1</v>
      </c>
      <c r="U51" s="15" t="s">
        <v>1</v>
      </c>
      <c r="V51" s="15" t="s">
        <v>1</v>
      </c>
      <c r="W51" s="15" t="s">
        <v>1</v>
      </c>
      <c r="X51" s="15" t="s">
        <v>1</v>
      </c>
      <c r="Y51" s="15" t="s">
        <v>1</v>
      </c>
      <c r="Z51" s="15" t="s">
        <v>1</v>
      </c>
      <c r="AA51" s="15" t="s">
        <v>1</v>
      </c>
      <c r="AB51" s="15" t="s">
        <v>1</v>
      </c>
      <c r="AC51" s="15" t="s">
        <v>1</v>
      </c>
      <c r="AD51" s="15" t="s">
        <v>1</v>
      </c>
      <c r="AE51" s="15" t="s">
        <v>1</v>
      </c>
      <c r="AF51" s="15" t="s">
        <v>1</v>
      </c>
      <c r="AG51" s="15" t="s">
        <v>1</v>
      </c>
      <c r="AH51" s="225" t="s">
        <v>69</v>
      </c>
    </row>
    <row r="52" spans="1:34" ht="30" customHeight="1" outlineLevel="1" x14ac:dyDescent="0.25">
      <c r="A52" s="615"/>
      <c r="B52" s="154" t="s">
        <v>0</v>
      </c>
      <c r="C52" s="15" t="s">
        <v>0</v>
      </c>
      <c r="D52" s="15" t="s">
        <v>4</v>
      </c>
      <c r="E52" s="86" t="s">
        <v>0</v>
      </c>
      <c r="F52" s="294" t="s">
        <v>0</v>
      </c>
      <c r="G52" s="15" t="s">
        <v>0</v>
      </c>
      <c r="H52" s="15" t="s">
        <v>0</v>
      </c>
      <c r="I52" s="15" t="s">
        <v>4</v>
      </c>
      <c r="J52" s="15" t="s">
        <v>4</v>
      </c>
      <c r="K52" s="15" t="s">
        <v>0</v>
      </c>
      <c r="L52" s="15" t="s">
        <v>0</v>
      </c>
      <c r="M52" s="15" t="s">
        <v>0</v>
      </c>
      <c r="N52" s="15" t="s">
        <v>4</v>
      </c>
      <c r="O52" s="15" t="s">
        <v>0</v>
      </c>
      <c r="P52" s="15" t="s">
        <v>4</v>
      </c>
      <c r="Q52" s="15" t="s">
        <v>4</v>
      </c>
      <c r="R52" s="15" t="s">
        <v>4</v>
      </c>
      <c r="S52" s="15" t="s">
        <v>4</v>
      </c>
      <c r="T52" s="15" t="s">
        <v>4</v>
      </c>
      <c r="U52" s="15" t="s">
        <v>4</v>
      </c>
      <c r="V52" s="15" t="s">
        <v>4</v>
      </c>
      <c r="W52" s="15" t="s">
        <v>4</v>
      </c>
      <c r="X52" s="15" t="s">
        <v>4</v>
      </c>
      <c r="Y52" s="88" t="s">
        <v>4</v>
      </c>
      <c r="Z52" s="15" t="s">
        <v>4</v>
      </c>
      <c r="AA52" s="15" t="s">
        <v>4</v>
      </c>
      <c r="AB52" s="15" t="s">
        <v>4</v>
      </c>
      <c r="AC52" s="15" t="s">
        <v>4</v>
      </c>
      <c r="AD52" s="15" t="s">
        <v>4</v>
      </c>
      <c r="AE52" s="15" t="s">
        <v>4</v>
      </c>
      <c r="AF52" s="15" t="s">
        <v>4</v>
      </c>
      <c r="AG52" s="15" t="s">
        <v>4</v>
      </c>
      <c r="AH52" s="225" t="s">
        <v>4</v>
      </c>
    </row>
    <row r="53" spans="1:34" s="76" customFormat="1" ht="30" customHeight="1" thickBot="1" x14ac:dyDescent="0.3">
      <c r="A53" s="616"/>
      <c r="B53" s="149" t="s">
        <v>10</v>
      </c>
      <c r="C53" s="54" t="s">
        <v>544</v>
      </c>
      <c r="D53" s="55" t="s">
        <v>8</v>
      </c>
      <c r="E53" s="54" t="s">
        <v>198</v>
      </c>
      <c r="F53" s="288">
        <v>77</v>
      </c>
      <c r="G53" s="54">
        <v>250000001</v>
      </c>
      <c r="H53" s="55" t="s">
        <v>201</v>
      </c>
      <c r="I53" s="54" t="s">
        <v>202</v>
      </c>
      <c r="J53" s="55" t="s">
        <v>213</v>
      </c>
      <c r="K53" s="55" t="s">
        <v>206</v>
      </c>
      <c r="L53" s="55" t="s">
        <v>206</v>
      </c>
      <c r="M53" s="55" t="s">
        <v>206</v>
      </c>
      <c r="N53" s="55" t="s">
        <v>8</v>
      </c>
      <c r="O53" s="55" t="s">
        <v>206</v>
      </c>
      <c r="P53" s="55" t="s">
        <v>208</v>
      </c>
      <c r="Q53" s="55" t="s">
        <v>5</v>
      </c>
      <c r="R53" s="55" t="s">
        <v>5</v>
      </c>
      <c r="S53" s="55" t="s">
        <v>5</v>
      </c>
      <c r="T53" s="55" t="s">
        <v>208</v>
      </c>
      <c r="U53" s="55" t="s">
        <v>203</v>
      </c>
      <c r="V53" s="55" t="s">
        <v>203</v>
      </c>
      <c r="W53" s="55" t="s">
        <v>203</v>
      </c>
      <c r="X53" s="55" t="s">
        <v>203</v>
      </c>
      <c r="Y53" s="55" t="s">
        <v>203</v>
      </c>
      <c r="Z53" s="55" t="s">
        <v>203</v>
      </c>
      <c r="AA53" s="55" t="s">
        <v>206</v>
      </c>
      <c r="AB53" s="55" t="s">
        <v>5</v>
      </c>
      <c r="AC53" s="55" t="s">
        <v>208</v>
      </c>
      <c r="AD53" s="55" t="s">
        <v>5</v>
      </c>
      <c r="AE53" s="55" t="s">
        <v>208</v>
      </c>
      <c r="AF53" s="55" t="s">
        <v>212</v>
      </c>
      <c r="AG53" s="55" t="s">
        <v>212</v>
      </c>
      <c r="AH53" s="226" t="s">
        <v>428</v>
      </c>
    </row>
    <row r="54" spans="1:34" s="75" customFormat="1" ht="15.75" outlineLevel="1" thickBot="1" x14ac:dyDescent="0.3">
      <c r="B54" s="150" t="s">
        <v>586</v>
      </c>
      <c r="C54" s="75" t="s">
        <v>586</v>
      </c>
      <c r="D54" s="75" t="s">
        <v>586</v>
      </c>
      <c r="E54" s="75" t="s">
        <v>586</v>
      </c>
      <c r="F54" s="276" t="s">
        <v>586</v>
      </c>
      <c r="G54" s="75" t="s">
        <v>586</v>
      </c>
      <c r="H54" s="75" t="s">
        <v>586</v>
      </c>
      <c r="I54" s="75" t="s">
        <v>586</v>
      </c>
      <c r="J54" s="75" t="s">
        <v>586</v>
      </c>
      <c r="K54" s="75" t="s">
        <v>586</v>
      </c>
      <c r="L54" s="75" t="s">
        <v>586</v>
      </c>
      <c r="M54" s="75" t="s">
        <v>586</v>
      </c>
      <c r="N54" s="75" t="s">
        <v>586</v>
      </c>
      <c r="O54" s="75" t="s">
        <v>586</v>
      </c>
      <c r="P54" s="75" t="s">
        <v>586</v>
      </c>
      <c r="Q54" s="75" t="s">
        <v>586</v>
      </c>
      <c r="R54" s="75" t="s">
        <v>586</v>
      </c>
      <c r="S54" s="75" t="s">
        <v>586</v>
      </c>
      <c r="T54" s="75" t="s">
        <v>586</v>
      </c>
      <c r="U54" s="75" t="s">
        <v>586</v>
      </c>
      <c r="V54" s="75" t="s">
        <v>586</v>
      </c>
      <c r="W54" s="75" t="s">
        <v>586</v>
      </c>
      <c r="X54" s="75" t="s">
        <v>586</v>
      </c>
      <c r="Y54" s="75" t="s">
        <v>586</v>
      </c>
      <c r="Z54" s="75" t="s">
        <v>586</v>
      </c>
      <c r="AA54" s="75" t="s">
        <v>586</v>
      </c>
      <c r="AB54" s="75" t="s">
        <v>586</v>
      </c>
      <c r="AC54" s="75" t="s">
        <v>586</v>
      </c>
      <c r="AD54" s="75" t="s">
        <v>586</v>
      </c>
      <c r="AE54" s="75" t="s">
        <v>586</v>
      </c>
      <c r="AF54" s="75" t="s">
        <v>586</v>
      </c>
      <c r="AG54" s="75" t="s">
        <v>586</v>
      </c>
      <c r="AH54" s="75" t="s">
        <v>586</v>
      </c>
    </row>
    <row r="55" spans="1:34" ht="99.95" customHeight="1" x14ac:dyDescent="0.25">
      <c r="A55" s="622" t="s">
        <v>191</v>
      </c>
      <c r="B55" s="155" t="s">
        <v>13</v>
      </c>
      <c r="C55" s="20" t="s">
        <v>14</v>
      </c>
      <c r="D55" s="20" t="s">
        <v>15</v>
      </c>
      <c r="E55" s="21" t="s">
        <v>16</v>
      </c>
      <c r="F55" s="295" t="s">
        <v>17</v>
      </c>
      <c r="G55" s="20" t="s">
        <v>70</v>
      </c>
      <c r="H55" s="20" t="s">
        <v>113</v>
      </c>
      <c r="I55" s="20" t="s">
        <v>72</v>
      </c>
      <c r="J55" s="20" t="s">
        <v>153</v>
      </c>
      <c r="K55" s="20" t="s">
        <v>154</v>
      </c>
      <c r="L55" s="20" t="s">
        <v>155</v>
      </c>
      <c r="M55" s="20" t="s">
        <v>156</v>
      </c>
      <c r="N55" s="20" t="s">
        <v>157</v>
      </c>
      <c r="O55" s="20" t="s">
        <v>158</v>
      </c>
      <c r="P55" s="20" t="s">
        <v>159</v>
      </c>
      <c r="Q55" s="20" t="s">
        <v>160</v>
      </c>
      <c r="R55" s="20" t="s">
        <v>161</v>
      </c>
      <c r="S55" s="20" t="s">
        <v>162</v>
      </c>
      <c r="T55" s="20" t="s">
        <v>163</v>
      </c>
      <c r="U55" s="20" t="s">
        <v>164</v>
      </c>
      <c r="V55" s="20" t="s">
        <v>165</v>
      </c>
      <c r="W55" s="20" t="s">
        <v>166</v>
      </c>
      <c r="X55" s="20" t="s">
        <v>167</v>
      </c>
      <c r="Y55" s="20" t="s">
        <v>168</v>
      </c>
      <c r="Z55" s="20" t="s">
        <v>169</v>
      </c>
      <c r="AA55" s="20" t="s">
        <v>170</v>
      </c>
      <c r="AB55" s="20" t="s">
        <v>171</v>
      </c>
      <c r="AC55" s="20" t="s">
        <v>172</v>
      </c>
      <c r="AD55" s="22" t="s">
        <v>114</v>
      </c>
      <c r="AE55" s="189"/>
      <c r="AF55" s="189"/>
    </row>
    <row r="56" spans="1:34" ht="19.899999999999999" customHeight="1" x14ac:dyDescent="0.25">
      <c r="A56" s="615"/>
      <c r="B56" s="156">
        <v>1</v>
      </c>
      <c r="C56" s="90" t="s">
        <v>47</v>
      </c>
      <c r="D56" s="16">
        <v>11</v>
      </c>
      <c r="E56" s="91" t="s">
        <v>48</v>
      </c>
      <c r="F56" s="296" t="s">
        <v>49</v>
      </c>
      <c r="G56" s="92" t="s">
        <v>50</v>
      </c>
      <c r="H56" s="92">
        <v>36</v>
      </c>
      <c r="I56" s="92" t="s">
        <v>94</v>
      </c>
      <c r="J56" s="92" t="s">
        <v>173</v>
      </c>
      <c r="K56" s="92" t="s">
        <v>174</v>
      </c>
      <c r="L56" s="92" t="s">
        <v>175</v>
      </c>
      <c r="M56" s="92" t="s">
        <v>176</v>
      </c>
      <c r="N56" s="92" t="s">
        <v>177</v>
      </c>
      <c r="O56" s="92" t="s">
        <v>178</v>
      </c>
      <c r="P56" s="92" t="s">
        <v>179</v>
      </c>
      <c r="Q56" s="92" t="s">
        <v>180</v>
      </c>
      <c r="R56" s="92" t="s">
        <v>181</v>
      </c>
      <c r="S56" s="92" t="s">
        <v>939</v>
      </c>
      <c r="T56" s="92" t="s">
        <v>182</v>
      </c>
      <c r="U56" s="92">
        <v>100</v>
      </c>
      <c r="V56" s="92" t="s">
        <v>183</v>
      </c>
      <c r="W56" s="92" t="s">
        <v>184</v>
      </c>
      <c r="X56" s="92" t="s">
        <v>185</v>
      </c>
      <c r="Y56" s="92" t="s">
        <v>186</v>
      </c>
      <c r="Z56" s="92">
        <v>117</v>
      </c>
      <c r="AA56" s="92">
        <v>118</v>
      </c>
      <c r="AB56" s="92" t="s">
        <v>187</v>
      </c>
      <c r="AC56" s="92">
        <v>125</v>
      </c>
      <c r="AD56" s="93" t="s">
        <v>188</v>
      </c>
      <c r="AE56" s="189"/>
      <c r="AF56" s="189"/>
    </row>
    <row r="57" spans="1:34" ht="30" customHeight="1" outlineLevel="1" x14ac:dyDescent="0.25">
      <c r="A57" s="615"/>
      <c r="B57" s="156">
        <v>1</v>
      </c>
      <c r="C57" s="16">
        <v>9</v>
      </c>
      <c r="D57" s="16">
        <v>1</v>
      </c>
      <c r="E57" s="94">
        <v>13</v>
      </c>
      <c r="F57" s="297">
        <v>2</v>
      </c>
      <c r="G57" s="16">
        <v>9</v>
      </c>
      <c r="H57" s="16">
        <v>1</v>
      </c>
      <c r="I57" s="16">
        <v>2</v>
      </c>
      <c r="J57" s="16">
        <v>6</v>
      </c>
      <c r="K57" s="16">
        <v>4</v>
      </c>
      <c r="L57" s="16">
        <v>5</v>
      </c>
      <c r="M57" s="16">
        <v>9</v>
      </c>
      <c r="N57" s="16">
        <v>8</v>
      </c>
      <c r="O57" s="16">
        <v>3</v>
      </c>
      <c r="P57" s="16">
        <v>8</v>
      </c>
      <c r="Q57" s="16">
        <v>3</v>
      </c>
      <c r="R57" s="16">
        <v>6</v>
      </c>
      <c r="S57" s="16">
        <v>4</v>
      </c>
      <c r="T57" s="16">
        <v>5</v>
      </c>
      <c r="U57" s="16">
        <v>1</v>
      </c>
      <c r="V57" s="16">
        <v>2</v>
      </c>
      <c r="W57" s="16">
        <v>6</v>
      </c>
      <c r="X57" s="16">
        <v>4</v>
      </c>
      <c r="Y57" s="16">
        <v>4</v>
      </c>
      <c r="Z57" s="16">
        <v>1</v>
      </c>
      <c r="AA57" s="16">
        <v>1</v>
      </c>
      <c r="AB57" s="16">
        <v>6</v>
      </c>
      <c r="AC57" s="16">
        <v>1</v>
      </c>
      <c r="AD57" s="23">
        <v>3</v>
      </c>
      <c r="AE57" s="189"/>
      <c r="AF57" s="189"/>
    </row>
    <row r="58" spans="1:34" ht="30" customHeight="1" outlineLevel="1" x14ac:dyDescent="0.25">
      <c r="A58" s="615"/>
      <c r="B58" s="156" t="s">
        <v>1</v>
      </c>
      <c r="C58" s="16" t="s">
        <v>1</v>
      </c>
      <c r="D58" s="16" t="s">
        <v>69</v>
      </c>
      <c r="E58" s="94" t="s">
        <v>69</v>
      </c>
      <c r="F58" s="297" t="s">
        <v>1</v>
      </c>
      <c r="G58" s="16" t="s">
        <v>1</v>
      </c>
      <c r="H58" s="16" t="s">
        <v>69</v>
      </c>
      <c r="I58" s="16" t="s">
        <v>1</v>
      </c>
      <c r="J58" s="16" t="s">
        <v>1</v>
      </c>
      <c r="K58" s="16" t="s">
        <v>1</v>
      </c>
      <c r="L58" s="16" t="s">
        <v>1</v>
      </c>
      <c r="M58" s="143" t="s">
        <v>69</v>
      </c>
      <c r="N58" s="16" t="s">
        <v>69</v>
      </c>
      <c r="O58" s="16" t="s">
        <v>69</v>
      </c>
      <c r="P58" s="16" t="s">
        <v>69</v>
      </c>
      <c r="Q58" s="16" t="s">
        <v>69</v>
      </c>
      <c r="R58" s="16" t="s">
        <v>1</v>
      </c>
      <c r="S58" s="16" t="s">
        <v>1</v>
      </c>
      <c r="T58" s="16" t="s">
        <v>1</v>
      </c>
      <c r="U58" s="16" t="s">
        <v>1</v>
      </c>
      <c r="V58" s="16" t="s">
        <v>1</v>
      </c>
      <c r="W58" s="16" t="s">
        <v>1</v>
      </c>
      <c r="X58" s="16" t="s">
        <v>1</v>
      </c>
      <c r="Y58" s="16" t="s">
        <v>1</v>
      </c>
      <c r="Z58" s="16" t="s">
        <v>69</v>
      </c>
      <c r="AA58" s="16" t="s">
        <v>69</v>
      </c>
      <c r="AB58" s="16" t="s">
        <v>1</v>
      </c>
      <c r="AC58" s="16" t="s">
        <v>69</v>
      </c>
      <c r="AD58" s="227" t="s">
        <v>69</v>
      </c>
      <c r="AE58" s="189"/>
      <c r="AF58" s="189"/>
    </row>
    <row r="59" spans="1:34" ht="30" customHeight="1" outlineLevel="1" x14ac:dyDescent="0.25">
      <c r="A59" s="615"/>
      <c r="B59" s="156" t="s">
        <v>0</v>
      </c>
      <c r="C59" s="16" t="s">
        <v>0</v>
      </c>
      <c r="D59" s="16" t="s">
        <v>4</v>
      </c>
      <c r="E59" s="94" t="s">
        <v>0</v>
      </c>
      <c r="F59" s="29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189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4</v>
      </c>
      <c r="Q59" s="16" t="s">
        <v>4</v>
      </c>
      <c r="R59" s="16" t="s">
        <v>0</v>
      </c>
      <c r="S59" s="16" t="s">
        <v>0</v>
      </c>
      <c r="T59" s="16" t="s">
        <v>0</v>
      </c>
      <c r="U59" s="16" t="s">
        <v>0</v>
      </c>
      <c r="V59" s="16" t="s">
        <v>4</v>
      </c>
      <c r="W59" s="16" t="s">
        <v>4</v>
      </c>
      <c r="X59" s="16" t="s">
        <v>4</v>
      </c>
      <c r="Y59" s="16" t="s">
        <v>0</v>
      </c>
      <c r="Z59" s="16" t="s">
        <v>4</v>
      </c>
      <c r="AA59" s="16" t="s">
        <v>4</v>
      </c>
      <c r="AB59" s="16" t="s">
        <v>4</v>
      </c>
      <c r="AC59" s="16" t="s">
        <v>4</v>
      </c>
      <c r="AD59" s="23" t="s">
        <v>4</v>
      </c>
      <c r="AE59" s="189"/>
      <c r="AF59" s="189"/>
    </row>
    <row r="60" spans="1:34" s="76" customFormat="1" ht="30" customHeight="1" thickBot="1" x14ac:dyDescent="0.3">
      <c r="A60" s="616"/>
      <c r="B60" s="149" t="s">
        <v>10</v>
      </c>
      <c r="C60" s="54" t="s">
        <v>544</v>
      </c>
      <c r="D60" s="55" t="s">
        <v>8</v>
      </c>
      <c r="E60" s="54" t="s">
        <v>198</v>
      </c>
      <c r="F60" s="288">
        <v>77</v>
      </c>
      <c r="G60" s="54">
        <v>250000001</v>
      </c>
      <c r="H60" s="55" t="s">
        <v>11</v>
      </c>
      <c r="I60" s="33" t="s">
        <v>202</v>
      </c>
      <c r="J60" s="54" t="s">
        <v>756</v>
      </c>
      <c r="K60" s="54" t="s">
        <v>582</v>
      </c>
      <c r="L60" s="54" t="s">
        <v>214</v>
      </c>
      <c r="M60" s="54" t="s">
        <v>543</v>
      </c>
      <c r="N60" s="54" t="s">
        <v>417</v>
      </c>
      <c r="O60" s="54" t="s">
        <v>483</v>
      </c>
      <c r="P60" s="54" t="s">
        <v>211</v>
      </c>
      <c r="Q60" s="54" t="s">
        <v>9</v>
      </c>
      <c r="R60" s="54" t="s">
        <v>756</v>
      </c>
      <c r="S60" s="54" t="s">
        <v>609</v>
      </c>
      <c r="T60" s="54" t="s">
        <v>263</v>
      </c>
      <c r="U60" s="54">
        <v>2</v>
      </c>
      <c r="V60" s="55" t="s">
        <v>5</v>
      </c>
      <c r="W60" s="55" t="s">
        <v>208</v>
      </c>
      <c r="X60" s="229" t="s">
        <v>203</v>
      </c>
      <c r="Y60" s="54" t="s">
        <v>610</v>
      </c>
      <c r="Z60" s="55" t="s">
        <v>8</v>
      </c>
      <c r="AA60" s="55" t="s">
        <v>8</v>
      </c>
      <c r="AB60" s="55" t="s">
        <v>208</v>
      </c>
      <c r="AC60" s="33" t="s">
        <v>8</v>
      </c>
      <c r="AD60" s="89" t="s">
        <v>9</v>
      </c>
      <c r="AE60" s="188" t="s">
        <v>589</v>
      </c>
      <c r="AF60" s="190"/>
    </row>
    <row r="61" spans="1:34" s="75" customFormat="1" ht="15.75" outlineLevel="1" thickBot="1" x14ac:dyDescent="0.3">
      <c r="B61" s="150" t="s">
        <v>586</v>
      </c>
      <c r="C61" s="75" t="s">
        <v>586</v>
      </c>
      <c r="D61" s="75" t="s">
        <v>586</v>
      </c>
      <c r="E61" s="75" t="s">
        <v>586</v>
      </c>
      <c r="F61" s="276" t="s">
        <v>586</v>
      </c>
      <c r="G61" s="75" t="s">
        <v>586</v>
      </c>
      <c r="H61" s="75" t="s">
        <v>586</v>
      </c>
      <c r="I61" s="75" t="s">
        <v>586</v>
      </c>
      <c r="J61" s="75" t="s">
        <v>586</v>
      </c>
      <c r="K61" s="75" t="s">
        <v>586</v>
      </c>
      <c r="L61" s="75" t="s">
        <v>586</v>
      </c>
      <c r="M61" s="75" t="s">
        <v>586</v>
      </c>
      <c r="N61" s="75" t="s">
        <v>586</v>
      </c>
      <c r="O61" s="75" t="s">
        <v>586</v>
      </c>
      <c r="P61" s="75" t="s">
        <v>586</v>
      </c>
      <c r="Q61" s="75" t="s">
        <v>586</v>
      </c>
      <c r="R61" s="75" t="s">
        <v>586</v>
      </c>
      <c r="S61" s="75" t="s">
        <v>586</v>
      </c>
      <c r="T61" s="75" t="s">
        <v>586</v>
      </c>
      <c r="U61" s="75" t="s">
        <v>586</v>
      </c>
      <c r="V61" s="75" t="s">
        <v>586</v>
      </c>
      <c r="W61" s="75" t="s">
        <v>586</v>
      </c>
      <c r="X61" s="75" t="s">
        <v>586</v>
      </c>
      <c r="Y61" s="75" t="s">
        <v>586</v>
      </c>
      <c r="Z61" s="75" t="s">
        <v>586</v>
      </c>
      <c r="AA61" s="75" t="s">
        <v>586</v>
      </c>
      <c r="AB61" s="75" t="s">
        <v>586</v>
      </c>
      <c r="AC61" s="75" t="s">
        <v>586</v>
      </c>
      <c r="AD61" s="75" t="s">
        <v>586</v>
      </c>
      <c r="AE61" s="189"/>
      <c r="AF61" s="189"/>
    </row>
    <row r="62" spans="1:34" ht="99.95" customHeight="1" x14ac:dyDescent="0.25">
      <c r="A62" s="622" t="s">
        <v>191</v>
      </c>
      <c r="B62" s="155" t="s">
        <v>13</v>
      </c>
      <c r="C62" s="20" t="s">
        <v>14</v>
      </c>
      <c r="D62" s="20" t="s">
        <v>15</v>
      </c>
      <c r="E62" s="21" t="s">
        <v>16</v>
      </c>
      <c r="F62" s="295" t="s">
        <v>17</v>
      </c>
      <c r="G62" s="20" t="s">
        <v>70</v>
      </c>
      <c r="H62" s="20" t="s">
        <v>113</v>
      </c>
      <c r="I62" s="20" t="s">
        <v>72</v>
      </c>
      <c r="J62" s="20" t="s">
        <v>153</v>
      </c>
      <c r="K62" s="20" t="s">
        <v>154</v>
      </c>
      <c r="L62" s="20" t="s">
        <v>155</v>
      </c>
      <c r="M62" s="20" t="s">
        <v>156</v>
      </c>
      <c r="N62" s="20" t="s">
        <v>157</v>
      </c>
      <c r="O62" s="20" t="s">
        <v>158</v>
      </c>
      <c r="P62" s="20" t="s">
        <v>159</v>
      </c>
      <c r="Q62" s="20" t="s">
        <v>160</v>
      </c>
      <c r="R62" s="20" t="s">
        <v>161</v>
      </c>
      <c r="S62" s="20" t="s">
        <v>162</v>
      </c>
      <c r="T62" s="20" t="s">
        <v>163</v>
      </c>
      <c r="U62" s="20" t="s">
        <v>164</v>
      </c>
      <c r="V62" s="20" t="s">
        <v>165</v>
      </c>
      <c r="W62" s="20" t="s">
        <v>166</v>
      </c>
      <c r="X62" s="20" t="s">
        <v>167</v>
      </c>
      <c r="Y62" s="20" t="s">
        <v>168</v>
      </c>
      <c r="Z62" s="20" t="s">
        <v>169</v>
      </c>
      <c r="AA62" s="20" t="s">
        <v>170</v>
      </c>
      <c r="AB62" s="20" t="s">
        <v>171</v>
      </c>
      <c r="AC62" s="20" t="s">
        <v>172</v>
      </c>
      <c r="AD62" s="22" t="s">
        <v>114</v>
      </c>
      <c r="AE62" s="189"/>
      <c r="AF62" s="189"/>
    </row>
    <row r="63" spans="1:34" ht="19.899999999999999" customHeight="1" x14ac:dyDescent="0.25">
      <c r="A63" s="615"/>
      <c r="B63" s="156">
        <v>1</v>
      </c>
      <c r="C63" s="90" t="s">
        <v>47</v>
      </c>
      <c r="D63" s="16">
        <v>11</v>
      </c>
      <c r="E63" s="91" t="s">
        <v>48</v>
      </c>
      <c r="F63" s="296" t="s">
        <v>49</v>
      </c>
      <c r="G63" s="92" t="s">
        <v>50</v>
      </c>
      <c r="H63" s="92">
        <v>36</v>
      </c>
      <c r="I63" s="92" t="s">
        <v>94</v>
      </c>
      <c r="J63" s="92" t="s">
        <v>173</v>
      </c>
      <c r="K63" s="92" t="s">
        <v>174</v>
      </c>
      <c r="L63" s="92" t="s">
        <v>175</v>
      </c>
      <c r="M63" s="92" t="s">
        <v>176</v>
      </c>
      <c r="N63" s="92" t="s">
        <v>177</v>
      </c>
      <c r="O63" s="92" t="s">
        <v>178</v>
      </c>
      <c r="P63" s="92" t="s">
        <v>179</v>
      </c>
      <c r="Q63" s="92" t="s">
        <v>180</v>
      </c>
      <c r="R63" s="92" t="s">
        <v>181</v>
      </c>
      <c r="S63" s="92" t="s">
        <v>939</v>
      </c>
      <c r="T63" s="92" t="s">
        <v>182</v>
      </c>
      <c r="U63" s="92">
        <v>100</v>
      </c>
      <c r="V63" s="92" t="s">
        <v>183</v>
      </c>
      <c r="W63" s="92" t="s">
        <v>184</v>
      </c>
      <c r="X63" s="92" t="s">
        <v>185</v>
      </c>
      <c r="Y63" s="92" t="s">
        <v>186</v>
      </c>
      <c r="Z63" s="92">
        <v>117</v>
      </c>
      <c r="AA63" s="92">
        <v>118</v>
      </c>
      <c r="AB63" s="92" t="s">
        <v>187</v>
      </c>
      <c r="AC63" s="92">
        <v>125</v>
      </c>
      <c r="AD63" s="93" t="s">
        <v>188</v>
      </c>
      <c r="AE63" s="189"/>
      <c r="AF63" s="189"/>
    </row>
    <row r="64" spans="1:34" ht="30" customHeight="1" outlineLevel="1" x14ac:dyDescent="0.25">
      <c r="A64" s="615"/>
      <c r="B64" s="156">
        <v>1</v>
      </c>
      <c r="C64" s="16">
        <v>9</v>
      </c>
      <c r="D64" s="16">
        <v>1</v>
      </c>
      <c r="E64" s="94">
        <v>13</v>
      </c>
      <c r="F64" s="297">
        <v>2</v>
      </c>
      <c r="G64" s="16">
        <v>9</v>
      </c>
      <c r="H64" s="16">
        <v>1</v>
      </c>
      <c r="I64" s="16">
        <v>2</v>
      </c>
      <c r="J64" s="16">
        <v>6</v>
      </c>
      <c r="K64" s="16">
        <v>4</v>
      </c>
      <c r="L64" s="16">
        <v>5</v>
      </c>
      <c r="M64" s="16">
        <v>9</v>
      </c>
      <c r="N64" s="16">
        <v>8</v>
      </c>
      <c r="O64" s="16">
        <v>3</v>
      </c>
      <c r="P64" s="16">
        <v>8</v>
      </c>
      <c r="Q64" s="16">
        <v>3</v>
      </c>
      <c r="R64" s="16">
        <v>6</v>
      </c>
      <c r="S64" s="16">
        <v>4</v>
      </c>
      <c r="T64" s="16">
        <v>5</v>
      </c>
      <c r="U64" s="16">
        <v>1</v>
      </c>
      <c r="V64" s="16">
        <v>2</v>
      </c>
      <c r="W64" s="16">
        <v>6</v>
      </c>
      <c r="X64" s="16">
        <v>4</v>
      </c>
      <c r="Y64" s="16">
        <v>4</v>
      </c>
      <c r="Z64" s="16">
        <v>1</v>
      </c>
      <c r="AA64" s="16">
        <v>1</v>
      </c>
      <c r="AB64" s="16">
        <v>6</v>
      </c>
      <c r="AC64" s="16">
        <v>1</v>
      </c>
      <c r="AD64" s="23">
        <v>3</v>
      </c>
      <c r="AE64" s="189"/>
      <c r="AF64" s="189"/>
    </row>
    <row r="65" spans="1:32" ht="30" customHeight="1" outlineLevel="1" x14ac:dyDescent="0.25">
      <c r="A65" s="615"/>
      <c r="B65" s="156" t="s">
        <v>1</v>
      </c>
      <c r="C65" s="16" t="s">
        <v>1</v>
      </c>
      <c r="D65" s="16" t="s">
        <v>69</v>
      </c>
      <c r="E65" s="94" t="s">
        <v>69</v>
      </c>
      <c r="F65" s="297" t="s">
        <v>1</v>
      </c>
      <c r="G65" s="16" t="s">
        <v>1</v>
      </c>
      <c r="H65" s="16" t="s">
        <v>69</v>
      </c>
      <c r="I65" s="16" t="s">
        <v>1</v>
      </c>
      <c r="J65" s="16" t="s">
        <v>1</v>
      </c>
      <c r="K65" s="16" t="s">
        <v>1</v>
      </c>
      <c r="L65" s="16" t="s">
        <v>1</v>
      </c>
      <c r="M65" s="143" t="s">
        <v>69</v>
      </c>
      <c r="N65" s="16" t="s">
        <v>69</v>
      </c>
      <c r="O65" s="16" t="s">
        <v>69</v>
      </c>
      <c r="P65" s="16" t="s">
        <v>69</v>
      </c>
      <c r="Q65" s="16" t="s">
        <v>69</v>
      </c>
      <c r="R65" s="16" t="s">
        <v>1</v>
      </c>
      <c r="S65" s="16" t="s">
        <v>1</v>
      </c>
      <c r="T65" s="16" t="s">
        <v>1</v>
      </c>
      <c r="U65" s="16" t="s">
        <v>1</v>
      </c>
      <c r="V65" s="16" t="s">
        <v>1</v>
      </c>
      <c r="W65" s="16" t="s">
        <v>1</v>
      </c>
      <c r="X65" s="16" t="s">
        <v>1</v>
      </c>
      <c r="Y65" s="16" t="s">
        <v>1</v>
      </c>
      <c r="Z65" s="16" t="s">
        <v>69</v>
      </c>
      <c r="AA65" s="16" t="s">
        <v>69</v>
      </c>
      <c r="AB65" s="16" t="s">
        <v>1</v>
      </c>
      <c r="AC65" s="16" t="s">
        <v>69</v>
      </c>
      <c r="AD65" s="227" t="s">
        <v>69</v>
      </c>
      <c r="AE65" s="189"/>
      <c r="AF65" s="189"/>
    </row>
    <row r="66" spans="1:32" ht="30" customHeight="1" outlineLevel="1" x14ac:dyDescent="0.25">
      <c r="A66" s="615"/>
      <c r="B66" s="156" t="s">
        <v>0</v>
      </c>
      <c r="C66" s="16" t="s">
        <v>0</v>
      </c>
      <c r="D66" s="16" t="s">
        <v>4</v>
      </c>
      <c r="E66" s="94" t="s">
        <v>0</v>
      </c>
      <c r="F66" s="29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189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4</v>
      </c>
      <c r="Q66" s="16" t="s">
        <v>4</v>
      </c>
      <c r="R66" s="16" t="s">
        <v>0</v>
      </c>
      <c r="S66" s="16" t="s">
        <v>0</v>
      </c>
      <c r="T66" s="16" t="s">
        <v>0</v>
      </c>
      <c r="U66" s="16" t="s">
        <v>0</v>
      </c>
      <c r="V66" s="16" t="s">
        <v>4</v>
      </c>
      <c r="W66" s="16" t="s">
        <v>4</v>
      </c>
      <c r="X66" s="16" t="s">
        <v>4</v>
      </c>
      <c r="Y66" s="16" t="s">
        <v>0</v>
      </c>
      <c r="Z66" s="16" t="s">
        <v>4</v>
      </c>
      <c r="AA66" s="16" t="s">
        <v>4</v>
      </c>
      <c r="AB66" s="16" t="s">
        <v>4</v>
      </c>
      <c r="AC66" s="16" t="s">
        <v>4</v>
      </c>
      <c r="AD66" s="23" t="s">
        <v>4</v>
      </c>
      <c r="AE66" s="189"/>
      <c r="AF66" s="189"/>
    </row>
    <row r="67" spans="1:32" s="76" customFormat="1" ht="30" customHeight="1" thickBot="1" x14ac:dyDescent="0.3">
      <c r="A67" s="616"/>
      <c r="B67" s="149" t="s">
        <v>10</v>
      </c>
      <c r="C67" s="54" t="s">
        <v>544</v>
      </c>
      <c r="D67" s="55" t="s">
        <v>8</v>
      </c>
      <c r="E67" s="54" t="s">
        <v>198</v>
      </c>
      <c r="F67" s="288">
        <v>77</v>
      </c>
      <c r="G67" s="54">
        <v>250000001</v>
      </c>
      <c r="H67" s="55" t="s">
        <v>11</v>
      </c>
      <c r="I67" s="33" t="s">
        <v>649</v>
      </c>
      <c r="J67" s="54" t="s">
        <v>676</v>
      </c>
      <c r="K67" s="54" t="s">
        <v>757</v>
      </c>
      <c r="L67" s="54" t="s">
        <v>263</v>
      </c>
      <c r="M67" s="54" t="s">
        <v>542</v>
      </c>
      <c r="N67" s="54" t="s">
        <v>484</v>
      </c>
      <c r="O67" s="54" t="s">
        <v>485</v>
      </c>
      <c r="P67" s="54" t="s">
        <v>211</v>
      </c>
      <c r="Q67" s="54" t="s">
        <v>9</v>
      </c>
      <c r="R67" s="54" t="s">
        <v>676</v>
      </c>
      <c r="S67" s="54" t="s">
        <v>758</v>
      </c>
      <c r="T67" s="54" t="s">
        <v>214</v>
      </c>
      <c r="U67" s="54">
        <v>2</v>
      </c>
      <c r="V67" s="55" t="s">
        <v>5</v>
      </c>
      <c r="W67" s="55" t="s">
        <v>208</v>
      </c>
      <c r="X67" s="229" t="s">
        <v>203</v>
      </c>
      <c r="Y67" s="54" t="s">
        <v>610</v>
      </c>
      <c r="Z67" s="55" t="s">
        <v>8</v>
      </c>
      <c r="AA67" s="55" t="s">
        <v>8</v>
      </c>
      <c r="AB67" s="55" t="s">
        <v>208</v>
      </c>
      <c r="AC67" s="33" t="s">
        <v>8</v>
      </c>
      <c r="AD67" s="89" t="s">
        <v>9</v>
      </c>
      <c r="AE67" s="188" t="s">
        <v>589</v>
      </c>
      <c r="AF67" s="191"/>
    </row>
    <row r="68" spans="1:32" s="75" customFormat="1" ht="15.75" outlineLevel="1" thickBot="1" x14ac:dyDescent="0.3">
      <c r="B68" s="150" t="s">
        <v>586</v>
      </c>
      <c r="C68" s="75" t="s">
        <v>586</v>
      </c>
      <c r="D68" s="75" t="s">
        <v>586</v>
      </c>
      <c r="E68" s="75" t="s">
        <v>586</v>
      </c>
      <c r="F68" s="276" t="s">
        <v>586</v>
      </c>
      <c r="G68" s="75" t="s">
        <v>586</v>
      </c>
      <c r="H68" s="75" t="s">
        <v>586</v>
      </c>
      <c r="I68" s="75" t="s">
        <v>586</v>
      </c>
      <c r="J68" s="75" t="s">
        <v>586</v>
      </c>
      <c r="K68" s="75" t="s">
        <v>586</v>
      </c>
      <c r="L68" s="75" t="s">
        <v>586</v>
      </c>
      <c r="M68" s="75" t="s">
        <v>586</v>
      </c>
      <c r="N68" s="75" t="s">
        <v>586</v>
      </c>
      <c r="O68" s="75" t="s">
        <v>586</v>
      </c>
      <c r="P68" s="75" t="s">
        <v>586</v>
      </c>
      <c r="Q68" s="75" t="s">
        <v>586</v>
      </c>
      <c r="R68" s="75" t="s">
        <v>586</v>
      </c>
      <c r="S68" s="75" t="s">
        <v>586</v>
      </c>
      <c r="T68" s="75" t="s">
        <v>586</v>
      </c>
      <c r="U68" s="75" t="s">
        <v>586</v>
      </c>
      <c r="V68" s="75" t="s">
        <v>586</v>
      </c>
      <c r="W68" s="75" t="s">
        <v>586</v>
      </c>
      <c r="X68" s="75" t="s">
        <v>586</v>
      </c>
      <c r="Y68" s="75" t="s">
        <v>586</v>
      </c>
      <c r="Z68" s="75" t="s">
        <v>586</v>
      </c>
      <c r="AA68" s="75" t="s">
        <v>586</v>
      </c>
      <c r="AB68" s="75" t="s">
        <v>586</v>
      </c>
      <c r="AC68" s="75" t="s">
        <v>586</v>
      </c>
      <c r="AD68" s="75" t="s">
        <v>586</v>
      </c>
      <c r="AE68" s="189"/>
      <c r="AF68" s="189"/>
    </row>
    <row r="69" spans="1:32" ht="99.95" customHeight="1" x14ac:dyDescent="0.25">
      <c r="A69" s="622" t="s">
        <v>191</v>
      </c>
      <c r="B69" s="155" t="s">
        <v>13</v>
      </c>
      <c r="C69" s="20" t="s">
        <v>14</v>
      </c>
      <c r="D69" s="20" t="s">
        <v>15</v>
      </c>
      <c r="E69" s="21" t="s">
        <v>16</v>
      </c>
      <c r="F69" s="295" t="s">
        <v>17</v>
      </c>
      <c r="G69" s="20" t="s">
        <v>70</v>
      </c>
      <c r="H69" s="20" t="s">
        <v>113</v>
      </c>
      <c r="I69" s="20" t="s">
        <v>72</v>
      </c>
      <c r="J69" s="20" t="s">
        <v>153</v>
      </c>
      <c r="K69" s="20" t="s">
        <v>154</v>
      </c>
      <c r="L69" s="20" t="s">
        <v>155</v>
      </c>
      <c r="M69" s="20" t="s">
        <v>156</v>
      </c>
      <c r="N69" s="20" t="s">
        <v>157</v>
      </c>
      <c r="O69" s="20" t="s">
        <v>158</v>
      </c>
      <c r="P69" s="20" t="s">
        <v>159</v>
      </c>
      <c r="Q69" s="20" t="s">
        <v>160</v>
      </c>
      <c r="R69" s="20" t="s">
        <v>161</v>
      </c>
      <c r="S69" s="20" t="s">
        <v>162</v>
      </c>
      <c r="T69" s="20" t="s">
        <v>163</v>
      </c>
      <c r="U69" s="20" t="s">
        <v>164</v>
      </c>
      <c r="V69" s="20" t="s">
        <v>165</v>
      </c>
      <c r="W69" s="20" t="s">
        <v>166</v>
      </c>
      <c r="X69" s="20" t="s">
        <v>167</v>
      </c>
      <c r="Y69" s="20" t="s">
        <v>168</v>
      </c>
      <c r="Z69" s="20" t="s">
        <v>169</v>
      </c>
      <c r="AA69" s="20" t="s">
        <v>170</v>
      </c>
      <c r="AB69" s="20" t="s">
        <v>171</v>
      </c>
      <c r="AC69" s="20" t="s">
        <v>172</v>
      </c>
      <c r="AD69" s="22" t="s">
        <v>114</v>
      </c>
      <c r="AE69" s="189"/>
      <c r="AF69" s="189"/>
    </row>
    <row r="70" spans="1:32" ht="19.899999999999999" customHeight="1" x14ac:dyDescent="0.25">
      <c r="A70" s="615"/>
      <c r="B70" s="156">
        <v>1</v>
      </c>
      <c r="C70" s="90" t="s">
        <v>47</v>
      </c>
      <c r="D70" s="16">
        <v>11</v>
      </c>
      <c r="E70" s="91" t="s">
        <v>48</v>
      </c>
      <c r="F70" s="296" t="s">
        <v>49</v>
      </c>
      <c r="G70" s="92" t="s">
        <v>50</v>
      </c>
      <c r="H70" s="92">
        <v>36</v>
      </c>
      <c r="I70" s="92" t="s">
        <v>94</v>
      </c>
      <c r="J70" s="92" t="s">
        <v>173</v>
      </c>
      <c r="K70" s="92" t="s">
        <v>174</v>
      </c>
      <c r="L70" s="92" t="s">
        <v>175</v>
      </c>
      <c r="M70" s="92" t="s">
        <v>176</v>
      </c>
      <c r="N70" s="92" t="s">
        <v>177</v>
      </c>
      <c r="O70" s="92" t="s">
        <v>178</v>
      </c>
      <c r="P70" s="92" t="s">
        <v>179</v>
      </c>
      <c r="Q70" s="92" t="s">
        <v>180</v>
      </c>
      <c r="R70" s="92" t="s">
        <v>181</v>
      </c>
      <c r="S70" s="92" t="s">
        <v>939</v>
      </c>
      <c r="T70" s="92" t="s">
        <v>182</v>
      </c>
      <c r="U70" s="92">
        <v>100</v>
      </c>
      <c r="V70" s="92" t="s">
        <v>183</v>
      </c>
      <c r="W70" s="92" t="s">
        <v>184</v>
      </c>
      <c r="X70" s="92" t="s">
        <v>185</v>
      </c>
      <c r="Y70" s="92" t="s">
        <v>186</v>
      </c>
      <c r="Z70" s="92">
        <v>117</v>
      </c>
      <c r="AA70" s="92">
        <v>118</v>
      </c>
      <c r="AB70" s="92" t="s">
        <v>187</v>
      </c>
      <c r="AC70" s="92">
        <v>125</v>
      </c>
      <c r="AD70" s="93" t="s">
        <v>188</v>
      </c>
      <c r="AE70" s="189"/>
      <c r="AF70" s="189"/>
    </row>
    <row r="71" spans="1:32" ht="30" customHeight="1" outlineLevel="2" x14ac:dyDescent="0.25">
      <c r="A71" s="615"/>
      <c r="B71" s="156">
        <v>1</v>
      </c>
      <c r="C71" s="16">
        <v>9</v>
      </c>
      <c r="D71" s="16">
        <v>1</v>
      </c>
      <c r="E71" s="94">
        <v>13</v>
      </c>
      <c r="F71" s="297">
        <v>2</v>
      </c>
      <c r="G71" s="16">
        <v>9</v>
      </c>
      <c r="H71" s="16">
        <v>1</v>
      </c>
      <c r="I71" s="16">
        <v>2</v>
      </c>
      <c r="J71" s="16">
        <v>6</v>
      </c>
      <c r="K71" s="16">
        <v>4</v>
      </c>
      <c r="L71" s="16">
        <v>5</v>
      </c>
      <c r="M71" s="16">
        <v>9</v>
      </c>
      <c r="N71" s="16">
        <v>8</v>
      </c>
      <c r="O71" s="16">
        <v>3</v>
      </c>
      <c r="P71" s="16">
        <v>8</v>
      </c>
      <c r="Q71" s="16">
        <v>3</v>
      </c>
      <c r="R71" s="16">
        <v>6</v>
      </c>
      <c r="S71" s="16">
        <v>4</v>
      </c>
      <c r="T71" s="16">
        <v>5</v>
      </c>
      <c r="U71" s="16">
        <v>1</v>
      </c>
      <c r="V71" s="16">
        <v>2</v>
      </c>
      <c r="W71" s="16">
        <v>6</v>
      </c>
      <c r="X71" s="16">
        <v>4</v>
      </c>
      <c r="Y71" s="16">
        <v>4</v>
      </c>
      <c r="Z71" s="16">
        <v>1</v>
      </c>
      <c r="AA71" s="16">
        <v>1</v>
      </c>
      <c r="AB71" s="16">
        <v>6</v>
      </c>
      <c r="AC71" s="16">
        <v>1</v>
      </c>
      <c r="AD71" s="23">
        <v>3</v>
      </c>
      <c r="AE71" s="189"/>
      <c r="AF71" s="189"/>
    </row>
    <row r="72" spans="1:32" ht="30" customHeight="1" outlineLevel="2" x14ac:dyDescent="0.25">
      <c r="A72" s="615"/>
      <c r="B72" s="156" t="s">
        <v>1</v>
      </c>
      <c r="C72" s="16" t="s">
        <v>1</v>
      </c>
      <c r="D72" s="16" t="s">
        <v>69</v>
      </c>
      <c r="E72" s="94" t="s">
        <v>69</v>
      </c>
      <c r="F72" s="297" t="s">
        <v>1</v>
      </c>
      <c r="G72" s="16" t="s">
        <v>1</v>
      </c>
      <c r="H72" s="16" t="s">
        <v>69</v>
      </c>
      <c r="I72" s="16" t="s">
        <v>1</v>
      </c>
      <c r="J72" s="16" t="s">
        <v>1</v>
      </c>
      <c r="K72" s="16" t="s">
        <v>1</v>
      </c>
      <c r="L72" s="16" t="s">
        <v>1</v>
      </c>
      <c r="M72" s="143" t="s">
        <v>69</v>
      </c>
      <c r="N72" s="16" t="s">
        <v>69</v>
      </c>
      <c r="O72" s="16" t="s">
        <v>69</v>
      </c>
      <c r="P72" s="16" t="s">
        <v>69</v>
      </c>
      <c r="Q72" s="16" t="s">
        <v>69</v>
      </c>
      <c r="R72" s="16" t="s">
        <v>1</v>
      </c>
      <c r="S72" s="16" t="s">
        <v>1</v>
      </c>
      <c r="T72" s="16" t="s">
        <v>1</v>
      </c>
      <c r="U72" s="16" t="s">
        <v>1</v>
      </c>
      <c r="V72" s="16" t="s">
        <v>1</v>
      </c>
      <c r="W72" s="16" t="s">
        <v>1</v>
      </c>
      <c r="X72" s="16" t="s">
        <v>1</v>
      </c>
      <c r="Y72" s="16" t="s">
        <v>1</v>
      </c>
      <c r="Z72" s="16" t="s">
        <v>69</v>
      </c>
      <c r="AA72" s="16" t="s">
        <v>69</v>
      </c>
      <c r="AB72" s="16" t="s">
        <v>1</v>
      </c>
      <c r="AC72" s="16" t="s">
        <v>69</v>
      </c>
      <c r="AD72" s="227" t="s">
        <v>69</v>
      </c>
      <c r="AE72" s="189"/>
      <c r="AF72" s="189"/>
    </row>
    <row r="73" spans="1:32" ht="30" customHeight="1" outlineLevel="2" x14ac:dyDescent="0.25">
      <c r="A73" s="615"/>
      <c r="B73" s="156" t="s">
        <v>0</v>
      </c>
      <c r="C73" s="16" t="s">
        <v>0</v>
      </c>
      <c r="D73" s="16" t="s">
        <v>4</v>
      </c>
      <c r="E73" s="94" t="s">
        <v>0</v>
      </c>
      <c r="F73" s="297" t="s">
        <v>0</v>
      </c>
      <c r="G73" s="16" t="s">
        <v>0</v>
      </c>
      <c r="H73" s="16" t="s">
        <v>0</v>
      </c>
      <c r="I73" s="16" t="s">
        <v>0</v>
      </c>
      <c r="J73" s="16" t="s">
        <v>0</v>
      </c>
      <c r="K73" s="16" t="s">
        <v>189</v>
      </c>
      <c r="L73" s="16" t="s">
        <v>0</v>
      </c>
      <c r="M73" s="16" t="s">
        <v>0</v>
      </c>
      <c r="N73" s="16" t="s">
        <v>0</v>
      </c>
      <c r="O73" s="16" t="s">
        <v>0</v>
      </c>
      <c r="P73" s="16" t="s">
        <v>4</v>
      </c>
      <c r="Q73" s="16" t="s">
        <v>4</v>
      </c>
      <c r="R73" s="16" t="s">
        <v>0</v>
      </c>
      <c r="S73" s="16" t="s">
        <v>0</v>
      </c>
      <c r="T73" s="16" t="s">
        <v>0</v>
      </c>
      <c r="U73" s="16" t="s">
        <v>0</v>
      </c>
      <c r="V73" s="16" t="s">
        <v>4</v>
      </c>
      <c r="W73" s="16" t="s">
        <v>4</v>
      </c>
      <c r="X73" s="16" t="s">
        <v>4</v>
      </c>
      <c r="Y73" s="16" t="s">
        <v>0</v>
      </c>
      <c r="Z73" s="16" t="s">
        <v>4</v>
      </c>
      <c r="AA73" s="16" t="s">
        <v>4</v>
      </c>
      <c r="AB73" s="16" t="s">
        <v>4</v>
      </c>
      <c r="AC73" s="16" t="s">
        <v>4</v>
      </c>
      <c r="AD73" s="23" t="s">
        <v>4</v>
      </c>
      <c r="AE73" s="189"/>
      <c r="AF73" s="189"/>
    </row>
    <row r="74" spans="1:32" s="76" customFormat="1" ht="30" customHeight="1" thickBot="1" x14ac:dyDescent="0.3">
      <c r="A74" s="616"/>
      <c r="B74" s="149" t="s">
        <v>10</v>
      </c>
      <c r="C74" s="54" t="s">
        <v>544</v>
      </c>
      <c r="D74" s="55" t="s">
        <v>8</v>
      </c>
      <c r="E74" s="54" t="s">
        <v>198</v>
      </c>
      <c r="F74" s="288">
        <v>77</v>
      </c>
      <c r="G74" s="54">
        <v>250000001</v>
      </c>
      <c r="H74" s="55" t="s">
        <v>11</v>
      </c>
      <c r="I74" s="33" t="s">
        <v>749</v>
      </c>
      <c r="J74" s="54" t="s">
        <v>748</v>
      </c>
      <c r="K74" s="54" t="s">
        <v>582</v>
      </c>
      <c r="L74" s="54" t="s">
        <v>214</v>
      </c>
      <c r="M74" s="54" t="s">
        <v>543</v>
      </c>
      <c r="N74" s="54" t="s">
        <v>486</v>
      </c>
      <c r="O74" s="54" t="s">
        <v>487</v>
      </c>
      <c r="P74" s="54" t="s">
        <v>211</v>
      </c>
      <c r="Q74" s="54" t="s">
        <v>9</v>
      </c>
      <c r="R74" s="54" t="s">
        <v>748</v>
      </c>
      <c r="S74" s="54" t="s">
        <v>609</v>
      </c>
      <c r="T74" s="54" t="s">
        <v>263</v>
      </c>
      <c r="U74" s="54">
        <v>2</v>
      </c>
      <c r="V74" s="55" t="s">
        <v>5</v>
      </c>
      <c r="W74" s="55" t="s">
        <v>208</v>
      </c>
      <c r="X74" s="229" t="s">
        <v>203</v>
      </c>
      <c r="Y74" s="54" t="s">
        <v>610</v>
      </c>
      <c r="Z74" s="55" t="s">
        <v>8</v>
      </c>
      <c r="AA74" s="55" t="s">
        <v>8</v>
      </c>
      <c r="AB74" s="55" t="s">
        <v>208</v>
      </c>
      <c r="AC74" s="33" t="s">
        <v>8</v>
      </c>
      <c r="AD74" s="89" t="s">
        <v>9</v>
      </c>
      <c r="AE74" s="188" t="s">
        <v>589</v>
      </c>
      <c r="AF74" s="191"/>
    </row>
    <row r="75" spans="1:32" s="75" customFormat="1" ht="15.75" outlineLevel="1" thickBot="1" x14ac:dyDescent="0.3">
      <c r="B75" s="150" t="s">
        <v>586</v>
      </c>
      <c r="C75" s="75" t="s">
        <v>586</v>
      </c>
      <c r="D75" s="75" t="s">
        <v>586</v>
      </c>
      <c r="E75" s="75" t="s">
        <v>586</v>
      </c>
      <c r="F75" s="276" t="s">
        <v>586</v>
      </c>
      <c r="G75" s="75" t="s">
        <v>586</v>
      </c>
      <c r="H75" s="75" t="s">
        <v>586</v>
      </c>
      <c r="I75" s="75" t="s">
        <v>586</v>
      </c>
      <c r="J75" s="75" t="s">
        <v>586</v>
      </c>
      <c r="K75" s="75" t="s">
        <v>586</v>
      </c>
      <c r="L75" s="75" t="s">
        <v>586</v>
      </c>
      <c r="M75" s="75" t="s">
        <v>586</v>
      </c>
      <c r="N75" s="75" t="s">
        <v>586</v>
      </c>
      <c r="O75" s="75" t="s">
        <v>586</v>
      </c>
      <c r="P75" s="75" t="s">
        <v>586</v>
      </c>
      <c r="Q75" s="75" t="s">
        <v>586</v>
      </c>
      <c r="R75" s="75" t="s">
        <v>586</v>
      </c>
      <c r="S75" s="75" t="s">
        <v>586</v>
      </c>
      <c r="T75" s="75" t="s">
        <v>586</v>
      </c>
      <c r="U75" s="75" t="s">
        <v>586</v>
      </c>
      <c r="V75" s="75" t="s">
        <v>586</v>
      </c>
      <c r="W75" s="75" t="s">
        <v>586</v>
      </c>
      <c r="X75" s="75" t="s">
        <v>586</v>
      </c>
      <c r="Y75" s="75" t="s">
        <v>586</v>
      </c>
      <c r="Z75" s="75" t="s">
        <v>586</v>
      </c>
      <c r="AA75" s="75" t="s">
        <v>586</v>
      </c>
      <c r="AB75" s="75" t="s">
        <v>586</v>
      </c>
      <c r="AC75" s="75" t="s">
        <v>586</v>
      </c>
      <c r="AD75" s="75" t="s">
        <v>586</v>
      </c>
      <c r="AE75" s="189"/>
      <c r="AF75" s="189"/>
    </row>
    <row r="76" spans="1:32" ht="99.95" customHeight="1" x14ac:dyDescent="0.25">
      <c r="A76" s="622" t="s">
        <v>191</v>
      </c>
      <c r="B76" s="155" t="s">
        <v>13</v>
      </c>
      <c r="C76" s="20" t="s">
        <v>14</v>
      </c>
      <c r="D76" s="20" t="s">
        <v>15</v>
      </c>
      <c r="E76" s="21" t="s">
        <v>16</v>
      </c>
      <c r="F76" s="295" t="s">
        <v>17</v>
      </c>
      <c r="G76" s="20" t="s">
        <v>70</v>
      </c>
      <c r="H76" s="20" t="s">
        <v>113</v>
      </c>
      <c r="I76" s="20" t="s">
        <v>72</v>
      </c>
      <c r="J76" s="20" t="s">
        <v>153</v>
      </c>
      <c r="K76" s="20" t="s">
        <v>154</v>
      </c>
      <c r="L76" s="20" t="s">
        <v>155</v>
      </c>
      <c r="M76" s="20" t="s">
        <v>156</v>
      </c>
      <c r="N76" s="20" t="s">
        <v>157</v>
      </c>
      <c r="O76" s="20" t="s">
        <v>158</v>
      </c>
      <c r="P76" s="20" t="s">
        <v>159</v>
      </c>
      <c r="Q76" s="20" t="s">
        <v>160</v>
      </c>
      <c r="R76" s="20" t="s">
        <v>161</v>
      </c>
      <c r="S76" s="20" t="s">
        <v>162</v>
      </c>
      <c r="T76" s="20" t="s">
        <v>163</v>
      </c>
      <c r="U76" s="20" t="s">
        <v>164</v>
      </c>
      <c r="V76" s="20" t="s">
        <v>165</v>
      </c>
      <c r="W76" s="20" t="s">
        <v>166</v>
      </c>
      <c r="X76" s="20" t="s">
        <v>167</v>
      </c>
      <c r="Y76" s="20" t="s">
        <v>168</v>
      </c>
      <c r="Z76" s="20" t="s">
        <v>169</v>
      </c>
      <c r="AA76" s="20" t="s">
        <v>170</v>
      </c>
      <c r="AB76" s="20" t="s">
        <v>171</v>
      </c>
      <c r="AC76" s="20" t="s">
        <v>172</v>
      </c>
      <c r="AD76" s="22" t="s">
        <v>114</v>
      </c>
      <c r="AE76" s="189"/>
      <c r="AF76" s="189"/>
    </row>
    <row r="77" spans="1:32" ht="19.899999999999999" customHeight="1" x14ac:dyDescent="0.25">
      <c r="A77" s="615"/>
      <c r="B77" s="156">
        <v>1</v>
      </c>
      <c r="C77" s="90" t="s">
        <v>47</v>
      </c>
      <c r="D77" s="16">
        <v>11</v>
      </c>
      <c r="E77" s="91" t="s">
        <v>48</v>
      </c>
      <c r="F77" s="296" t="s">
        <v>49</v>
      </c>
      <c r="G77" s="92" t="s">
        <v>50</v>
      </c>
      <c r="H77" s="92">
        <v>36</v>
      </c>
      <c r="I77" s="92" t="s">
        <v>94</v>
      </c>
      <c r="J77" s="92" t="s">
        <v>173</v>
      </c>
      <c r="K77" s="92" t="s">
        <v>174</v>
      </c>
      <c r="L77" s="92" t="s">
        <v>175</v>
      </c>
      <c r="M77" s="92" t="s">
        <v>176</v>
      </c>
      <c r="N77" s="92" t="s">
        <v>177</v>
      </c>
      <c r="O77" s="92" t="s">
        <v>178</v>
      </c>
      <c r="P77" s="92" t="s">
        <v>179</v>
      </c>
      <c r="Q77" s="92" t="s">
        <v>180</v>
      </c>
      <c r="R77" s="92" t="s">
        <v>181</v>
      </c>
      <c r="S77" s="92" t="s">
        <v>939</v>
      </c>
      <c r="T77" s="92" t="s">
        <v>182</v>
      </c>
      <c r="U77" s="92">
        <v>100</v>
      </c>
      <c r="V77" s="92" t="s">
        <v>183</v>
      </c>
      <c r="W77" s="92" t="s">
        <v>184</v>
      </c>
      <c r="X77" s="92" t="s">
        <v>185</v>
      </c>
      <c r="Y77" s="92" t="s">
        <v>186</v>
      </c>
      <c r="Z77" s="92">
        <v>117</v>
      </c>
      <c r="AA77" s="92">
        <v>118</v>
      </c>
      <c r="AB77" s="92" t="s">
        <v>187</v>
      </c>
      <c r="AC77" s="92">
        <v>125</v>
      </c>
      <c r="AD77" s="93" t="s">
        <v>188</v>
      </c>
      <c r="AE77" s="189"/>
      <c r="AF77" s="189"/>
    </row>
    <row r="78" spans="1:32" ht="30" customHeight="1" outlineLevel="1" x14ac:dyDescent="0.25">
      <c r="A78" s="615"/>
      <c r="B78" s="156">
        <v>1</v>
      </c>
      <c r="C78" s="16">
        <v>9</v>
      </c>
      <c r="D78" s="16">
        <v>1</v>
      </c>
      <c r="E78" s="94">
        <v>13</v>
      </c>
      <c r="F78" s="297">
        <v>2</v>
      </c>
      <c r="G78" s="16">
        <v>9</v>
      </c>
      <c r="H78" s="16">
        <v>1</v>
      </c>
      <c r="I78" s="16">
        <v>2</v>
      </c>
      <c r="J78" s="16">
        <v>6</v>
      </c>
      <c r="K78" s="16">
        <v>4</v>
      </c>
      <c r="L78" s="16">
        <v>5</v>
      </c>
      <c r="M78" s="16">
        <v>9</v>
      </c>
      <c r="N78" s="16">
        <v>8</v>
      </c>
      <c r="O78" s="16">
        <v>3</v>
      </c>
      <c r="P78" s="16">
        <v>8</v>
      </c>
      <c r="Q78" s="16">
        <v>3</v>
      </c>
      <c r="R78" s="16">
        <v>6</v>
      </c>
      <c r="S78" s="16">
        <v>4</v>
      </c>
      <c r="T78" s="16">
        <v>5</v>
      </c>
      <c r="U78" s="16">
        <v>1</v>
      </c>
      <c r="V78" s="16">
        <v>2</v>
      </c>
      <c r="W78" s="16">
        <v>6</v>
      </c>
      <c r="X78" s="16">
        <v>4</v>
      </c>
      <c r="Y78" s="16">
        <v>4</v>
      </c>
      <c r="Z78" s="16">
        <v>1</v>
      </c>
      <c r="AA78" s="16">
        <v>1</v>
      </c>
      <c r="AB78" s="16">
        <v>6</v>
      </c>
      <c r="AC78" s="16">
        <v>1</v>
      </c>
      <c r="AD78" s="23">
        <v>3</v>
      </c>
      <c r="AE78" s="189"/>
      <c r="AF78" s="189"/>
    </row>
    <row r="79" spans="1:32" ht="30" customHeight="1" outlineLevel="1" x14ac:dyDescent="0.25">
      <c r="A79" s="615"/>
      <c r="B79" s="156" t="s">
        <v>1</v>
      </c>
      <c r="C79" s="16" t="s">
        <v>1</v>
      </c>
      <c r="D79" s="16" t="s">
        <v>69</v>
      </c>
      <c r="E79" s="94" t="s">
        <v>69</v>
      </c>
      <c r="F79" s="297" t="s">
        <v>1</v>
      </c>
      <c r="G79" s="16" t="s">
        <v>1</v>
      </c>
      <c r="H79" s="16" t="s">
        <v>69</v>
      </c>
      <c r="I79" s="16" t="s">
        <v>1</v>
      </c>
      <c r="J79" s="16" t="s">
        <v>1</v>
      </c>
      <c r="K79" s="16" t="s">
        <v>1</v>
      </c>
      <c r="L79" s="16" t="s">
        <v>1</v>
      </c>
      <c r="M79" s="143" t="s">
        <v>69</v>
      </c>
      <c r="N79" s="16" t="s">
        <v>69</v>
      </c>
      <c r="O79" s="16" t="s">
        <v>69</v>
      </c>
      <c r="P79" s="16" t="s">
        <v>69</v>
      </c>
      <c r="Q79" s="16" t="s">
        <v>69</v>
      </c>
      <c r="R79" s="16" t="s">
        <v>1</v>
      </c>
      <c r="S79" s="16" t="s">
        <v>1</v>
      </c>
      <c r="T79" s="16" t="s">
        <v>1</v>
      </c>
      <c r="U79" s="16" t="s">
        <v>1</v>
      </c>
      <c r="V79" s="16" t="s">
        <v>1</v>
      </c>
      <c r="W79" s="16" t="s">
        <v>1</v>
      </c>
      <c r="X79" s="16" t="s">
        <v>1</v>
      </c>
      <c r="Y79" s="16" t="s">
        <v>1</v>
      </c>
      <c r="Z79" s="16" t="s">
        <v>69</v>
      </c>
      <c r="AA79" s="16" t="s">
        <v>69</v>
      </c>
      <c r="AB79" s="16" t="s">
        <v>1</v>
      </c>
      <c r="AC79" s="16" t="s">
        <v>69</v>
      </c>
      <c r="AD79" s="227" t="s">
        <v>69</v>
      </c>
      <c r="AE79" s="189"/>
      <c r="AF79" s="189"/>
    </row>
    <row r="80" spans="1:32" ht="30" customHeight="1" outlineLevel="1" x14ac:dyDescent="0.25">
      <c r="A80" s="615"/>
      <c r="B80" s="156" t="s">
        <v>0</v>
      </c>
      <c r="C80" s="16" t="s">
        <v>0</v>
      </c>
      <c r="D80" s="16" t="s">
        <v>4</v>
      </c>
      <c r="E80" s="94" t="s">
        <v>0</v>
      </c>
      <c r="F80" s="29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189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4</v>
      </c>
      <c r="Q80" s="16" t="s">
        <v>4</v>
      </c>
      <c r="R80" s="16" t="s">
        <v>0</v>
      </c>
      <c r="S80" s="16" t="s">
        <v>0</v>
      </c>
      <c r="T80" s="16" t="s">
        <v>0</v>
      </c>
      <c r="U80" s="16" t="s">
        <v>0</v>
      </c>
      <c r="V80" s="16" t="s">
        <v>4</v>
      </c>
      <c r="W80" s="16" t="s">
        <v>4</v>
      </c>
      <c r="X80" s="16" t="s">
        <v>4</v>
      </c>
      <c r="Y80" s="16" t="s">
        <v>0</v>
      </c>
      <c r="Z80" s="16" t="s">
        <v>4</v>
      </c>
      <c r="AA80" s="16" t="s">
        <v>4</v>
      </c>
      <c r="AB80" s="16" t="s">
        <v>4</v>
      </c>
      <c r="AC80" s="16" t="s">
        <v>4</v>
      </c>
      <c r="AD80" s="23" t="s">
        <v>4</v>
      </c>
      <c r="AE80" s="189"/>
      <c r="AF80" s="189"/>
    </row>
    <row r="81" spans="1:33" s="76" customFormat="1" ht="30" customHeight="1" thickBot="1" x14ac:dyDescent="0.3">
      <c r="A81" s="616"/>
      <c r="B81" s="149" t="s">
        <v>10</v>
      </c>
      <c r="C81" s="54" t="s">
        <v>544</v>
      </c>
      <c r="D81" s="55" t="s">
        <v>8</v>
      </c>
      <c r="E81" s="54" t="s">
        <v>198</v>
      </c>
      <c r="F81" s="288">
        <v>77</v>
      </c>
      <c r="G81" s="54">
        <v>250000001</v>
      </c>
      <c r="H81" s="55" t="s">
        <v>11</v>
      </c>
      <c r="I81" s="33" t="s">
        <v>767</v>
      </c>
      <c r="J81" s="54" t="s">
        <v>759</v>
      </c>
      <c r="K81" s="54" t="s">
        <v>760</v>
      </c>
      <c r="L81" s="54" t="s">
        <v>263</v>
      </c>
      <c r="M81" s="54" t="s">
        <v>542</v>
      </c>
      <c r="N81" s="54" t="s">
        <v>488</v>
      </c>
      <c r="O81" s="54" t="s">
        <v>489</v>
      </c>
      <c r="P81" s="54" t="s">
        <v>211</v>
      </c>
      <c r="Q81" s="54" t="s">
        <v>9</v>
      </c>
      <c r="R81" s="54" t="s">
        <v>759</v>
      </c>
      <c r="S81" s="54" t="s">
        <v>761</v>
      </c>
      <c r="T81" s="54" t="s">
        <v>214</v>
      </c>
      <c r="U81" s="54">
        <v>4</v>
      </c>
      <c r="V81" s="55" t="s">
        <v>5</v>
      </c>
      <c r="W81" s="55" t="s">
        <v>208</v>
      </c>
      <c r="X81" s="229" t="s">
        <v>203</v>
      </c>
      <c r="Y81" s="54" t="s">
        <v>610</v>
      </c>
      <c r="Z81" s="55" t="s">
        <v>8</v>
      </c>
      <c r="AA81" s="55" t="s">
        <v>8</v>
      </c>
      <c r="AB81" s="55" t="s">
        <v>208</v>
      </c>
      <c r="AC81" s="33" t="s">
        <v>8</v>
      </c>
      <c r="AD81" s="89" t="s">
        <v>9</v>
      </c>
      <c r="AE81" s="188" t="s">
        <v>589</v>
      </c>
      <c r="AF81" s="191"/>
    </row>
    <row r="82" spans="1:33" s="75" customFormat="1" ht="15.75" outlineLevel="1" thickBot="1" x14ac:dyDescent="0.3">
      <c r="B82" s="150" t="s">
        <v>586</v>
      </c>
      <c r="C82" s="75" t="s">
        <v>586</v>
      </c>
      <c r="D82" s="75" t="s">
        <v>586</v>
      </c>
      <c r="E82" s="75" t="s">
        <v>586</v>
      </c>
      <c r="F82" s="276" t="s">
        <v>586</v>
      </c>
      <c r="G82" s="75" t="s">
        <v>586</v>
      </c>
      <c r="H82" s="75" t="s">
        <v>586</v>
      </c>
      <c r="I82" s="75" t="s">
        <v>586</v>
      </c>
      <c r="J82" s="75" t="s">
        <v>586</v>
      </c>
      <c r="K82" s="75" t="s">
        <v>586</v>
      </c>
      <c r="L82" s="75" t="s">
        <v>586</v>
      </c>
      <c r="M82" s="75" t="s">
        <v>586</v>
      </c>
      <c r="N82" s="75" t="s">
        <v>586</v>
      </c>
      <c r="O82" s="75" t="s">
        <v>586</v>
      </c>
      <c r="P82" s="75" t="s">
        <v>586</v>
      </c>
      <c r="Q82" s="75" t="s">
        <v>586</v>
      </c>
      <c r="R82" s="75" t="s">
        <v>586</v>
      </c>
      <c r="S82" s="75" t="s">
        <v>586</v>
      </c>
      <c r="T82" s="75" t="s">
        <v>586</v>
      </c>
      <c r="U82" s="75" t="s">
        <v>586</v>
      </c>
      <c r="V82" s="75" t="s">
        <v>586</v>
      </c>
      <c r="W82" s="75" t="s">
        <v>586</v>
      </c>
      <c r="X82" s="75" t="s">
        <v>586</v>
      </c>
      <c r="Y82" s="75" t="s">
        <v>586</v>
      </c>
      <c r="Z82" s="75" t="s">
        <v>586</v>
      </c>
      <c r="AA82" s="75" t="s">
        <v>586</v>
      </c>
      <c r="AB82" s="75" t="s">
        <v>586</v>
      </c>
      <c r="AC82" s="75" t="s">
        <v>586</v>
      </c>
      <c r="AD82" s="75" t="s">
        <v>586</v>
      </c>
      <c r="AE82" s="189"/>
      <c r="AF82" s="189"/>
    </row>
    <row r="83" spans="1:33" ht="100.15" customHeight="1" x14ac:dyDescent="0.25">
      <c r="A83" s="622" t="s">
        <v>191</v>
      </c>
      <c r="B83" s="155" t="s">
        <v>13</v>
      </c>
      <c r="C83" s="20" t="s">
        <v>14</v>
      </c>
      <c r="D83" s="20" t="s">
        <v>15</v>
      </c>
      <c r="E83" s="21" t="s">
        <v>16</v>
      </c>
      <c r="F83" s="295" t="s">
        <v>17</v>
      </c>
      <c r="G83" s="20" t="s">
        <v>70</v>
      </c>
      <c r="H83" s="20" t="s">
        <v>113</v>
      </c>
      <c r="I83" s="20" t="s">
        <v>72</v>
      </c>
      <c r="J83" s="20" t="s">
        <v>153</v>
      </c>
      <c r="K83" s="20" t="s">
        <v>154</v>
      </c>
      <c r="L83" s="20" t="s">
        <v>155</v>
      </c>
      <c r="M83" s="20" t="s">
        <v>156</v>
      </c>
      <c r="N83" s="20" t="s">
        <v>157</v>
      </c>
      <c r="O83" s="20" t="s">
        <v>158</v>
      </c>
      <c r="P83" s="20" t="s">
        <v>159</v>
      </c>
      <c r="Q83" s="20" t="s">
        <v>160</v>
      </c>
      <c r="R83" s="20" t="s">
        <v>161</v>
      </c>
      <c r="S83" s="20" t="s">
        <v>162</v>
      </c>
      <c r="T83" s="20" t="s">
        <v>163</v>
      </c>
      <c r="U83" s="20" t="s">
        <v>164</v>
      </c>
      <c r="V83" s="20" t="s">
        <v>165</v>
      </c>
      <c r="W83" s="20" t="s">
        <v>166</v>
      </c>
      <c r="X83" s="20" t="s">
        <v>167</v>
      </c>
      <c r="Y83" s="20" t="s">
        <v>168</v>
      </c>
      <c r="Z83" s="20" t="s">
        <v>169</v>
      </c>
      <c r="AA83" s="20" t="s">
        <v>170</v>
      </c>
      <c r="AB83" s="20" t="s">
        <v>171</v>
      </c>
      <c r="AC83" s="20" t="s">
        <v>172</v>
      </c>
      <c r="AD83" s="22" t="s">
        <v>114</v>
      </c>
      <c r="AE83" s="189"/>
      <c r="AF83" s="189"/>
    </row>
    <row r="84" spans="1:33" ht="19.899999999999999" customHeight="1" x14ac:dyDescent="0.25">
      <c r="A84" s="615"/>
      <c r="B84" s="156">
        <v>1</v>
      </c>
      <c r="C84" s="90" t="s">
        <v>47</v>
      </c>
      <c r="D84" s="16">
        <v>11</v>
      </c>
      <c r="E84" s="91" t="s">
        <v>48</v>
      </c>
      <c r="F84" s="296" t="s">
        <v>49</v>
      </c>
      <c r="G84" s="92" t="s">
        <v>50</v>
      </c>
      <c r="H84" s="92">
        <v>36</v>
      </c>
      <c r="I84" s="92" t="s">
        <v>94</v>
      </c>
      <c r="J84" s="92" t="s">
        <v>173</v>
      </c>
      <c r="K84" s="92" t="s">
        <v>174</v>
      </c>
      <c r="L84" s="92" t="s">
        <v>175</v>
      </c>
      <c r="M84" s="92" t="s">
        <v>176</v>
      </c>
      <c r="N84" s="92" t="s">
        <v>177</v>
      </c>
      <c r="O84" s="92" t="s">
        <v>178</v>
      </c>
      <c r="P84" s="92" t="s">
        <v>179</v>
      </c>
      <c r="Q84" s="92" t="s">
        <v>180</v>
      </c>
      <c r="R84" s="92" t="s">
        <v>181</v>
      </c>
      <c r="S84" s="92" t="s">
        <v>939</v>
      </c>
      <c r="T84" s="92" t="s">
        <v>182</v>
      </c>
      <c r="U84" s="92">
        <v>100</v>
      </c>
      <c r="V84" s="92" t="s">
        <v>183</v>
      </c>
      <c r="W84" s="92" t="s">
        <v>184</v>
      </c>
      <c r="X84" s="92" t="s">
        <v>185</v>
      </c>
      <c r="Y84" s="92" t="s">
        <v>186</v>
      </c>
      <c r="Z84" s="92">
        <v>117</v>
      </c>
      <c r="AA84" s="92">
        <v>118</v>
      </c>
      <c r="AB84" s="92" t="s">
        <v>187</v>
      </c>
      <c r="AC84" s="92">
        <v>125</v>
      </c>
      <c r="AD84" s="93" t="s">
        <v>188</v>
      </c>
      <c r="AE84" s="189"/>
      <c r="AF84" s="189"/>
    </row>
    <row r="85" spans="1:33" ht="30" customHeight="1" outlineLevel="1" x14ac:dyDescent="0.25">
      <c r="A85" s="615"/>
      <c r="B85" s="156">
        <v>1</v>
      </c>
      <c r="C85" s="16">
        <v>9</v>
      </c>
      <c r="D85" s="16">
        <v>1</v>
      </c>
      <c r="E85" s="94">
        <v>13</v>
      </c>
      <c r="F85" s="297">
        <v>2</v>
      </c>
      <c r="G85" s="16">
        <v>9</v>
      </c>
      <c r="H85" s="16">
        <v>1</v>
      </c>
      <c r="I85" s="16">
        <v>2</v>
      </c>
      <c r="J85" s="16">
        <v>6</v>
      </c>
      <c r="K85" s="16">
        <v>4</v>
      </c>
      <c r="L85" s="16">
        <v>5</v>
      </c>
      <c r="M85" s="16">
        <v>9</v>
      </c>
      <c r="N85" s="16">
        <v>8</v>
      </c>
      <c r="O85" s="16">
        <v>3</v>
      </c>
      <c r="P85" s="16">
        <v>8</v>
      </c>
      <c r="Q85" s="16">
        <v>3</v>
      </c>
      <c r="R85" s="16">
        <v>6</v>
      </c>
      <c r="S85" s="16">
        <v>4</v>
      </c>
      <c r="T85" s="16">
        <v>5</v>
      </c>
      <c r="U85" s="16">
        <v>1</v>
      </c>
      <c r="V85" s="16">
        <v>2</v>
      </c>
      <c r="W85" s="16">
        <v>6</v>
      </c>
      <c r="X85" s="16">
        <v>4</v>
      </c>
      <c r="Y85" s="16">
        <v>4</v>
      </c>
      <c r="Z85" s="16">
        <v>1</v>
      </c>
      <c r="AA85" s="16">
        <v>1</v>
      </c>
      <c r="AB85" s="16">
        <v>6</v>
      </c>
      <c r="AC85" s="16">
        <v>1</v>
      </c>
      <c r="AD85" s="23">
        <v>3</v>
      </c>
      <c r="AE85" s="189"/>
      <c r="AF85" s="189"/>
    </row>
    <row r="86" spans="1:33" ht="30" customHeight="1" outlineLevel="1" x14ac:dyDescent="0.25">
      <c r="A86" s="615"/>
      <c r="B86" s="156" t="s">
        <v>1</v>
      </c>
      <c r="C86" s="16" t="s">
        <v>1</v>
      </c>
      <c r="D86" s="16" t="s">
        <v>69</v>
      </c>
      <c r="E86" s="94" t="s">
        <v>69</v>
      </c>
      <c r="F86" s="297" t="s">
        <v>1</v>
      </c>
      <c r="G86" s="16" t="s">
        <v>1</v>
      </c>
      <c r="H86" s="16" t="s">
        <v>69</v>
      </c>
      <c r="I86" s="16" t="s">
        <v>1</v>
      </c>
      <c r="J86" s="16" t="s">
        <v>1</v>
      </c>
      <c r="K86" s="16" t="s">
        <v>1</v>
      </c>
      <c r="L86" s="16" t="s">
        <v>1</v>
      </c>
      <c r="M86" s="143" t="s">
        <v>69</v>
      </c>
      <c r="N86" s="16" t="s">
        <v>69</v>
      </c>
      <c r="O86" s="16" t="s">
        <v>69</v>
      </c>
      <c r="P86" s="16" t="s">
        <v>69</v>
      </c>
      <c r="Q86" s="16" t="s">
        <v>69</v>
      </c>
      <c r="R86" s="16" t="s">
        <v>1</v>
      </c>
      <c r="S86" s="16" t="s">
        <v>1</v>
      </c>
      <c r="T86" s="16" t="s">
        <v>1</v>
      </c>
      <c r="U86" s="16" t="s">
        <v>1</v>
      </c>
      <c r="V86" s="16" t="s">
        <v>1</v>
      </c>
      <c r="W86" s="16" t="s">
        <v>1</v>
      </c>
      <c r="X86" s="16" t="s">
        <v>1</v>
      </c>
      <c r="Y86" s="16" t="s">
        <v>1</v>
      </c>
      <c r="Z86" s="16" t="s">
        <v>69</v>
      </c>
      <c r="AA86" s="16" t="s">
        <v>69</v>
      </c>
      <c r="AB86" s="16" t="s">
        <v>1</v>
      </c>
      <c r="AC86" s="16" t="s">
        <v>69</v>
      </c>
      <c r="AD86" s="227" t="s">
        <v>69</v>
      </c>
      <c r="AE86" s="189"/>
      <c r="AF86" s="189"/>
    </row>
    <row r="87" spans="1:33" ht="30" customHeight="1" outlineLevel="1" x14ac:dyDescent="0.25">
      <c r="A87" s="615"/>
      <c r="B87" s="156" t="s">
        <v>0</v>
      </c>
      <c r="C87" s="16" t="s">
        <v>0</v>
      </c>
      <c r="D87" s="16" t="s">
        <v>4</v>
      </c>
      <c r="E87" s="94" t="s">
        <v>0</v>
      </c>
      <c r="F87" s="297" t="s">
        <v>0</v>
      </c>
      <c r="G87" s="16" t="s">
        <v>0</v>
      </c>
      <c r="H87" s="16" t="s">
        <v>0</v>
      </c>
      <c r="I87" s="16" t="s">
        <v>0</v>
      </c>
      <c r="J87" s="16" t="s">
        <v>0</v>
      </c>
      <c r="K87" s="16" t="s">
        <v>189</v>
      </c>
      <c r="L87" s="16" t="s">
        <v>0</v>
      </c>
      <c r="M87" s="16" t="s">
        <v>0</v>
      </c>
      <c r="N87" s="16" t="s">
        <v>0</v>
      </c>
      <c r="O87" s="16" t="s">
        <v>0</v>
      </c>
      <c r="P87" s="16" t="s">
        <v>4</v>
      </c>
      <c r="Q87" s="16" t="s">
        <v>4</v>
      </c>
      <c r="R87" s="16" t="s">
        <v>0</v>
      </c>
      <c r="S87" s="16" t="s">
        <v>0</v>
      </c>
      <c r="T87" s="16" t="s">
        <v>0</v>
      </c>
      <c r="U87" s="16" t="s">
        <v>0</v>
      </c>
      <c r="V87" s="16" t="s">
        <v>4</v>
      </c>
      <c r="W87" s="16" t="s">
        <v>4</v>
      </c>
      <c r="X87" s="16" t="s">
        <v>4</v>
      </c>
      <c r="Y87" s="16" t="s">
        <v>0</v>
      </c>
      <c r="Z87" s="16" t="s">
        <v>4</v>
      </c>
      <c r="AA87" s="16" t="s">
        <v>4</v>
      </c>
      <c r="AB87" s="16" t="s">
        <v>4</v>
      </c>
      <c r="AC87" s="16" t="s">
        <v>4</v>
      </c>
      <c r="AD87" s="23" t="s">
        <v>4</v>
      </c>
      <c r="AE87" s="189"/>
      <c r="AF87" s="189"/>
    </row>
    <row r="88" spans="1:33" s="76" customFormat="1" ht="30" customHeight="1" thickBot="1" x14ac:dyDescent="0.3">
      <c r="A88" s="616"/>
      <c r="B88" s="149" t="s">
        <v>10</v>
      </c>
      <c r="C88" s="54" t="s">
        <v>544</v>
      </c>
      <c r="D88" s="55" t="s">
        <v>8</v>
      </c>
      <c r="E88" s="54" t="s">
        <v>198</v>
      </c>
      <c r="F88" s="288">
        <v>77</v>
      </c>
      <c r="G88" s="54">
        <v>250000001</v>
      </c>
      <c r="H88" s="55" t="s">
        <v>11</v>
      </c>
      <c r="I88" s="33" t="s">
        <v>207</v>
      </c>
      <c r="J88" s="54" t="s">
        <v>762</v>
      </c>
      <c r="K88" s="54" t="s">
        <v>661</v>
      </c>
      <c r="L88" s="54" t="s">
        <v>214</v>
      </c>
      <c r="M88" s="54" t="s">
        <v>543</v>
      </c>
      <c r="N88" s="54" t="s">
        <v>490</v>
      </c>
      <c r="O88" s="54" t="s">
        <v>266</v>
      </c>
      <c r="P88" s="54" t="s">
        <v>211</v>
      </c>
      <c r="Q88" s="54" t="s">
        <v>9</v>
      </c>
      <c r="R88" s="54" t="s">
        <v>762</v>
      </c>
      <c r="S88" s="54" t="s">
        <v>763</v>
      </c>
      <c r="T88" s="54" t="s">
        <v>263</v>
      </c>
      <c r="U88" s="54">
        <v>1</v>
      </c>
      <c r="V88" s="55" t="s">
        <v>5</v>
      </c>
      <c r="W88" s="55" t="s">
        <v>208</v>
      </c>
      <c r="X88" s="229" t="s">
        <v>203</v>
      </c>
      <c r="Y88" s="54" t="s">
        <v>610</v>
      </c>
      <c r="Z88" s="55" t="s">
        <v>8</v>
      </c>
      <c r="AA88" s="55" t="s">
        <v>8</v>
      </c>
      <c r="AB88" s="55" t="s">
        <v>208</v>
      </c>
      <c r="AC88" s="33" t="s">
        <v>8</v>
      </c>
      <c r="AD88" s="89" t="s">
        <v>9</v>
      </c>
      <c r="AE88" s="188" t="s">
        <v>589</v>
      </c>
      <c r="AF88" s="191"/>
    </row>
    <row r="89" spans="1:33" s="75" customFormat="1" ht="15.75" outlineLevel="1" thickBot="1" x14ac:dyDescent="0.3">
      <c r="B89" s="150" t="s">
        <v>586</v>
      </c>
      <c r="C89" s="75" t="s">
        <v>586</v>
      </c>
      <c r="D89" s="75" t="s">
        <v>586</v>
      </c>
      <c r="E89" s="75" t="s">
        <v>586</v>
      </c>
      <c r="F89" s="276" t="s">
        <v>586</v>
      </c>
      <c r="G89" s="75" t="s">
        <v>586</v>
      </c>
      <c r="H89" s="75" t="s">
        <v>586</v>
      </c>
      <c r="I89" s="75" t="s">
        <v>586</v>
      </c>
      <c r="J89" s="75" t="s">
        <v>586</v>
      </c>
      <c r="K89" s="75" t="s">
        <v>586</v>
      </c>
      <c r="L89" s="75" t="s">
        <v>586</v>
      </c>
      <c r="M89" s="75" t="s">
        <v>586</v>
      </c>
      <c r="N89" s="75" t="s">
        <v>586</v>
      </c>
      <c r="O89" s="75" t="s">
        <v>586</v>
      </c>
      <c r="P89" s="75" t="s">
        <v>586</v>
      </c>
      <c r="Q89" s="75" t="s">
        <v>586</v>
      </c>
      <c r="R89" s="75" t="s">
        <v>586</v>
      </c>
      <c r="S89" s="75" t="s">
        <v>586</v>
      </c>
      <c r="T89" s="75" t="s">
        <v>586</v>
      </c>
      <c r="U89" s="75" t="s">
        <v>586</v>
      </c>
      <c r="V89" s="75" t="s">
        <v>586</v>
      </c>
      <c r="W89" s="75" t="s">
        <v>586</v>
      </c>
      <c r="X89" s="75" t="s">
        <v>586</v>
      </c>
      <c r="Y89" s="75" t="s">
        <v>586</v>
      </c>
      <c r="Z89" s="75" t="s">
        <v>586</v>
      </c>
      <c r="AA89" s="75" t="s">
        <v>586</v>
      </c>
      <c r="AB89" s="75" t="s">
        <v>586</v>
      </c>
      <c r="AC89" s="75" t="s">
        <v>586</v>
      </c>
      <c r="AD89" s="75" t="s">
        <v>586</v>
      </c>
      <c r="AE89" s="189"/>
      <c r="AF89" s="189"/>
    </row>
    <row r="90" spans="1:33" ht="100.15" customHeight="1" x14ac:dyDescent="0.25">
      <c r="A90" s="620" t="s">
        <v>914</v>
      </c>
      <c r="B90" s="151" t="s">
        <v>13</v>
      </c>
      <c r="C90" s="40" t="s">
        <v>14</v>
      </c>
      <c r="D90" s="40" t="s">
        <v>15</v>
      </c>
      <c r="E90" s="41" t="s">
        <v>16</v>
      </c>
      <c r="F90" s="289" t="s">
        <v>17</v>
      </c>
      <c r="G90" s="40" t="s">
        <v>70</v>
      </c>
      <c r="H90" s="40" t="s">
        <v>71</v>
      </c>
      <c r="I90" s="40" t="s">
        <v>72</v>
      </c>
      <c r="J90" s="40" t="s">
        <v>2</v>
      </c>
      <c r="K90" s="40" t="s">
        <v>73</v>
      </c>
      <c r="L90" s="42" t="s">
        <v>74</v>
      </c>
      <c r="M90" s="42" t="s">
        <v>75</v>
      </c>
      <c r="N90" s="40" t="s">
        <v>76</v>
      </c>
      <c r="O90" s="40" t="s">
        <v>77</v>
      </c>
      <c r="P90" s="40" t="s">
        <v>78</v>
      </c>
      <c r="Q90" s="40" t="s">
        <v>79</v>
      </c>
      <c r="R90" s="40" t="s">
        <v>80</v>
      </c>
      <c r="S90" s="40" t="s">
        <v>81</v>
      </c>
      <c r="T90" s="40" t="s">
        <v>82</v>
      </c>
      <c r="U90" s="40" t="s">
        <v>83</v>
      </c>
      <c r="V90" s="40" t="s">
        <v>84</v>
      </c>
      <c r="W90" s="40" t="s">
        <v>3</v>
      </c>
      <c r="X90" s="40" t="s">
        <v>85</v>
      </c>
      <c r="Y90" s="40" t="s">
        <v>86</v>
      </c>
      <c r="Z90" s="40" t="s">
        <v>87</v>
      </c>
      <c r="AA90" s="40" t="s">
        <v>88</v>
      </c>
      <c r="AB90" s="40" t="s">
        <v>89</v>
      </c>
      <c r="AC90" s="40" t="s">
        <v>90</v>
      </c>
      <c r="AD90" s="40" t="s">
        <v>91</v>
      </c>
      <c r="AE90" s="40" t="s">
        <v>92</v>
      </c>
      <c r="AF90" s="43" t="s">
        <v>93</v>
      </c>
    </row>
    <row r="91" spans="1:33" ht="19.899999999999999" customHeight="1" x14ac:dyDescent="0.25">
      <c r="A91" s="615"/>
      <c r="B91" s="152">
        <v>1</v>
      </c>
      <c r="C91" s="44" t="s">
        <v>47</v>
      </c>
      <c r="D91" s="45">
        <v>11</v>
      </c>
      <c r="E91" s="46" t="s">
        <v>48</v>
      </c>
      <c r="F91" s="290" t="s">
        <v>49</v>
      </c>
      <c r="G91" s="47" t="s">
        <v>50</v>
      </c>
      <c r="H91" s="47">
        <v>36</v>
      </c>
      <c r="I91" s="47" t="s">
        <v>94</v>
      </c>
      <c r="J91" s="47" t="s">
        <v>95</v>
      </c>
      <c r="K91" s="47" t="s">
        <v>96</v>
      </c>
      <c r="L91" s="48" t="s">
        <v>97</v>
      </c>
      <c r="M91" s="48" t="s">
        <v>98</v>
      </c>
      <c r="N91" s="47" t="s">
        <v>99</v>
      </c>
      <c r="O91" s="47">
        <v>53</v>
      </c>
      <c r="P91" s="47">
        <v>54</v>
      </c>
      <c r="Q91" s="47" t="s">
        <v>913</v>
      </c>
      <c r="R91" s="47" t="s">
        <v>100</v>
      </c>
      <c r="S91" s="47" t="s">
        <v>101</v>
      </c>
      <c r="T91" s="47" t="s">
        <v>57</v>
      </c>
      <c r="U91" s="47" t="s">
        <v>102</v>
      </c>
      <c r="V91" s="47" t="s">
        <v>103</v>
      </c>
      <c r="W91" s="47" t="s">
        <v>104</v>
      </c>
      <c r="X91" s="47" t="s">
        <v>105</v>
      </c>
      <c r="Y91" s="47" t="s">
        <v>106</v>
      </c>
      <c r="Z91" s="47" t="s">
        <v>107</v>
      </c>
      <c r="AA91" s="47" t="s">
        <v>108</v>
      </c>
      <c r="AB91" s="45" t="s">
        <v>109</v>
      </c>
      <c r="AC91" s="47" t="s">
        <v>110</v>
      </c>
      <c r="AD91" s="45">
        <v>120</v>
      </c>
      <c r="AE91" s="45">
        <v>121</v>
      </c>
      <c r="AF91" s="49" t="s">
        <v>111</v>
      </c>
    </row>
    <row r="92" spans="1:33" ht="30" customHeight="1" outlineLevel="1" x14ac:dyDescent="0.25">
      <c r="A92" s="615"/>
      <c r="B92" s="152">
        <v>1</v>
      </c>
      <c r="C92" s="45">
        <v>9</v>
      </c>
      <c r="D92" s="45">
        <v>1</v>
      </c>
      <c r="E92" s="50">
        <v>13</v>
      </c>
      <c r="F92" s="291">
        <v>2</v>
      </c>
      <c r="G92" s="45">
        <v>9</v>
      </c>
      <c r="H92" s="45">
        <v>1</v>
      </c>
      <c r="I92" s="45">
        <v>2</v>
      </c>
      <c r="J92" s="45">
        <v>2</v>
      </c>
      <c r="K92" s="45">
        <v>3</v>
      </c>
      <c r="L92" s="51">
        <v>6</v>
      </c>
      <c r="M92" s="51">
        <v>1</v>
      </c>
      <c r="N92" s="45">
        <v>2</v>
      </c>
      <c r="O92" s="45">
        <v>1</v>
      </c>
      <c r="P92" s="45">
        <v>1</v>
      </c>
      <c r="Q92" s="45">
        <v>9</v>
      </c>
      <c r="R92" s="45">
        <v>2</v>
      </c>
      <c r="S92" s="45">
        <v>2</v>
      </c>
      <c r="T92" s="45">
        <v>6</v>
      </c>
      <c r="U92" s="45">
        <v>5</v>
      </c>
      <c r="V92" s="45">
        <v>2</v>
      </c>
      <c r="W92" s="45">
        <v>6</v>
      </c>
      <c r="X92" s="45">
        <v>2</v>
      </c>
      <c r="Y92" s="45">
        <v>7</v>
      </c>
      <c r="Z92" s="45">
        <v>7</v>
      </c>
      <c r="AA92" s="45">
        <v>3</v>
      </c>
      <c r="AB92" s="45">
        <v>7</v>
      </c>
      <c r="AC92" s="45">
        <v>7</v>
      </c>
      <c r="AD92" s="45">
        <v>1</v>
      </c>
      <c r="AE92" s="45">
        <v>1</v>
      </c>
      <c r="AF92" s="49">
        <v>7</v>
      </c>
    </row>
    <row r="93" spans="1:33" ht="30" customHeight="1" outlineLevel="1" x14ac:dyDescent="0.25">
      <c r="A93" s="615"/>
      <c r="B93" s="152" t="s">
        <v>1</v>
      </c>
      <c r="C93" s="45" t="s">
        <v>1</v>
      </c>
      <c r="D93" s="45" t="s">
        <v>69</v>
      </c>
      <c r="E93" s="50" t="s">
        <v>69</v>
      </c>
      <c r="F93" s="291" t="s">
        <v>1</v>
      </c>
      <c r="G93" s="45" t="s">
        <v>1</v>
      </c>
      <c r="H93" s="45" t="s">
        <v>69</v>
      </c>
      <c r="I93" s="45" t="s">
        <v>1</v>
      </c>
      <c r="J93" s="45" t="s">
        <v>1</v>
      </c>
      <c r="K93" s="45" t="s">
        <v>1</v>
      </c>
      <c r="L93" s="52" t="s">
        <v>1</v>
      </c>
      <c r="M93" s="52" t="s">
        <v>1</v>
      </c>
      <c r="N93" s="45" t="s">
        <v>69</v>
      </c>
      <c r="O93" s="45" t="s">
        <v>69</v>
      </c>
      <c r="P93" s="53" t="s">
        <v>69</v>
      </c>
      <c r="Q93" s="45" t="s">
        <v>1</v>
      </c>
      <c r="R93" s="45" t="s">
        <v>1</v>
      </c>
      <c r="S93" s="45" t="s">
        <v>1</v>
      </c>
      <c r="T93" s="45" t="s">
        <v>1</v>
      </c>
      <c r="U93" s="45" t="s">
        <v>69</v>
      </c>
      <c r="V93" s="45" t="s">
        <v>1</v>
      </c>
      <c r="W93" s="45" t="s">
        <v>1</v>
      </c>
      <c r="X93" s="45" t="s">
        <v>1</v>
      </c>
      <c r="Y93" s="45" t="s">
        <v>1</v>
      </c>
      <c r="Z93" s="45" t="s">
        <v>1</v>
      </c>
      <c r="AA93" s="45" t="s">
        <v>1</v>
      </c>
      <c r="AB93" s="45" t="s">
        <v>1</v>
      </c>
      <c r="AC93" s="45" t="s">
        <v>1</v>
      </c>
      <c r="AD93" s="45" t="s">
        <v>69</v>
      </c>
      <c r="AE93" s="45" t="s">
        <v>1</v>
      </c>
      <c r="AF93" s="49" t="s">
        <v>1</v>
      </c>
      <c r="AG93" s="2"/>
    </row>
    <row r="94" spans="1:33" ht="30" customHeight="1" outlineLevel="1" x14ac:dyDescent="0.25">
      <c r="A94" s="615"/>
      <c r="B94" s="152" t="s">
        <v>0</v>
      </c>
      <c r="C94" s="45" t="s">
        <v>0</v>
      </c>
      <c r="D94" s="45" t="s">
        <v>4</v>
      </c>
      <c r="E94" s="50" t="s">
        <v>0</v>
      </c>
      <c r="F94" s="291" t="s">
        <v>0</v>
      </c>
      <c r="G94" s="45" t="s">
        <v>0</v>
      </c>
      <c r="H94" s="45" t="s">
        <v>4</v>
      </c>
      <c r="I94" s="45" t="s">
        <v>4</v>
      </c>
      <c r="J94" s="45" t="s">
        <v>4</v>
      </c>
      <c r="K94" s="45" t="s">
        <v>4</v>
      </c>
      <c r="L94" s="52" t="s">
        <v>4</v>
      </c>
      <c r="M94" s="52" t="s">
        <v>0</v>
      </c>
      <c r="N94" s="45" t="s">
        <v>4</v>
      </c>
      <c r="O94" s="45" t="s">
        <v>4</v>
      </c>
      <c r="P94" s="45" t="s">
        <v>4</v>
      </c>
      <c r="Q94" s="45" t="s">
        <v>4</v>
      </c>
      <c r="R94" s="45" t="s">
        <v>4</v>
      </c>
      <c r="S94" s="45" t="s">
        <v>112</v>
      </c>
      <c r="T94" s="45" t="s">
        <v>0</v>
      </c>
      <c r="U94" s="45" t="s">
        <v>0</v>
      </c>
      <c r="V94" s="45" t="s">
        <v>0</v>
      </c>
      <c r="W94" s="45" t="s">
        <v>0</v>
      </c>
      <c r="X94" s="45" t="s">
        <v>0</v>
      </c>
      <c r="Y94" s="45" t="s">
        <v>0</v>
      </c>
      <c r="Z94" s="45" t="s">
        <v>0</v>
      </c>
      <c r="AA94" s="45" t="s">
        <v>0</v>
      </c>
      <c r="AB94" s="45" t="s">
        <v>0</v>
      </c>
      <c r="AC94" s="45" t="s">
        <v>0</v>
      </c>
      <c r="AD94" s="45" t="s">
        <v>4</v>
      </c>
      <c r="AE94" s="45" t="s">
        <v>4</v>
      </c>
      <c r="AF94" s="49" t="s">
        <v>4</v>
      </c>
    </row>
    <row r="95" spans="1:33" s="76" customFormat="1" ht="30" customHeight="1" thickBot="1" x14ac:dyDescent="0.3">
      <c r="A95" s="616"/>
      <c r="B95" s="149" t="s">
        <v>10</v>
      </c>
      <c r="C95" s="54" t="s">
        <v>544</v>
      </c>
      <c r="D95" s="55" t="s">
        <v>8</v>
      </c>
      <c r="E95" s="54" t="s">
        <v>198</v>
      </c>
      <c r="F95" s="288">
        <v>77</v>
      </c>
      <c r="G95" s="54">
        <v>250000001</v>
      </c>
      <c r="H95" s="193" t="s">
        <v>8</v>
      </c>
      <c r="I95" s="193" t="s">
        <v>5</v>
      </c>
      <c r="J95" s="55" t="s">
        <v>5</v>
      </c>
      <c r="K95" s="55" t="s">
        <v>6</v>
      </c>
      <c r="L95" s="55" t="s">
        <v>208</v>
      </c>
      <c r="M95" s="193" t="s">
        <v>397</v>
      </c>
      <c r="N95" s="55" t="s">
        <v>210</v>
      </c>
      <c r="O95" s="55" t="s">
        <v>8</v>
      </c>
      <c r="P95" s="55" t="s">
        <v>8</v>
      </c>
      <c r="Q95" s="54" t="s">
        <v>544</v>
      </c>
      <c r="R95" s="55" t="s">
        <v>5</v>
      </c>
      <c r="S95" s="55" t="s">
        <v>5</v>
      </c>
      <c r="T95" s="55" t="s">
        <v>756</v>
      </c>
      <c r="U95" s="228" t="s">
        <v>395</v>
      </c>
      <c r="V95" s="95" t="s">
        <v>202</v>
      </c>
      <c r="W95" s="54" t="s">
        <v>590</v>
      </c>
      <c r="X95" s="33" t="s">
        <v>207</v>
      </c>
      <c r="Y95" s="96" t="s">
        <v>768</v>
      </c>
      <c r="Z95" s="96" t="s">
        <v>768</v>
      </c>
      <c r="AA95" s="97" t="s">
        <v>766</v>
      </c>
      <c r="AB95" s="96" t="s">
        <v>768</v>
      </c>
      <c r="AC95" s="96" t="s">
        <v>768</v>
      </c>
      <c r="AD95" s="55" t="s">
        <v>8</v>
      </c>
      <c r="AE95" s="193" t="s">
        <v>200</v>
      </c>
      <c r="AF95" s="82" t="s">
        <v>212</v>
      </c>
      <c r="AG95" s="188" t="s">
        <v>589</v>
      </c>
    </row>
    <row r="96" spans="1:33" s="75" customFormat="1" ht="15.75" thickBot="1" x14ac:dyDescent="0.3">
      <c r="B96" s="150" t="s">
        <v>586</v>
      </c>
      <c r="C96" s="75" t="s">
        <v>586</v>
      </c>
      <c r="D96" s="75" t="s">
        <v>586</v>
      </c>
      <c r="E96" s="75" t="s">
        <v>586</v>
      </c>
      <c r="F96" s="276" t="s">
        <v>586</v>
      </c>
      <c r="G96" s="75" t="s">
        <v>586</v>
      </c>
      <c r="H96" s="75" t="s">
        <v>586</v>
      </c>
      <c r="I96" s="75" t="s">
        <v>586</v>
      </c>
      <c r="J96" s="75" t="s">
        <v>586</v>
      </c>
      <c r="K96" s="75" t="s">
        <v>586</v>
      </c>
      <c r="L96" s="75" t="s">
        <v>586</v>
      </c>
      <c r="M96" s="75" t="s">
        <v>586</v>
      </c>
      <c r="N96" s="75" t="s">
        <v>586</v>
      </c>
      <c r="O96" s="75" t="s">
        <v>586</v>
      </c>
      <c r="P96" s="75" t="s">
        <v>586</v>
      </c>
      <c r="Q96" s="75" t="s">
        <v>586</v>
      </c>
      <c r="R96" s="75" t="s">
        <v>586</v>
      </c>
      <c r="S96" s="75" t="s">
        <v>586</v>
      </c>
      <c r="T96" s="75" t="s">
        <v>586</v>
      </c>
      <c r="U96" s="75" t="s">
        <v>586</v>
      </c>
      <c r="V96" s="75" t="s">
        <v>586</v>
      </c>
      <c r="W96" s="75" t="s">
        <v>586</v>
      </c>
      <c r="X96" s="75" t="s">
        <v>586</v>
      </c>
      <c r="Y96" s="75" t="s">
        <v>586</v>
      </c>
      <c r="Z96" s="75" t="s">
        <v>586</v>
      </c>
      <c r="AA96" s="75" t="s">
        <v>586</v>
      </c>
      <c r="AB96" s="75" t="s">
        <v>586</v>
      </c>
      <c r="AC96" s="75" t="s">
        <v>586</v>
      </c>
      <c r="AD96" s="75" t="s">
        <v>586</v>
      </c>
      <c r="AE96" s="75" t="s">
        <v>586</v>
      </c>
      <c r="AF96" s="75" t="s">
        <v>586</v>
      </c>
    </row>
    <row r="97" spans="1:35" ht="100.15" customHeight="1" x14ac:dyDescent="0.25">
      <c r="A97" s="620" t="s">
        <v>915</v>
      </c>
      <c r="B97" s="151" t="s">
        <v>13</v>
      </c>
      <c r="C97" s="40" t="s">
        <v>14</v>
      </c>
      <c r="D97" s="40" t="s">
        <v>15</v>
      </c>
      <c r="E97" s="41" t="s">
        <v>16</v>
      </c>
      <c r="F97" s="289" t="s">
        <v>17</v>
      </c>
      <c r="G97" s="40" t="s">
        <v>70</v>
      </c>
      <c r="H97" s="40" t="s">
        <v>71</v>
      </c>
      <c r="I97" s="40" t="s">
        <v>72</v>
      </c>
      <c r="J97" s="40" t="s">
        <v>2</v>
      </c>
      <c r="K97" s="40" t="s">
        <v>73</v>
      </c>
      <c r="L97" s="42" t="s">
        <v>74</v>
      </c>
      <c r="M97" s="42" t="s">
        <v>75</v>
      </c>
      <c r="N97" s="40" t="s">
        <v>76</v>
      </c>
      <c r="O97" s="40" t="s">
        <v>77</v>
      </c>
      <c r="P97" s="40" t="s">
        <v>78</v>
      </c>
      <c r="Q97" s="40" t="s">
        <v>79</v>
      </c>
      <c r="R97" s="40" t="s">
        <v>80</v>
      </c>
      <c r="S97" s="40" t="s">
        <v>81</v>
      </c>
      <c r="T97" s="40" t="s">
        <v>82</v>
      </c>
      <c r="U97" s="40" t="s">
        <v>83</v>
      </c>
      <c r="V97" s="40" t="s">
        <v>84</v>
      </c>
      <c r="W97" s="40" t="s">
        <v>3</v>
      </c>
      <c r="X97" s="40" t="s">
        <v>85</v>
      </c>
      <c r="Y97" s="40" t="s">
        <v>86</v>
      </c>
      <c r="Z97" s="40" t="s">
        <v>87</v>
      </c>
      <c r="AA97" s="40" t="s">
        <v>88</v>
      </c>
      <c r="AB97" s="40" t="s">
        <v>89</v>
      </c>
      <c r="AC97" s="40" t="s">
        <v>90</v>
      </c>
      <c r="AD97" s="40" t="s">
        <v>91</v>
      </c>
      <c r="AE97" s="40" t="s">
        <v>92</v>
      </c>
      <c r="AF97" s="43" t="s">
        <v>93</v>
      </c>
    </row>
    <row r="98" spans="1:35" ht="19.899999999999999" customHeight="1" x14ac:dyDescent="0.25">
      <c r="A98" s="615"/>
      <c r="B98" s="152">
        <v>1</v>
      </c>
      <c r="C98" s="44" t="s">
        <v>47</v>
      </c>
      <c r="D98" s="45">
        <v>11</v>
      </c>
      <c r="E98" s="46" t="s">
        <v>48</v>
      </c>
      <c r="F98" s="290" t="s">
        <v>49</v>
      </c>
      <c r="G98" s="47" t="s">
        <v>50</v>
      </c>
      <c r="H98" s="47">
        <v>36</v>
      </c>
      <c r="I98" s="47" t="s">
        <v>94</v>
      </c>
      <c r="J98" s="47" t="s">
        <v>95</v>
      </c>
      <c r="K98" s="47" t="s">
        <v>96</v>
      </c>
      <c r="L98" s="48" t="s">
        <v>97</v>
      </c>
      <c r="M98" s="48" t="s">
        <v>98</v>
      </c>
      <c r="N98" s="47" t="s">
        <v>99</v>
      </c>
      <c r="O98" s="47">
        <v>53</v>
      </c>
      <c r="P98" s="47">
        <v>54</v>
      </c>
      <c r="Q98" s="47" t="s">
        <v>913</v>
      </c>
      <c r="R98" s="47" t="s">
        <v>100</v>
      </c>
      <c r="S98" s="47" t="s">
        <v>101</v>
      </c>
      <c r="T98" s="47" t="s">
        <v>57</v>
      </c>
      <c r="U98" s="47" t="s">
        <v>102</v>
      </c>
      <c r="V98" s="47" t="s">
        <v>103</v>
      </c>
      <c r="W98" s="47" t="s">
        <v>104</v>
      </c>
      <c r="X98" s="47" t="s">
        <v>105</v>
      </c>
      <c r="Y98" s="47" t="s">
        <v>106</v>
      </c>
      <c r="Z98" s="47" t="s">
        <v>107</v>
      </c>
      <c r="AA98" s="47" t="s">
        <v>108</v>
      </c>
      <c r="AB98" s="45" t="s">
        <v>109</v>
      </c>
      <c r="AC98" s="47" t="s">
        <v>110</v>
      </c>
      <c r="AD98" s="45">
        <v>120</v>
      </c>
      <c r="AE98" s="45">
        <v>121</v>
      </c>
      <c r="AF98" s="49" t="s">
        <v>111</v>
      </c>
    </row>
    <row r="99" spans="1:35" outlineLevel="1" x14ac:dyDescent="0.25">
      <c r="A99" s="615"/>
      <c r="B99" s="152">
        <v>1</v>
      </c>
      <c r="C99" s="45">
        <v>9</v>
      </c>
      <c r="D99" s="45">
        <v>1</v>
      </c>
      <c r="E99" s="50">
        <v>13</v>
      </c>
      <c r="F99" s="291">
        <v>2</v>
      </c>
      <c r="G99" s="45">
        <v>9</v>
      </c>
      <c r="H99" s="45">
        <v>1</v>
      </c>
      <c r="I99" s="45">
        <v>2</v>
      </c>
      <c r="J99" s="45">
        <v>2</v>
      </c>
      <c r="K99" s="45">
        <v>3</v>
      </c>
      <c r="L99" s="51">
        <v>6</v>
      </c>
      <c r="M99" s="51">
        <v>1</v>
      </c>
      <c r="N99" s="45">
        <v>2</v>
      </c>
      <c r="O99" s="45">
        <v>1</v>
      </c>
      <c r="P99" s="45">
        <v>1</v>
      </c>
      <c r="Q99" s="45">
        <v>9</v>
      </c>
      <c r="R99" s="45">
        <v>2</v>
      </c>
      <c r="S99" s="45">
        <v>2</v>
      </c>
      <c r="T99" s="45">
        <v>6</v>
      </c>
      <c r="U99" s="45">
        <v>5</v>
      </c>
      <c r="V99" s="45">
        <v>2</v>
      </c>
      <c r="W99" s="45">
        <v>6</v>
      </c>
      <c r="X99" s="45">
        <v>2</v>
      </c>
      <c r="Y99" s="45">
        <v>7</v>
      </c>
      <c r="Z99" s="45">
        <v>7</v>
      </c>
      <c r="AA99" s="45">
        <v>3</v>
      </c>
      <c r="AB99" s="45">
        <v>7</v>
      </c>
      <c r="AC99" s="45">
        <v>7</v>
      </c>
      <c r="AD99" s="45">
        <v>1</v>
      </c>
      <c r="AE99" s="45">
        <v>1</v>
      </c>
      <c r="AF99" s="49">
        <v>7</v>
      </c>
    </row>
    <row r="100" spans="1:35" outlineLevel="1" x14ac:dyDescent="0.25">
      <c r="A100" s="615"/>
      <c r="B100" s="152" t="s">
        <v>1</v>
      </c>
      <c r="C100" s="45" t="s">
        <v>1</v>
      </c>
      <c r="D100" s="45" t="s">
        <v>69</v>
      </c>
      <c r="E100" s="50" t="s">
        <v>69</v>
      </c>
      <c r="F100" s="291" t="s">
        <v>1</v>
      </c>
      <c r="G100" s="45" t="s">
        <v>1</v>
      </c>
      <c r="H100" s="45" t="s">
        <v>69</v>
      </c>
      <c r="I100" s="45" t="s">
        <v>1</v>
      </c>
      <c r="J100" s="45" t="s">
        <v>1</v>
      </c>
      <c r="K100" s="45" t="s">
        <v>1</v>
      </c>
      <c r="L100" s="52" t="s">
        <v>1</v>
      </c>
      <c r="M100" s="52" t="s">
        <v>1</v>
      </c>
      <c r="N100" s="45" t="s">
        <v>69</v>
      </c>
      <c r="O100" s="45" t="s">
        <v>69</v>
      </c>
      <c r="P100" s="53" t="s">
        <v>69</v>
      </c>
      <c r="Q100" s="45" t="s">
        <v>1</v>
      </c>
      <c r="R100" s="45" t="s">
        <v>1</v>
      </c>
      <c r="S100" s="45" t="s">
        <v>1</v>
      </c>
      <c r="T100" s="45" t="s">
        <v>1</v>
      </c>
      <c r="U100" s="45" t="s">
        <v>69</v>
      </c>
      <c r="V100" s="45" t="s">
        <v>1</v>
      </c>
      <c r="W100" s="45" t="s">
        <v>1</v>
      </c>
      <c r="X100" s="45" t="s">
        <v>1</v>
      </c>
      <c r="Y100" s="45" t="s">
        <v>1</v>
      </c>
      <c r="Z100" s="45" t="s">
        <v>1</v>
      </c>
      <c r="AA100" s="45" t="s">
        <v>1</v>
      </c>
      <c r="AB100" s="45" t="s">
        <v>1</v>
      </c>
      <c r="AC100" s="45" t="s">
        <v>1</v>
      </c>
      <c r="AD100" s="45" t="s">
        <v>69</v>
      </c>
      <c r="AE100" s="45" t="s">
        <v>1</v>
      </c>
      <c r="AF100" s="49" t="s">
        <v>1</v>
      </c>
      <c r="AG100" s="2"/>
    </row>
    <row r="101" spans="1:35" outlineLevel="1" x14ac:dyDescent="0.25">
      <c r="A101" s="615"/>
      <c r="B101" s="152" t="s">
        <v>0</v>
      </c>
      <c r="C101" s="45" t="s">
        <v>0</v>
      </c>
      <c r="D101" s="45" t="s">
        <v>4</v>
      </c>
      <c r="E101" s="50" t="s">
        <v>0</v>
      </c>
      <c r="F101" s="291" t="s">
        <v>0</v>
      </c>
      <c r="G101" s="45" t="s">
        <v>0</v>
      </c>
      <c r="H101" s="45" t="s">
        <v>4</v>
      </c>
      <c r="I101" s="45" t="s">
        <v>4</v>
      </c>
      <c r="J101" s="45" t="s">
        <v>4</v>
      </c>
      <c r="K101" s="45" t="s">
        <v>4</v>
      </c>
      <c r="L101" s="52" t="s">
        <v>4</v>
      </c>
      <c r="M101" s="52" t="s">
        <v>0</v>
      </c>
      <c r="N101" s="45" t="s">
        <v>4</v>
      </c>
      <c r="O101" s="45" t="s">
        <v>4</v>
      </c>
      <c r="P101" s="45" t="s">
        <v>4</v>
      </c>
      <c r="Q101" s="45" t="s">
        <v>4</v>
      </c>
      <c r="R101" s="45" t="s">
        <v>4</v>
      </c>
      <c r="S101" s="45" t="s">
        <v>112</v>
      </c>
      <c r="T101" s="45" t="s">
        <v>0</v>
      </c>
      <c r="U101" s="45" t="s">
        <v>0</v>
      </c>
      <c r="V101" s="45" t="s">
        <v>0</v>
      </c>
      <c r="W101" s="45" t="s">
        <v>0</v>
      </c>
      <c r="X101" s="45" t="s">
        <v>0</v>
      </c>
      <c r="Y101" s="45" t="s">
        <v>0</v>
      </c>
      <c r="Z101" s="45" t="s">
        <v>0</v>
      </c>
      <c r="AA101" s="45" t="s">
        <v>0</v>
      </c>
      <c r="AB101" s="45" t="s">
        <v>0</v>
      </c>
      <c r="AC101" s="45" t="s">
        <v>0</v>
      </c>
      <c r="AD101" s="45" t="s">
        <v>4</v>
      </c>
      <c r="AE101" s="45" t="s">
        <v>4</v>
      </c>
      <c r="AF101" s="49" t="s">
        <v>4</v>
      </c>
    </row>
    <row r="102" spans="1:35" ht="30" customHeight="1" thickBot="1" x14ac:dyDescent="0.3">
      <c r="A102" s="616"/>
      <c r="B102" s="149" t="s">
        <v>10</v>
      </c>
      <c r="C102" s="54" t="s">
        <v>544</v>
      </c>
      <c r="D102" s="55" t="s">
        <v>8</v>
      </c>
      <c r="E102" s="54" t="s">
        <v>198</v>
      </c>
      <c r="F102" s="288">
        <v>77</v>
      </c>
      <c r="G102" s="54">
        <v>250000001</v>
      </c>
      <c r="H102" s="193" t="s">
        <v>8</v>
      </c>
      <c r="I102" s="193" t="s">
        <v>5</v>
      </c>
      <c r="J102" s="55" t="s">
        <v>5</v>
      </c>
      <c r="K102" s="55" t="s">
        <v>6</v>
      </c>
      <c r="L102" s="55" t="s">
        <v>208</v>
      </c>
      <c r="M102" s="193" t="s">
        <v>397</v>
      </c>
      <c r="N102" s="55" t="s">
        <v>210</v>
      </c>
      <c r="O102" s="55" t="s">
        <v>8</v>
      </c>
      <c r="P102" s="55" t="s">
        <v>8</v>
      </c>
      <c r="Q102" s="54" t="s">
        <v>544</v>
      </c>
      <c r="R102" s="55" t="s">
        <v>5</v>
      </c>
      <c r="S102" s="55" t="s">
        <v>5</v>
      </c>
      <c r="T102" s="33" t="s">
        <v>756</v>
      </c>
      <c r="U102" s="228" t="s">
        <v>243</v>
      </c>
      <c r="V102" s="55" t="s">
        <v>202</v>
      </c>
      <c r="W102" s="54" t="s">
        <v>590</v>
      </c>
      <c r="X102" s="33" t="s">
        <v>207</v>
      </c>
      <c r="Y102" s="54" t="s">
        <v>769</v>
      </c>
      <c r="Z102" s="96" t="s">
        <v>769</v>
      </c>
      <c r="AA102" s="54" t="s">
        <v>766</v>
      </c>
      <c r="AB102" s="54" t="s">
        <v>769</v>
      </c>
      <c r="AC102" s="54" t="s">
        <v>769</v>
      </c>
      <c r="AD102" s="55" t="s">
        <v>8</v>
      </c>
      <c r="AE102" s="193" t="s">
        <v>200</v>
      </c>
      <c r="AF102" s="82" t="s">
        <v>212</v>
      </c>
      <c r="AG102" s="188" t="s">
        <v>589</v>
      </c>
      <c r="AH102" s="76"/>
      <c r="AI102" s="76"/>
    </row>
    <row r="103" spans="1:35" s="75" customFormat="1" ht="15.75" thickBot="1" x14ac:dyDescent="0.3">
      <c r="B103" s="150" t="s">
        <v>586</v>
      </c>
      <c r="C103" s="75" t="s">
        <v>586</v>
      </c>
      <c r="D103" s="75" t="s">
        <v>586</v>
      </c>
      <c r="E103" s="75" t="s">
        <v>586</v>
      </c>
      <c r="F103" s="276" t="s">
        <v>586</v>
      </c>
      <c r="G103" s="75" t="s">
        <v>586</v>
      </c>
      <c r="H103" s="75" t="s">
        <v>586</v>
      </c>
      <c r="I103" s="75" t="s">
        <v>586</v>
      </c>
      <c r="J103" s="75" t="s">
        <v>586</v>
      </c>
      <c r="K103" s="75" t="s">
        <v>586</v>
      </c>
      <c r="L103" s="75" t="s">
        <v>586</v>
      </c>
      <c r="M103" s="75" t="s">
        <v>586</v>
      </c>
      <c r="N103" s="75" t="s">
        <v>586</v>
      </c>
      <c r="O103" s="75" t="s">
        <v>586</v>
      </c>
      <c r="P103" s="75" t="s">
        <v>586</v>
      </c>
      <c r="Q103" s="75" t="s">
        <v>586</v>
      </c>
      <c r="R103" s="75" t="s">
        <v>586</v>
      </c>
      <c r="S103" s="75" t="s">
        <v>586</v>
      </c>
      <c r="T103" s="75" t="s">
        <v>586</v>
      </c>
      <c r="U103" s="75" t="s">
        <v>586</v>
      </c>
      <c r="V103" s="75" t="s">
        <v>586</v>
      </c>
      <c r="W103" s="75" t="s">
        <v>586</v>
      </c>
      <c r="X103" s="75" t="s">
        <v>586</v>
      </c>
      <c r="Y103" s="75" t="s">
        <v>586</v>
      </c>
      <c r="Z103" s="75" t="s">
        <v>586</v>
      </c>
      <c r="AA103" s="75" t="s">
        <v>586</v>
      </c>
      <c r="AB103" s="75" t="s">
        <v>586</v>
      </c>
      <c r="AC103" s="75" t="s">
        <v>586</v>
      </c>
      <c r="AD103" s="75" t="s">
        <v>586</v>
      </c>
      <c r="AE103" s="75" t="s">
        <v>586</v>
      </c>
      <c r="AF103" s="75" t="s">
        <v>586</v>
      </c>
    </row>
    <row r="104" spans="1:35" ht="100.15" customHeight="1" x14ac:dyDescent="0.25">
      <c r="A104" s="620" t="s">
        <v>917</v>
      </c>
      <c r="B104" s="151" t="s">
        <v>13</v>
      </c>
      <c r="C104" s="40" t="s">
        <v>14</v>
      </c>
      <c r="D104" s="40" t="s">
        <v>15</v>
      </c>
      <c r="E104" s="41" t="s">
        <v>16</v>
      </c>
      <c r="F104" s="289" t="s">
        <v>17</v>
      </c>
      <c r="G104" s="40" t="s">
        <v>70</v>
      </c>
      <c r="H104" s="40" t="s">
        <v>71</v>
      </c>
      <c r="I104" s="40" t="s">
        <v>72</v>
      </c>
      <c r="J104" s="40" t="s">
        <v>2</v>
      </c>
      <c r="K104" s="40" t="s">
        <v>73</v>
      </c>
      <c r="L104" s="42" t="s">
        <v>74</v>
      </c>
      <c r="M104" s="42" t="s">
        <v>75</v>
      </c>
      <c r="N104" s="40" t="s">
        <v>76</v>
      </c>
      <c r="O104" s="40" t="s">
        <v>77</v>
      </c>
      <c r="P104" s="40" t="s">
        <v>78</v>
      </c>
      <c r="Q104" s="40" t="s">
        <v>79</v>
      </c>
      <c r="R104" s="40" t="s">
        <v>80</v>
      </c>
      <c r="S104" s="40" t="s">
        <v>81</v>
      </c>
      <c r="T104" s="40" t="s">
        <v>82</v>
      </c>
      <c r="U104" s="40" t="s">
        <v>83</v>
      </c>
      <c r="V104" s="40" t="s">
        <v>84</v>
      </c>
      <c r="W104" s="40" t="s">
        <v>3</v>
      </c>
      <c r="X104" s="40" t="s">
        <v>85</v>
      </c>
      <c r="Y104" s="40" t="s">
        <v>86</v>
      </c>
      <c r="Z104" s="40" t="s">
        <v>87</v>
      </c>
      <c r="AA104" s="40" t="s">
        <v>88</v>
      </c>
      <c r="AB104" s="40" t="s">
        <v>89</v>
      </c>
      <c r="AC104" s="40" t="s">
        <v>90</v>
      </c>
      <c r="AD104" s="40" t="s">
        <v>91</v>
      </c>
      <c r="AE104" s="40" t="s">
        <v>92</v>
      </c>
      <c r="AF104" s="43" t="s">
        <v>93</v>
      </c>
      <c r="AG104" s="2"/>
    </row>
    <row r="105" spans="1:35" ht="19.899999999999999" customHeight="1" x14ac:dyDescent="0.25">
      <c r="A105" s="615"/>
      <c r="B105" s="152">
        <v>1</v>
      </c>
      <c r="C105" s="44" t="s">
        <v>47</v>
      </c>
      <c r="D105" s="45">
        <v>11</v>
      </c>
      <c r="E105" s="46" t="s">
        <v>48</v>
      </c>
      <c r="F105" s="290" t="s">
        <v>49</v>
      </c>
      <c r="G105" s="47" t="s">
        <v>50</v>
      </c>
      <c r="H105" s="47">
        <v>36</v>
      </c>
      <c r="I105" s="47" t="s">
        <v>94</v>
      </c>
      <c r="J105" s="47" t="s">
        <v>95</v>
      </c>
      <c r="K105" s="47" t="s">
        <v>96</v>
      </c>
      <c r="L105" s="48" t="s">
        <v>97</v>
      </c>
      <c r="M105" s="48" t="s">
        <v>98</v>
      </c>
      <c r="N105" s="47" t="s">
        <v>99</v>
      </c>
      <c r="O105" s="47">
        <v>53</v>
      </c>
      <c r="P105" s="47">
        <v>54</v>
      </c>
      <c r="Q105" s="47" t="s">
        <v>913</v>
      </c>
      <c r="R105" s="47" t="s">
        <v>100</v>
      </c>
      <c r="S105" s="47" t="s">
        <v>101</v>
      </c>
      <c r="T105" s="47" t="s">
        <v>57</v>
      </c>
      <c r="U105" s="47" t="s">
        <v>102</v>
      </c>
      <c r="V105" s="47" t="s">
        <v>103</v>
      </c>
      <c r="W105" s="47" t="s">
        <v>104</v>
      </c>
      <c r="X105" s="47" t="s">
        <v>105</v>
      </c>
      <c r="Y105" s="47" t="s">
        <v>106</v>
      </c>
      <c r="Z105" s="47" t="s">
        <v>107</v>
      </c>
      <c r="AA105" s="47" t="s">
        <v>108</v>
      </c>
      <c r="AB105" s="45" t="s">
        <v>109</v>
      </c>
      <c r="AC105" s="47" t="s">
        <v>110</v>
      </c>
      <c r="AD105" s="45">
        <v>120</v>
      </c>
      <c r="AE105" s="45">
        <v>121</v>
      </c>
      <c r="AF105" s="49" t="s">
        <v>111</v>
      </c>
    </row>
    <row r="106" spans="1:35" outlineLevel="1" x14ac:dyDescent="0.25">
      <c r="A106" s="615"/>
      <c r="B106" s="152">
        <v>1</v>
      </c>
      <c r="C106" s="45">
        <v>9</v>
      </c>
      <c r="D106" s="45">
        <v>1</v>
      </c>
      <c r="E106" s="50">
        <v>13</v>
      </c>
      <c r="F106" s="291">
        <v>2</v>
      </c>
      <c r="G106" s="45">
        <v>9</v>
      </c>
      <c r="H106" s="45">
        <v>1</v>
      </c>
      <c r="I106" s="45">
        <v>2</v>
      </c>
      <c r="J106" s="45">
        <v>2</v>
      </c>
      <c r="K106" s="45">
        <v>3</v>
      </c>
      <c r="L106" s="51">
        <v>6</v>
      </c>
      <c r="M106" s="51">
        <v>1</v>
      </c>
      <c r="N106" s="45">
        <v>2</v>
      </c>
      <c r="O106" s="45">
        <v>1</v>
      </c>
      <c r="P106" s="45">
        <v>1</v>
      </c>
      <c r="Q106" s="45">
        <v>9</v>
      </c>
      <c r="R106" s="45">
        <v>2</v>
      </c>
      <c r="S106" s="45">
        <v>2</v>
      </c>
      <c r="T106" s="45">
        <v>6</v>
      </c>
      <c r="U106" s="45">
        <v>5</v>
      </c>
      <c r="V106" s="45">
        <v>2</v>
      </c>
      <c r="W106" s="45">
        <v>6</v>
      </c>
      <c r="X106" s="45">
        <v>2</v>
      </c>
      <c r="Y106" s="45">
        <v>7</v>
      </c>
      <c r="Z106" s="45">
        <v>7</v>
      </c>
      <c r="AA106" s="45">
        <v>3</v>
      </c>
      <c r="AB106" s="45">
        <v>7</v>
      </c>
      <c r="AC106" s="45">
        <v>7</v>
      </c>
      <c r="AD106" s="45">
        <v>1</v>
      </c>
      <c r="AE106" s="45">
        <v>1</v>
      </c>
      <c r="AF106" s="49">
        <v>7</v>
      </c>
    </row>
    <row r="107" spans="1:35" outlineLevel="1" x14ac:dyDescent="0.25">
      <c r="A107" s="615"/>
      <c r="B107" s="152" t="s">
        <v>1</v>
      </c>
      <c r="C107" s="45" t="s">
        <v>1</v>
      </c>
      <c r="D107" s="45" t="s">
        <v>69</v>
      </c>
      <c r="E107" s="50" t="s">
        <v>69</v>
      </c>
      <c r="F107" s="291" t="s">
        <v>1</v>
      </c>
      <c r="G107" s="45" t="s">
        <v>1</v>
      </c>
      <c r="H107" s="45" t="s">
        <v>69</v>
      </c>
      <c r="I107" s="45" t="s">
        <v>1</v>
      </c>
      <c r="J107" s="45" t="s">
        <v>1</v>
      </c>
      <c r="K107" s="45" t="s">
        <v>1</v>
      </c>
      <c r="L107" s="52" t="s">
        <v>1</v>
      </c>
      <c r="M107" s="52" t="s">
        <v>1</v>
      </c>
      <c r="N107" s="45" t="s">
        <v>69</v>
      </c>
      <c r="O107" s="45" t="s">
        <v>69</v>
      </c>
      <c r="P107" s="53" t="s">
        <v>69</v>
      </c>
      <c r="Q107" s="45" t="s">
        <v>1</v>
      </c>
      <c r="R107" s="45" t="s">
        <v>1</v>
      </c>
      <c r="S107" s="45" t="s">
        <v>1</v>
      </c>
      <c r="T107" s="45" t="s">
        <v>1</v>
      </c>
      <c r="U107" s="45" t="s">
        <v>69</v>
      </c>
      <c r="V107" s="45" t="s">
        <v>1</v>
      </c>
      <c r="W107" s="45" t="s">
        <v>1</v>
      </c>
      <c r="X107" s="45" t="s">
        <v>1</v>
      </c>
      <c r="Y107" s="45" t="s">
        <v>1</v>
      </c>
      <c r="Z107" s="45" t="s">
        <v>1</v>
      </c>
      <c r="AA107" s="45" t="s">
        <v>1</v>
      </c>
      <c r="AB107" s="45" t="s">
        <v>1</v>
      </c>
      <c r="AC107" s="45" t="s">
        <v>1</v>
      </c>
      <c r="AD107" s="45" t="s">
        <v>69</v>
      </c>
      <c r="AE107" s="45" t="s">
        <v>1</v>
      </c>
      <c r="AF107" s="49" t="s">
        <v>1</v>
      </c>
    </row>
    <row r="108" spans="1:35" outlineLevel="1" x14ac:dyDescent="0.25">
      <c r="A108" s="615"/>
      <c r="B108" s="152" t="s">
        <v>0</v>
      </c>
      <c r="C108" s="45" t="s">
        <v>0</v>
      </c>
      <c r="D108" s="45" t="s">
        <v>4</v>
      </c>
      <c r="E108" s="50" t="s">
        <v>0</v>
      </c>
      <c r="F108" s="291" t="s">
        <v>0</v>
      </c>
      <c r="G108" s="45" t="s">
        <v>0</v>
      </c>
      <c r="H108" s="45" t="s">
        <v>4</v>
      </c>
      <c r="I108" s="45" t="s">
        <v>4</v>
      </c>
      <c r="J108" s="45" t="s">
        <v>4</v>
      </c>
      <c r="K108" s="45" t="s">
        <v>4</v>
      </c>
      <c r="L108" s="52" t="s">
        <v>4</v>
      </c>
      <c r="M108" s="52" t="s">
        <v>0</v>
      </c>
      <c r="N108" s="45" t="s">
        <v>4</v>
      </c>
      <c r="O108" s="45" t="s">
        <v>4</v>
      </c>
      <c r="P108" s="45" t="s">
        <v>4</v>
      </c>
      <c r="Q108" s="45" t="s">
        <v>4</v>
      </c>
      <c r="R108" s="45" t="s">
        <v>4</v>
      </c>
      <c r="S108" s="45" t="s">
        <v>112</v>
      </c>
      <c r="T108" s="45" t="s">
        <v>0</v>
      </c>
      <c r="U108" s="45" t="s">
        <v>0</v>
      </c>
      <c r="V108" s="45" t="s">
        <v>0</v>
      </c>
      <c r="W108" s="45" t="s">
        <v>0</v>
      </c>
      <c r="X108" s="45" t="s">
        <v>0</v>
      </c>
      <c r="Y108" s="45" t="s">
        <v>0</v>
      </c>
      <c r="Z108" s="45" t="s">
        <v>0</v>
      </c>
      <c r="AA108" s="45" t="s">
        <v>0</v>
      </c>
      <c r="AB108" s="45" t="s">
        <v>0</v>
      </c>
      <c r="AC108" s="45" t="s">
        <v>0</v>
      </c>
      <c r="AD108" s="45" t="s">
        <v>4</v>
      </c>
      <c r="AE108" s="45" t="s">
        <v>4</v>
      </c>
      <c r="AF108" s="49" t="s">
        <v>4</v>
      </c>
    </row>
    <row r="109" spans="1:35" ht="30" customHeight="1" thickBot="1" x14ac:dyDescent="0.3">
      <c r="A109" s="616"/>
      <c r="B109" s="149" t="s">
        <v>10</v>
      </c>
      <c r="C109" s="54" t="s">
        <v>544</v>
      </c>
      <c r="D109" s="55" t="s">
        <v>8</v>
      </c>
      <c r="E109" s="54" t="s">
        <v>198</v>
      </c>
      <c r="F109" s="288">
        <v>77</v>
      </c>
      <c r="G109" s="54">
        <v>250000001</v>
      </c>
      <c r="H109" s="193" t="s">
        <v>8</v>
      </c>
      <c r="I109" s="193" t="s">
        <v>5</v>
      </c>
      <c r="J109" s="55" t="s">
        <v>5</v>
      </c>
      <c r="K109" s="55" t="s">
        <v>6</v>
      </c>
      <c r="L109" s="55" t="s">
        <v>208</v>
      </c>
      <c r="M109" s="193" t="s">
        <v>397</v>
      </c>
      <c r="N109" s="55" t="s">
        <v>210</v>
      </c>
      <c r="O109" s="55" t="s">
        <v>8</v>
      </c>
      <c r="P109" s="55" t="s">
        <v>8</v>
      </c>
      <c r="Q109" s="54" t="s">
        <v>544</v>
      </c>
      <c r="R109" s="55" t="s">
        <v>5</v>
      </c>
      <c r="S109" s="55" t="s">
        <v>5</v>
      </c>
      <c r="T109" s="33" t="s">
        <v>756</v>
      </c>
      <c r="U109" s="228" t="s">
        <v>244</v>
      </c>
      <c r="V109" s="33" t="s">
        <v>202</v>
      </c>
      <c r="W109" s="54" t="s">
        <v>590</v>
      </c>
      <c r="X109" s="33" t="s">
        <v>207</v>
      </c>
      <c r="Y109" s="54" t="s">
        <v>595</v>
      </c>
      <c r="Z109" s="96" t="s">
        <v>595</v>
      </c>
      <c r="AA109" s="54" t="s">
        <v>6</v>
      </c>
      <c r="AB109" s="54" t="s">
        <v>212</v>
      </c>
      <c r="AC109" s="54" t="s">
        <v>212</v>
      </c>
      <c r="AD109" s="193" t="s">
        <v>498</v>
      </c>
      <c r="AE109" s="193" t="s">
        <v>200</v>
      </c>
      <c r="AF109" s="54" t="s">
        <v>212</v>
      </c>
      <c r="AG109" s="188" t="s">
        <v>589</v>
      </c>
      <c r="AH109" s="76"/>
      <c r="AI109" s="76"/>
    </row>
    <row r="110" spans="1:35" s="75" customFormat="1" ht="15.75" thickBot="1" x14ac:dyDescent="0.3">
      <c r="B110" s="150" t="s">
        <v>586</v>
      </c>
      <c r="C110" s="75" t="s">
        <v>586</v>
      </c>
      <c r="D110" s="75" t="s">
        <v>586</v>
      </c>
      <c r="E110" s="75" t="s">
        <v>586</v>
      </c>
      <c r="F110" s="276" t="s">
        <v>586</v>
      </c>
      <c r="G110" s="75" t="s">
        <v>586</v>
      </c>
      <c r="H110" s="75" t="s">
        <v>586</v>
      </c>
      <c r="I110" s="75" t="s">
        <v>586</v>
      </c>
      <c r="J110" s="75" t="s">
        <v>586</v>
      </c>
      <c r="K110" s="75" t="s">
        <v>586</v>
      </c>
      <c r="L110" s="75" t="s">
        <v>586</v>
      </c>
      <c r="M110" s="75" t="s">
        <v>586</v>
      </c>
      <c r="N110" s="75" t="s">
        <v>586</v>
      </c>
      <c r="O110" s="75" t="s">
        <v>586</v>
      </c>
      <c r="P110" s="75" t="s">
        <v>586</v>
      </c>
      <c r="Q110" s="75" t="s">
        <v>586</v>
      </c>
      <c r="R110" s="75" t="s">
        <v>586</v>
      </c>
      <c r="S110" s="75" t="s">
        <v>586</v>
      </c>
      <c r="T110" s="75" t="s">
        <v>586</v>
      </c>
      <c r="U110" s="75" t="s">
        <v>586</v>
      </c>
      <c r="V110" s="75" t="s">
        <v>586</v>
      </c>
      <c r="W110" s="75" t="s">
        <v>586</v>
      </c>
      <c r="X110" s="75" t="s">
        <v>586</v>
      </c>
      <c r="Y110" s="75" t="s">
        <v>586</v>
      </c>
      <c r="Z110" s="75" t="s">
        <v>586</v>
      </c>
      <c r="AA110" s="75" t="s">
        <v>586</v>
      </c>
      <c r="AB110" s="75" t="s">
        <v>586</v>
      </c>
      <c r="AC110" s="75" t="s">
        <v>586</v>
      </c>
      <c r="AD110" s="75" t="s">
        <v>586</v>
      </c>
      <c r="AE110" s="75" t="s">
        <v>586</v>
      </c>
      <c r="AF110" s="75" t="s">
        <v>586</v>
      </c>
    </row>
    <row r="111" spans="1:35" ht="100.15" customHeight="1" x14ac:dyDescent="0.25">
      <c r="A111" s="620" t="s">
        <v>918</v>
      </c>
      <c r="B111" s="151" t="s">
        <v>13</v>
      </c>
      <c r="C111" s="40" t="s">
        <v>14</v>
      </c>
      <c r="D111" s="40" t="s">
        <v>15</v>
      </c>
      <c r="E111" s="41" t="s">
        <v>16</v>
      </c>
      <c r="F111" s="289" t="s">
        <v>17</v>
      </c>
      <c r="G111" s="40" t="s">
        <v>70</v>
      </c>
      <c r="H111" s="40" t="s">
        <v>71</v>
      </c>
      <c r="I111" s="40" t="s">
        <v>72</v>
      </c>
      <c r="J111" s="40" t="s">
        <v>2</v>
      </c>
      <c r="K111" s="40" t="s">
        <v>73</v>
      </c>
      <c r="L111" s="42" t="s">
        <v>74</v>
      </c>
      <c r="M111" s="42" t="s">
        <v>75</v>
      </c>
      <c r="N111" s="40" t="s">
        <v>76</v>
      </c>
      <c r="O111" s="40" t="s">
        <v>77</v>
      </c>
      <c r="P111" s="40" t="s">
        <v>78</v>
      </c>
      <c r="Q111" s="40" t="s">
        <v>79</v>
      </c>
      <c r="R111" s="40" t="s">
        <v>80</v>
      </c>
      <c r="S111" s="40" t="s">
        <v>81</v>
      </c>
      <c r="T111" s="40" t="s">
        <v>82</v>
      </c>
      <c r="U111" s="40" t="s">
        <v>83</v>
      </c>
      <c r="V111" s="40" t="s">
        <v>84</v>
      </c>
      <c r="W111" s="40" t="s">
        <v>3</v>
      </c>
      <c r="X111" s="40" t="s">
        <v>85</v>
      </c>
      <c r="Y111" s="40" t="s">
        <v>86</v>
      </c>
      <c r="Z111" s="40" t="s">
        <v>87</v>
      </c>
      <c r="AA111" s="40" t="s">
        <v>88</v>
      </c>
      <c r="AB111" s="40" t="s">
        <v>89</v>
      </c>
      <c r="AC111" s="40" t="s">
        <v>90</v>
      </c>
      <c r="AD111" s="40" t="s">
        <v>91</v>
      </c>
      <c r="AE111" s="40" t="s">
        <v>92</v>
      </c>
      <c r="AF111" s="43" t="s">
        <v>93</v>
      </c>
      <c r="AG111" s="2"/>
    </row>
    <row r="112" spans="1:35" ht="19.899999999999999" customHeight="1" x14ac:dyDescent="0.25">
      <c r="A112" s="615"/>
      <c r="B112" s="152">
        <v>1</v>
      </c>
      <c r="C112" s="44" t="s">
        <v>47</v>
      </c>
      <c r="D112" s="45">
        <v>11</v>
      </c>
      <c r="E112" s="46" t="s">
        <v>48</v>
      </c>
      <c r="F112" s="290" t="s">
        <v>49</v>
      </c>
      <c r="G112" s="47" t="s">
        <v>50</v>
      </c>
      <c r="H112" s="47">
        <v>36</v>
      </c>
      <c r="I112" s="47" t="s">
        <v>94</v>
      </c>
      <c r="J112" s="47" t="s">
        <v>95</v>
      </c>
      <c r="K112" s="47" t="s">
        <v>96</v>
      </c>
      <c r="L112" s="48" t="s">
        <v>97</v>
      </c>
      <c r="M112" s="48" t="s">
        <v>98</v>
      </c>
      <c r="N112" s="47" t="s">
        <v>99</v>
      </c>
      <c r="O112" s="47">
        <v>53</v>
      </c>
      <c r="P112" s="47">
        <v>54</v>
      </c>
      <c r="Q112" s="47" t="s">
        <v>913</v>
      </c>
      <c r="R112" s="47" t="s">
        <v>100</v>
      </c>
      <c r="S112" s="47" t="s">
        <v>101</v>
      </c>
      <c r="T112" s="47" t="s">
        <v>57</v>
      </c>
      <c r="U112" s="47" t="s">
        <v>102</v>
      </c>
      <c r="V112" s="47" t="s">
        <v>103</v>
      </c>
      <c r="W112" s="47" t="s">
        <v>104</v>
      </c>
      <c r="X112" s="47" t="s">
        <v>105</v>
      </c>
      <c r="Y112" s="47" t="s">
        <v>106</v>
      </c>
      <c r="Z112" s="47" t="s">
        <v>107</v>
      </c>
      <c r="AA112" s="47" t="s">
        <v>108</v>
      </c>
      <c r="AB112" s="45" t="s">
        <v>109</v>
      </c>
      <c r="AC112" s="47" t="s">
        <v>110</v>
      </c>
      <c r="AD112" s="45">
        <v>120</v>
      </c>
      <c r="AE112" s="45">
        <v>121</v>
      </c>
      <c r="AF112" s="49" t="s">
        <v>111</v>
      </c>
    </row>
    <row r="113" spans="1:35" outlineLevel="1" x14ac:dyDescent="0.25">
      <c r="A113" s="615"/>
      <c r="B113" s="152">
        <v>1</v>
      </c>
      <c r="C113" s="45">
        <v>9</v>
      </c>
      <c r="D113" s="45">
        <v>1</v>
      </c>
      <c r="E113" s="50">
        <v>13</v>
      </c>
      <c r="F113" s="291">
        <v>2</v>
      </c>
      <c r="G113" s="45">
        <v>9</v>
      </c>
      <c r="H113" s="45">
        <v>1</v>
      </c>
      <c r="I113" s="45">
        <v>2</v>
      </c>
      <c r="J113" s="45">
        <v>2</v>
      </c>
      <c r="K113" s="45">
        <v>3</v>
      </c>
      <c r="L113" s="51">
        <v>6</v>
      </c>
      <c r="M113" s="51">
        <v>1</v>
      </c>
      <c r="N113" s="45">
        <v>2</v>
      </c>
      <c r="O113" s="45">
        <v>1</v>
      </c>
      <c r="P113" s="45">
        <v>1</v>
      </c>
      <c r="Q113" s="45">
        <v>9</v>
      </c>
      <c r="R113" s="45">
        <v>2</v>
      </c>
      <c r="S113" s="45">
        <v>2</v>
      </c>
      <c r="T113" s="45">
        <v>6</v>
      </c>
      <c r="U113" s="45">
        <v>5</v>
      </c>
      <c r="V113" s="45">
        <v>2</v>
      </c>
      <c r="W113" s="45">
        <v>6</v>
      </c>
      <c r="X113" s="45">
        <v>2</v>
      </c>
      <c r="Y113" s="45">
        <v>7</v>
      </c>
      <c r="Z113" s="45">
        <v>7</v>
      </c>
      <c r="AA113" s="45">
        <v>3</v>
      </c>
      <c r="AB113" s="45">
        <v>7</v>
      </c>
      <c r="AC113" s="45">
        <v>7</v>
      </c>
      <c r="AD113" s="45">
        <v>1</v>
      </c>
      <c r="AE113" s="45">
        <v>1</v>
      </c>
      <c r="AF113" s="49">
        <v>7</v>
      </c>
    </row>
    <row r="114" spans="1:35" outlineLevel="1" x14ac:dyDescent="0.25">
      <c r="A114" s="615"/>
      <c r="B114" s="152" t="s">
        <v>1</v>
      </c>
      <c r="C114" s="45" t="s">
        <v>1</v>
      </c>
      <c r="D114" s="45" t="s">
        <v>69</v>
      </c>
      <c r="E114" s="50" t="s">
        <v>69</v>
      </c>
      <c r="F114" s="291" t="s">
        <v>1</v>
      </c>
      <c r="G114" s="45" t="s">
        <v>1</v>
      </c>
      <c r="H114" s="45" t="s">
        <v>69</v>
      </c>
      <c r="I114" s="45" t="s">
        <v>1</v>
      </c>
      <c r="J114" s="45" t="s">
        <v>1</v>
      </c>
      <c r="K114" s="45" t="s">
        <v>1</v>
      </c>
      <c r="L114" s="52" t="s">
        <v>1</v>
      </c>
      <c r="M114" s="52" t="s">
        <v>1</v>
      </c>
      <c r="N114" s="45" t="s">
        <v>69</v>
      </c>
      <c r="O114" s="45" t="s">
        <v>69</v>
      </c>
      <c r="P114" s="53" t="s">
        <v>69</v>
      </c>
      <c r="Q114" s="45" t="s">
        <v>1</v>
      </c>
      <c r="R114" s="45" t="s">
        <v>1</v>
      </c>
      <c r="S114" s="45" t="s">
        <v>1</v>
      </c>
      <c r="T114" s="45" t="s">
        <v>1</v>
      </c>
      <c r="U114" s="45" t="s">
        <v>69</v>
      </c>
      <c r="V114" s="45" t="s">
        <v>1</v>
      </c>
      <c r="W114" s="45" t="s">
        <v>1</v>
      </c>
      <c r="X114" s="45" t="s">
        <v>1</v>
      </c>
      <c r="Y114" s="45" t="s">
        <v>1</v>
      </c>
      <c r="Z114" s="45" t="s">
        <v>1</v>
      </c>
      <c r="AA114" s="45" t="s">
        <v>1</v>
      </c>
      <c r="AB114" s="45" t="s">
        <v>1</v>
      </c>
      <c r="AC114" s="45" t="s">
        <v>1</v>
      </c>
      <c r="AD114" s="45" t="s">
        <v>69</v>
      </c>
      <c r="AE114" s="45" t="s">
        <v>1</v>
      </c>
      <c r="AF114" s="49" t="s">
        <v>1</v>
      </c>
    </row>
    <row r="115" spans="1:35" outlineLevel="1" x14ac:dyDescent="0.25">
      <c r="A115" s="615"/>
      <c r="B115" s="152" t="s">
        <v>0</v>
      </c>
      <c r="C115" s="45" t="s">
        <v>0</v>
      </c>
      <c r="D115" s="45" t="s">
        <v>4</v>
      </c>
      <c r="E115" s="50" t="s">
        <v>0</v>
      </c>
      <c r="F115" s="291" t="s">
        <v>0</v>
      </c>
      <c r="G115" s="45" t="s">
        <v>0</v>
      </c>
      <c r="H115" s="45" t="s">
        <v>4</v>
      </c>
      <c r="I115" s="45" t="s">
        <v>4</v>
      </c>
      <c r="J115" s="45" t="s">
        <v>4</v>
      </c>
      <c r="K115" s="45" t="s">
        <v>4</v>
      </c>
      <c r="L115" s="52" t="s">
        <v>4</v>
      </c>
      <c r="M115" s="52" t="s">
        <v>0</v>
      </c>
      <c r="N115" s="45" t="s">
        <v>4</v>
      </c>
      <c r="O115" s="45" t="s">
        <v>4</v>
      </c>
      <c r="P115" s="45" t="s">
        <v>4</v>
      </c>
      <c r="Q115" s="45" t="s">
        <v>4</v>
      </c>
      <c r="R115" s="45" t="s">
        <v>4</v>
      </c>
      <c r="S115" s="45" t="s">
        <v>112</v>
      </c>
      <c r="T115" s="45" t="s">
        <v>0</v>
      </c>
      <c r="U115" s="45" t="s">
        <v>0</v>
      </c>
      <c r="V115" s="45" t="s">
        <v>0</v>
      </c>
      <c r="W115" s="45" t="s">
        <v>0</v>
      </c>
      <c r="X115" s="45" t="s">
        <v>0</v>
      </c>
      <c r="Y115" s="45" t="s">
        <v>0</v>
      </c>
      <c r="Z115" s="45" t="s">
        <v>0</v>
      </c>
      <c r="AA115" s="45" t="s">
        <v>0</v>
      </c>
      <c r="AB115" s="45" t="s">
        <v>0</v>
      </c>
      <c r="AC115" s="45" t="s">
        <v>0</v>
      </c>
      <c r="AD115" s="45" t="s">
        <v>4</v>
      </c>
      <c r="AE115" s="45" t="s">
        <v>4</v>
      </c>
      <c r="AF115" s="49" t="s">
        <v>4</v>
      </c>
    </row>
    <row r="116" spans="1:35" ht="30" customHeight="1" thickBot="1" x14ac:dyDescent="0.3">
      <c r="A116" s="616"/>
      <c r="B116" s="149" t="s">
        <v>10</v>
      </c>
      <c r="C116" s="54" t="s">
        <v>544</v>
      </c>
      <c r="D116" s="55" t="s">
        <v>8</v>
      </c>
      <c r="E116" s="54" t="s">
        <v>198</v>
      </c>
      <c r="F116" s="288">
        <v>77</v>
      </c>
      <c r="G116" s="54">
        <v>250000001</v>
      </c>
      <c r="H116" s="193" t="s">
        <v>8</v>
      </c>
      <c r="I116" s="193" t="s">
        <v>5</v>
      </c>
      <c r="J116" s="55" t="s">
        <v>5</v>
      </c>
      <c r="K116" s="55" t="s">
        <v>6</v>
      </c>
      <c r="L116" s="55" t="s">
        <v>208</v>
      </c>
      <c r="M116" s="193" t="s">
        <v>397</v>
      </c>
      <c r="N116" s="55" t="s">
        <v>210</v>
      </c>
      <c r="O116" s="55" t="s">
        <v>8</v>
      </c>
      <c r="P116" s="55" t="s">
        <v>8</v>
      </c>
      <c r="Q116" s="54" t="s">
        <v>544</v>
      </c>
      <c r="R116" s="55" t="s">
        <v>5</v>
      </c>
      <c r="S116" s="55" t="s">
        <v>5</v>
      </c>
      <c r="T116" s="33" t="s">
        <v>756</v>
      </c>
      <c r="U116" s="228" t="s">
        <v>245</v>
      </c>
      <c r="V116" s="33" t="s">
        <v>649</v>
      </c>
      <c r="W116" s="54" t="s">
        <v>590</v>
      </c>
      <c r="X116" s="33" t="s">
        <v>207</v>
      </c>
      <c r="Y116" s="54" t="s">
        <v>595</v>
      </c>
      <c r="Z116" s="96" t="s">
        <v>770</v>
      </c>
      <c r="AA116" s="54" t="s">
        <v>6</v>
      </c>
      <c r="AB116" s="54" t="s">
        <v>212</v>
      </c>
      <c r="AC116" s="54" t="s">
        <v>212</v>
      </c>
      <c r="AD116" s="193" t="s">
        <v>498</v>
      </c>
      <c r="AE116" s="193" t="s">
        <v>200</v>
      </c>
      <c r="AF116" s="54" t="s">
        <v>212</v>
      </c>
      <c r="AG116" s="188" t="s">
        <v>589</v>
      </c>
      <c r="AH116" s="76"/>
      <c r="AI116" s="76"/>
    </row>
    <row r="117" spans="1:35" s="75" customFormat="1" ht="15.75" thickBot="1" x14ac:dyDescent="0.3">
      <c r="B117" s="150" t="s">
        <v>586</v>
      </c>
      <c r="C117" s="75" t="s">
        <v>586</v>
      </c>
      <c r="D117" s="75" t="s">
        <v>586</v>
      </c>
      <c r="E117" s="75" t="s">
        <v>586</v>
      </c>
      <c r="F117" s="276" t="s">
        <v>586</v>
      </c>
      <c r="G117" s="75" t="s">
        <v>586</v>
      </c>
      <c r="H117" s="75" t="s">
        <v>586</v>
      </c>
      <c r="I117" s="75" t="s">
        <v>586</v>
      </c>
      <c r="J117" s="75" t="s">
        <v>586</v>
      </c>
      <c r="K117" s="75" t="s">
        <v>586</v>
      </c>
      <c r="L117" s="75" t="s">
        <v>586</v>
      </c>
      <c r="M117" s="75" t="s">
        <v>586</v>
      </c>
      <c r="N117" s="75" t="s">
        <v>586</v>
      </c>
      <c r="O117" s="75" t="s">
        <v>586</v>
      </c>
      <c r="P117" s="75" t="s">
        <v>586</v>
      </c>
      <c r="Q117" s="75" t="s">
        <v>586</v>
      </c>
      <c r="R117" s="75" t="s">
        <v>586</v>
      </c>
      <c r="S117" s="75" t="s">
        <v>586</v>
      </c>
      <c r="T117" s="75" t="s">
        <v>586</v>
      </c>
      <c r="U117" s="75" t="s">
        <v>586</v>
      </c>
      <c r="V117" s="75" t="s">
        <v>586</v>
      </c>
      <c r="W117" s="75" t="s">
        <v>586</v>
      </c>
      <c r="X117" s="75" t="s">
        <v>586</v>
      </c>
      <c r="Y117" s="75" t="s">
        <v>586</v>
      </c>
      <c r="Z117" s="75" t="s">
        <v>586</v>
      </c>
      <c r="AA117" s="75" t="s">
        <v>586</v>
      </c>
      <c r="AB117" s="75" t="s">
        <v>586</v>
      </c>
      <c r="AC117" s="75" t="s">
        <v>586</v>
      </c>
      <c r="AD117" s="75" t="s">
        <v>586</v>
      </c>
      <c r="AE117" s="75" t="s">
        <v>586</v>
      </c>
      <c r="AF117" s="75" t="s">
        <v>586</v>
      </c>
    </row>
    <row r="118" spans="1:35" ht="100.15" customHeight="1" x14ac:dyDescent="0.25">
      <c r="A118" s="620" t="s">
        <v>921</v>
      </c>
      <c r="B118" s="151" t="s">
        <v>13</v>
      </c>
      <c r="C118" s="40" t="s">
        <v>14</v>
      </c>
      <c r="D118" s="40" t="s">
        <v>15</v>
      </c>
      <c r="E118" s="41" t="s">
        <v>16</v>
      </c>
      <c r="F118" s="289" t="s">
        <v>17</v>
      </c>
      <c r="G118" s="40" t="s">
        <v>70</v>
      </c>
      <c r="H118" s="40" t="s">
        <v>71</v>
      </c>
      <c r="I118" s="40" t="s">
        <v>72</v>
      </c>
      <c r="J118" s="40" t="s">
        <v>2</v>
      </c>
      <c r="K118" s="40" t="s">
        <v>73</v>
      </c>
      <c r="L118" s="42" t="s">
        <v>74</v>
      </c>
      <c r="M118" s="42" t="s">
        <v>75</v>
      </c>
      <c r="N118" s="40" t="s">
        <v>76</v>
      </c>
      <c r="O118" s="40" t="s">
        <v>77</v>
      </c>
      <c r="P118" s="40" t="s">
        <v>78</v>
      </c>
      <c r="Q118" s="40" t="s">
        <v>79</v>
      </c>
      <c r="R118" s="40" t="s">
        <v>80</v>
      </c>
      <c r="S118" s="40" t="s">
        <v>81</v>
      </c>
      <c r="T118" s="40" t="s">
        <v>82</v>
      </c>
      <c r="U118" s="40" t="s">
        <v>83</v>
      </c>
      <c r="V118" s="40" t="s">
        <v>84</v>
      </c>
      <c r="W118" s="40" t="s">
        <v>3</v>
      </c>
      <c r="X118" s="40" t="s">
        <v>85</v>
      </c>
      <c r="Y118" s="40" t="s">
        <v>86</v>
      </c>
      <c r="Z118" s="40" t="s">
        <v>87</v>
      </c>
      <c r="AA118" s="40" t="s">
        <v>88</v>
      </c>
      <c r="AB118" s="40" t="s">
        <v>89</v>
      </c>
      <c r="AC118" s="40" t="s">
        <v>90</v>
      </c>
      <c r="AD118" s="40" t="s">
        <v>91</v>
      </c>
      <c r="AE118" s="40" t="s">
        <v>92</v>
      </c>
      <c r="AF118" s="43" t="s">
        <v>93</v>
      </c>
      <c r="AG118" s="2"/>
    </row>
    <row r="119" spans="1:35" ht="19.899999999999999" customHeight="1" x14ac:dyDescent="0.25">
      <c r="A119" s="615"/>
      <c r="B119" s="152">
        <v>1</v>
      </c>
      <c r="C119" s="44" t="s">
        <v>47</v>
      </c>
      <c r="D119" s="45">
        <v>11</v>
      </c>
      <c r="E119" s="46" t="s">
        <v>48</v>
      </c>
      <c r="F119" s="290" t="s">
        <v>49</v>
      </c>
      <c r="G119" s="47" t="s">
        <v>50</v>
      </c>
      <c r="H119" s="47">
        <v>36</v>
      </c>
      <c r="I119" s="47" t="s">
        <v>94</v>
      </c>
      <c r="J119" s="47" t="s">
        <v>95</v>
      </c>
      <c r="K119" s="47" t="s">
        <v>96</v>
      </c>
      <c r="L119" s="48" t="s">
        <v>97</v>
      </c>
      <c r="M119" s="48" t="s">
        <v>98</v>
      </c>
      <c r="N119" s="47" t="s">
        <v>99</v>
      </c>
      <c r="O119" s="47">
        <v>53</v>
      </c>
      <c r="P119" s="47">
        <v>54</v>
      </c>
      <c r="Q119" s="47" t="s">
        <v>913</v>
      </c>
      <c r="R119" s="47" t="s">
        <v>100</v>
      </c>
      <c r="S119" s="47" t="s">
        <v>101</v>
      </c>
      <c r="T119" s="47" t="s">
        <v>57</v>
      </c>
      <c r="U119" s="47" t="s">
        <v>102</v>
      </c>
      <c r="V119" s="47" t="s">
        <v>103</v>
      </c>
      <c r="W119" s="47" t="s">
        <v>104</v>
      </c>
      <c r="X119" s="47" t="s">
        <v>105</v>
      </c>
      <c r="Y119" s="47" t="s">
        <v>106</v>
      </c>
      <c r="Z119" s="47" t="s">
        <v>107</v>
      </c>
      <c r="AA119" s="47" t="s">
        <v>108</v>
      </c>
      <c r="AB119" s="45" t="s">
        <v>109</v>
      </c>
      <c r="AC119" s="47" t="s">
        <v>110</v>
      </c>
      <c r="AD119" s="45">
        <v>120</v>
      </c>
      <c r="AE119" s="45">
        <v>121</v>
      </c>
      <c r="AF119" s="49" t="s">
        <v>111</v>
      </c>
    </row>
    <row r="120" spans="1:35" outlineLevel="1" x14ac:dyDescent="0.25">
      <c r="A120" s="615"/>
      <c r="B120" s="152">
        <v>1</v>
      </c>
      <c r="C120" s="45">
        <v>9</v>
      </c>
      <c r="D120" s="45">
        <v>1</v>
      </c>
      <c r="E120" s="50">
        <v>13</v>
      </c>
      <c r="F120" s="291">
        <v>2</v>
      </c>
      <c r="G120" s="45">
        <v>9</v>
      </c>
      <c r="H120" s="45">
        <v>1</v>
      </c>
      <c r="I120" s="45">
        <v>2</v>
      </c>
      <c r="J120" s="45">
        <v>2</v>
      </c>
      <c r="K120" s="45">
        <v>3</v>
      </c>
      <c r="L120" s="51">
        <v>6</v>
      </c>
      <c r="M120" s="51">
        <v>1</v>
      </c>
      <c r="N120" s="45">
        <v>2</v>
      </c>
      <c r="O120" s="45">
        <v>1</v>
      </c>
      <c r="P120" s="45">
        <v>1</v>
      </c>
      <c r="Q120" s="45">
        <v>9</v>
      </c>
      <c r="R120" s="45">
        <v>2</v>
      </c>
      <c r="S120" s="45">
        <v>2</v>
      </c>
      <c r="T120" s="45">
        <v>6</v>
      </c>
      <c r="U120" s="45">
        <v>5</v>
      </c>
      <c r="V120" s="45">
        <v>2</v>
      </c>
      <c r="W120" s="45">
        <v>6</v>
      </c>
      <c r="X120" s="45">
        <v>2</v>
      </c>
      <c r="Y120" s="45">
        <v>7</v>
      </c>
      <c r="Z120" s="45">
        <v>7</v>
      </c>
      <c r="AA120" s="45">
        <v>3</v>
      </c>
      <c r="AB120" s="45">
        <v>7</v>
      </c>
      <c r="AC120" s="45">
        <v>7</v>
      </c>
      <c r="AD120" s="45">
        <v>1</v>
      </c>
      <c r="AE120" s="45">
        <v>1</v>
      </c>
      <c r="AF120" s="49">
        <v>7</v>
      </c>
    </row>
    <row r="121" spans="1:35" outlineLevel="1" x14ac:dyDescent="0.25">
      <c r="A121" s="615"/>
      <c r="B121" s="152" t="s">
        <v>1</v>
      </c>
      <c r="C121" s="45" t="s">
        <v>1</v>
      </c>
      <c r="D121" s="45" t="s">
        <v>69</v>
      </c>
      <c r="E121" s="50" t="s">
        <v>69</v>
      </c>
      <c r="F121" s="291" t="s">
        <v>1</v>
      </c>
      <c r="G121" s="45" t="s">
        <v>1</v>
      </c>
      <c r="H121" s="45" t="s">
        <v>69</v>
      </c>
      <c r="I121" s="45" t="s">
        <v>1</v>
      </c>
      <c r="J121" s="45" t="s">
        <v>1</v>
      </c>
      <c r="K121" s="45" t="s">
        <v>1</v>
      </c>
      <c r="L121" s="52" t="s">
        <v>1</v>
      </c>
      <c r="M121" s="52" t="s">
        <v>1</v>
      </c>
      <c r="N121" s="45" t="s">
        <v>69</v>
      </c>
      <c r="O121" s="45" t="s">
        <v>69</v>
      </c>
      <c r="P121" s="53" t="s">
        <v>69</v>
      </c>
      <c r="Q121" s="45" t="s">
        <v>1</v>
      </c>
      <c r="R121" s="45" t="s">
        <v>1</v>
      </c>
      <c r="S121" s="45" t="s">
        <v>1</v>
      </c>
      <c r="T121" s="45" t="s">
        <v>1</v>
      </c>
      <c r="U121" s="45" t="s">
        <v>69</v>
      </c>
      <c r="V121" s="45" t="s">
        <v>1</v>
      </c>
      <c r="W121" s="45" t="s">
        <v>1</v>
      </c>
      <c r="X121" s="45" t="s">
        <v>1</v>
      </c>
      <c r="Y121" s="45" t="s">
        <v>1</v>
      </c>
      <c r="Z121" s="45" t="s">
        <v>1</v>
      </c>
      <c r="AA121" s="45" t="s">
        <v>1</v>
      </c>
      <c r="AB121" s="45" t="s">
        <v>1</v>
      </c>
      <c r="AC121" s="45" t="s">
        <v>1</v>
      </c>
      <c r="AD121" s="45" t="s">
        <v>69</v>
      </c>
      <c r="AE121" s="45" t="s">
        <v>1</v>
      </c>
      <c r="AF121" s="49" t="s">
        <v>1</v>
      </c>
    </row>
    <row r="122" spans="1:35" outlineLevel="1" x14ac:dyDescent="0.25">
      <c r="A122" s="615"/>
      <c r="B122" s="152" t="s">
        <v>0</v>
      </c>
      <c r="C122" s="45" t="s">
        <v>0</v>
      </c>
      <c r="D122" s="45" t="s">
        <v>4</v>
      </c>
      <c r="E122" s="50" t="s">
        <v>0</v>
      </c>
      <c r="F122" s="291" t="s">
        <v>0</v>
      </c>
      <c r="G122" s="45" t="s">
        <v>0</v>
      </c>
      <c r="H122" s="45" t="s">
        <v>4</v>
      </c>
      <c r="I122" s="45" t="s">
        <v>4</v>
      </c>
      <c r="J122" s="45" t="s">
        <v>4</v>
      </c>
      <c r="K122" s="45" t="s">
        <v>4</v>
      </c>
      <c r="L122" s="52" t="s">
        <v>4</v>
      </c>
      <c r="M122" s="52" t="s">
        <v>0</v>
      </c>
      <c r="N122" s="45" t="s">
        <v>4</v>
      </c>
      <c r="O122" s="45" t="s">
        <v>4</v>
      </c>
      <c r="P122" s="45" t="s">
        <v>4</v>
      </c>
      <c r="Q122" s="45" t="s">
        <v>4</v>
      </c>
      <c r="R122" s="45" t="s">
        <v>4</v>
      </c>
      <c r="S122" s="45" t="s">
        <v>112</v>
      </c>
      <c r="T122" s="45" t="s">
        <v>0</v>
      </c>
      <c r="U122" s="45" t="s">
        <v>0</v>
      </c>
      <c r="V122" s="45" t="s">
        <v>0</v>
      </c>
      <c r="W122" s="45" t="s">
        <v>0</v>
      </c>
      <c r="X122" s="45" t="s">
        <v>0</v>
      </c>
      <c r="Y122" s="45" t="s">
        <v>0</v>
      </c>
      <c r="Z122" s="45" t="s">
        <v>0</v>
      </c>
      <c r="AA122" s="45" t="s">
        <v>0</v>
      </c>
      <c r="AB122" s="45" t="s">
        <v>0</v>
      </c>
      <c r="AC122" s="45" t="s">
        <v>0</v>
      </c>
      <c r="AD122" s="45" t="s">
        <v>4</v>
      </c>
      <c r="AE122" s="45" t="s">
        <v>4</v>
      </c>
      <c r="AF122" s="49" t="s">
        <v>4</v>
      </c>
    </row>
    <row r="123" spans="1:35" ht="30" customHeight="1" thickBot="1" x14ac:dyDescent="0.3">
      <c r="A123" s="616"/>
      <c r="B123" s="149" t="s">
        <v>10</v>
      </c>
      <c r="C123" s="54" t="s">
        <v>544</v>
      </c>
      <c r="D123" s="55" t="s">
        <v>8</v>
      </c>
      <c r="E123" s="54" t="s">
        <v>198</v>
      </c>
      <c r="F123" s="288">
        <v>77</v>
      </c>
      <c r="G123" s="54">
        <v>250000001</v>
      </c>
      <c r="H123" s="193" t="s">
        <v>8</v>
      </c>
      <c r="I123" s="193" t="s">
        <v>5</v>
      </c>
      <c r="J123" s="55" t="s">
        <v>5</v>
      </c>
      <c r="K123" s="55" t="s">
        <v>6</v>
      </c>
      <c r="L123" s="55" t="s">
        <v>208</v>
      </c>
      <c r="M123" s="193" t="s">
        <v>397</v>
      </c>
      <c r="N123" s="55" t="s">
        <v>210</v>
      </c>
      <c r="O123" s="55" t="s">
        <v>8</v>
      </c>
      <c r="P123" s="55" t="s">
        <v>8</v>
      </c>
      <c r="Q123" s="54" t="s">
        <v>544</v>
      </c>
      <c r="R123" s="55" t="s">
        <v>5</v>
      </c>
      <c r="S123" s="55" t="s">
        <v>5</v>
      </c>
      <c r="T123" s="33" t="s">
        <v>756</v>
      </c>
      <c r="U123" s="228" t="s">
        <v>246</v>
      </c>
      <c r="V123" s="33" t="s">
        <v>649</v>
      </c>
      <c r="W123" s="54" t="s">
        <v>590</v>
      </c>
      <c r="X123" s="33" t="s">
        <v>207</v>
      </c>
      <c r="Y123" s="54" t="s">
        <v>595</v>
      </c>
      <c r="Z123" s="96" t="s">
        <v>770</v>
      </c>
      <c r="AA123" s="54" t="s">
        <v>6</v>
      </c>
      <c r="AB123" s="54" t="s">
        <v>212</v>
      </c>
      <c r="AC123" s="54" t="s">
        <v>212</v>
      </c>
      <c r="AD123" s="193" t="s">
        <v>498</v>
      </c>
      <c r="AE123" s="193" t="s">
        <v>200</v>
      </c>
      <c r="AF123" s="54" t="s">
        <v>212</v>
      </c>
      <c r="AG123" s="188" t="s">
        <v>589</v>
      </c>
      <c r="AH123" s="76"/>
      <c r="AI123" s="76"/>
    </row>
    <row r="124" spans="1:35" s="75" customFormat="1" ht="15.75" thickBot="1" x14ac:dyDescent="0.3">
      <c r="B124" s="150" t="s">
        <v>586</v>
      </c>
      <c r="C124" s="75" t="s">
        <v>586</v>
      </c>
      <c r="D124" s="75" t="s">
        <v>586</v>
      </c>
      <c r="E124" s="75" t="s">
        <v>586</v>
      </c>
      <c r="F124" s="276" t="s">
        <v>586</v>
      </c>
      <c r="G124" s="75" t="s">
        <v>586</v>
      </c>
      <c r="H124" s="75" t="s">
        <v>586</v>
      </c>
      <c r="I124" s="75" t="s">
        <v>586</v>
      </c>
      <c r="J124" s="75" t="s">
        <v>586</v>
      </c>
      <c r="K124" s="75" t="s">
        <v>586</v>
      </c>
      <c r="L124" s="75" t="s">
        <v>586</v>
      </c>
      <c r="M124" s="75" t="s">
        <v>586</v>
      </c>
      <c r="N124" s="75" t="s">
        <v>586</v>
      </c>
      <c r="O124" s="75" t="s">
        <v>586</v>
      </c>
      <c r="P124" s="75" t="s">
        <v>586</v>
      </c>
      <c r="Q124" s="75" t="s">
        <v>586</v>
      </c>
      <c r="R124" s="75" t="s">
        <v>586</v>
      </c>
      <c r="S124" s="75" t="s">
        <v>586</v>
      </c>
      <c r="T124" s="75" t="s">
        <v>586</v>
      </c>
      <c r="U124" s="75" t="s">
        <v>586</v>
      </c>
      <c r="V124" s="75" t="s">
        <v>586</v>
      </c>
      <c r="W124" s="75" t="s">
        <v>586</v>
      </c>
      <c r="X124" s="75" t="s">
        <v>586</v>
      </c>
      <c r="Y124" s="75" t="s">
        <v>586</v>
      </c>
      <c r="Z124" s="75" t="s">
        <v>586</v>
      </c>
      <c r="AA124" s="75" t="s">
        <v>586</v>
      </c>
      <c r="AB124" s="75" t="s">
        <v>586</v>
      </c>
      <c r="AC124" s="75" t="s">
        <v>586</v>
      </c>
      <c r="AD124" s="75" t="s">
        <v>586</v>
      </c>
      <c r="AE124" s="75" t="s">
        <v>586</v>
      </c>
      <c r="AF124" s="75" t="s">
        <v>586</v>
      </c>
    </row>
    <row r="125" spans="1:35" ht="100.15" customHeight="1" x14ac:dyDescent="0.25">
      <c r="A125" s="620" t="s">
        <v>922</v>
      </c>
      <c r="B125" s="151" t="s">
        <v>13</v>
      </c>
      <c r="C125" s="40" t="s">
        <v>14</v>
      </c>
      <c r="D125" s="40" t="s">
        <v>15</v>
      </c>
      <c r="E125" s="41" t="s">
        <v>16</v>
      </c>
      <c r="F125" s="289" t="s">
        <v>17</v>
      </c>
      <c r="G125" s="40" t="s">
        <v>70</v>
      </c>
      <c r="H125" s="40" t="s">
        <v>71</v>
      </c>
      <c r="I125" s="40" t="s">
        <v>72</v>
      </c>
      <c r="J125" s="40" t="s">
        <v>2</v>
      </c>
      <c r="K125" s="40" t="s">
        <v>73</v>
      </c>
      <c r="L125" s="42" t="s">
        <v>74</v>
      </c>
      <c r="M125" s="42" t="s">
        <v>75</v>
      </c>
      <c r="N125" s="40" t="s">
        <v>76</v>
      </c>
      <c r="O125" s="40" t="s">
        <v>77</v>
      </c>
      <c r="P125" s="40" t="s">
        <v>78</v>
      </c>
      <c r="Q125" s="40" t="s">
        <v>79</v>
      </c>
      <c r="R125" s="40" t="s">
        <v>80</v>
      </c>
      <c r="S125" s="40" t="s">
        <v>81</v>
      </c>
      <c r="T125" s="40" t="s">
        <v>82</v>
      </c>
      <c r="U125" s="40" t="s">
        <v>83</v>
      </c>
      <c r="V125" s="40" t="s">
        <v>84</v>
      </c>
      <c r="W125" s="40" t="s">
        <v>3</v>
      </c>
      <c r="X125" s="40" t="s">
        <v>85</v>
      </c>
      <c r="Y125" s="40" t="s">
        <v>86</v>
      </c>
      <c r="Z125" s="40" t="s">
        <v>87</v>
      </c>
      <c r="AA125" s="40" t="s">
        <v>88</v>
      </c>
      <c r="AB125" s="40" t="s">
        <v>89</v>
      </c>
      <c r="AC125" s="40" t="s">
        <v>90</v>
      </c>
      <c r="AD125" s="40" t="s">
        <v>91</v>
      </c>
      <c r="AE125" s="40" t="s">
        <v>92</v>
      </c>
      <c r="AF125" s="43" t="s">
        <v>93</v>
      </c>
      <c r="AG125" s="2"/>
    </row>
    <row r="126" spans="1:35" ht="19.899999999999999" customHeight="1" x14ac:dyDescent="0.25">
      <c r="A126" s="615"/>
      <c r="B126" s="152">
        <v>1</v>
      </c>
      <c r="C126" s="44" t="s">
        <v>47</v>
      </c>
      <c r="D126" s="45">
        <v>11</v>
      </c>
      <c r="E126" s="46" t="s">
        <v>48</v>
      </c>
      <c r="F126" s="290" t="s">
        <v>49</v>
      </c>
      <c r="G126" s="47" t="s">
        <v>50</v>
      </c>
      <c r="H126" s="47">
        <v>36</v>
      </c>
      <c r="I126" s="47" t="s">
        <v>94</v>
      </c>
      <c r="J126" s="47" t="s">
        <v>95</v>
      </c>
      <c r="K126" s="47" t="s">
        <v>96</v>
      </c>
      <c r="L126" s="48" t="s">
        <v>97</v>
      </c>
      <c r="M126" s="48" t="s">
        <v>98</v>
      </c>
      <c r="N126" s="47" t="s">
        <v>99</v>
      </c>
      <c r="O126" s="47">
        <v>53</v>
      </c>
      <c r="P126" s="47">
        <v>54</v>
      </c>
      <c r="Q126" s="47" t="s">
        <v>913</v>
      </c>
      <c r="R126" s="47" t="s">
        <v>100</v>
      </c>
      <c r="S126" s="47" t="s">
        <v>101</v>
      </c>
      <c r="T126" s="47" t="s">
        <v>57</v>
      </c>
      <c r="U126" s="47" t="s">
        <v>102</v>
      </c>
      <c r="V126" s="47" t="s">
        <v>103</v>
      </c>
      <c r="W126" s="47" t="s">
        <v>104</v>
      </c>
      <c r="X126" s="47" t="s">
        <v>105</v>
      </c>
      <c r="Y126" s="47" t="s">
        <v>106</v>
      </c>
      <c r="Z126" s="47" t="s">
        <v>107</v>
      </c>
      <c r="AA126" s="47" t="s">
        <v>108</v>
      </c>
      <c r="AB126" s="45" t="s">
        <v>109</v>
      </c>
      <c r="AC126" s="47" t="s">
        <v>110</v>
      </c>
      <c r="AD126" s="45">
        <v>120</v>
      </c>
      <c r="AE126" s="45">
        <v>121</v>
      </c>
      <c r="AF126" s="49" t="s">
        <v>111</v>
      </c>
    </row>
    <row r="127" spans="1:35" outlineLevel="1" x14ac:dyDescent="0.25">
      <c r="A127" s="615"/>
      <c r="B127" s="152">
        <v>1</v>
      </c>
      <c r="C127" s="45">
        <v>9</v>
      </c>
      <c r="D127" s="45">
        <v>1</v>
      </c>
      <c r="E127" s="50">
        <v>13</v>
      </c>
      <c r="F127" s="291">
        <v>2</v>
      </c>
      <c r="G127" s="45">
        <v>9</v>
      </c>
      <c r="H127" s="45">
        <v>1</v>
      </c>
      <c r="I127" s="45">
        <v>2</v>
      </c>
      <c r="J127" s="45">
        <v>2</v>
      </c>
      <c r="K127" s="45">
        <v>3</v>
      </c>
      <c r="L127" s="51">
        <v>6</v>
      </c>
      <c r="M127" s="51">
        <v>1</v>
      </c>
      <c r="N127" s="45">
        <v>2</v>
      </c>
      <c r="O127" s="45">
        <v>1</v>
      </c>
      <c r="P127" s="45">
        <v>1</v>
      </c>
      <c r="Q127" s="45">
        <v>9</v>
      </c>
      <c r="R127" s="45">
        <v>2</v>
      </c>
      <c r="S127" s="45">
        <v>2</v>
      </c>
      <c r="T127" s="45">
        <v>6</v>
      </c>
      <c r="U127" s="45">
        <v>5</v>
      </c>
      <c r="V127" s="45">
        <v>2</v>
      </c>
      <c r="W127" s="45">
        <v>6</v>
      </c>
      <c r="X127" s="45">
        <v>2</v>
      </c>
      <c r="Y127" s="45">
        <v>7</v>
      </c>
      <c r="Z127" s="45">
        <v>7</v>
      </c>
      <c r="AA127" s="45">
        <v>3</v>
      </c>
      <c r="AB127" s="45">
        <v>7</v>
      </c>
      <c r="AC127" s="45">
        <v>7</v>
      </c>
      <c r="AD127" s="45">
        <v>1</v>
      </c>
      <c r="AE127" s="45">
        <v>1</v>
      </c>
      <c r="AF127" s="49">
        <v>7</v>
      </c>
    </row>
    <row r="128" spans="1:35" outlineLevel="1" x14ac:dyDescent="0.25">
      <c r="A128" s="615"/>
      <c r="B128" s="152" t="s">
        <v>1</v>
      </c>
      <c r="C128" s="45" t="s">
        <v>1</v>
      </c>
      <c r="D128" s="45" t="s">
        <v>69</v>
      </c>
      <c r="E128" s="50" t="s">
        <v>69</v>
      </c>
      <c r="F128" s="291" t="s">
        <v>1</v>
      </c>
      <c r="G128" s="45" t="s">
        <v>1</v>
      </c>
      <c r="H128" s="45" t="s">
        <v>69</v>
      </c>
      <c r="I128" s="45" t="s">
        <v>1</v>
      </c>
      <c r="J128" s="45" t="s">
        <v>1</v>
      </c>
      <c r="K128" s="45" t="s">
        <v>1</v>
      </c>
      <c r="L128" s="52" t="s">
        <v>1</v>
      </c>
      <c r="M128" s="52" t="s">
        <v>1</v>
      </c>
      <c r="N128" s="45" t="s">
        <v>69</v>
      </c>
      <c r="O128" s="45" t="s">
        <v>69</v>
      </c>
      <c r="P128" s="53" t="s">
        <v>69</v>
      </c>
      <c r="Q128" s="45" t="s">
        <v>1</v>
      </c>
      <c r="R128" s="45" t="s">
        <v>1</v>
      </c>
      <c r="S128" s="45" t="s">
        <v>1</v>
      </c>
      <c r="T128" s="45" t="s">
        <v>1</v>
      </c>
      <c r="U128" s="45" t="s">
        <v>69</v>
      </c>
      <c r="V128" s="45" t="s">
        <v>1</v>
      </c>
      <c r="W128" s="45" t="s">
        <v>1</v>
      </c>
      <c r="X128" s="45" t="s">
        <v>1</v>
      </c>
      <c r="Y128" s="45" t="s">
        <v>1</v>
      </c>
      <c r="Z128" s="45" t="s">
        <v>1</v>
      </c>
      <c r="AA128" s="45" t="s">
        <v>1</v>
      </c>
      <c r="AB128" s="45" t="s">
        <v>1</v>
      </c>
      <c r="AC128" s="45" t="s">
        <v>1</v>
      </c>
      <c r="AD128" s="45" t="s">
        <v>69</v>
      </c>
      <c r="AE128" s="45" t="s">
        <v>1</v>
      </c>
      <c r="AF128" s="49" t="s">
        <v>1</v>
      </c>
    </row>
    <row r="129" spans="1:35" outlineLevel="1" x14ac:dyDescent="0.25">
      <c r="A129" s="615"/>
      <c r="B129" s="152" t="s">
        <v>0</v>
      </c>
      <c r="C129" s="45" t="s">
        <v>0</v>
      </c>
      <c r="D129" s="45" t="s">
        <v>4</v>
      </c>
      <c r="E129" s="50" t="s">
        <v>0</v>
      </c>
      <c r="F129" s="291" t="s">
        <v>0</v>
      </c>
      <c r="G129" s="45" t="s">
        <v>0</v>
      </c>
      <c r="H129" s="45" t="s">
        <v>4</v>
      </c>
      <c r="I129" s="45" t="s">
        <v>4</v>
      </c>
      <c r="J129" s="45" t="s">
        <v>4</v>
      </c>
      <c r="K129" s="45" t="s">
        <v>4</v>
      </c>
      <c r="L129" s="52" t="s">
        <v>4</v>
      </c>
      <c r="M129" s="52" t="s">
        <v>0</v>
      </c>
      <c r="N129" s="45" t="s">
        <v>4</v>
      </c>
      <c r="O129" s="45" t="s">
        <v>4</v>
      </c>
      <c r="P129" s="45" t="s">
        <v>4</v>
      </c>
      <c r="Q129" s="45" t="s">
        <v>4</v>
      </c>
      <c r="R129" s="45" t="s">
        <v>4</v>
      </c>
      <c r="S129" s="45" t="s">
        <v>112</v>
      </c>
      <c r="T129" s="45" t="s">
        <v>0</v>
      </c>
      <c r="U129" s="45" t="s">
        <v>0</v>
      </c>
      <c r="V129" s="45" t="s">
        <v>0</v>
      </c>
      <c r="W129" s="45" t="s">
        <v>0</v>
      </c>
      <c r="X129" s="45" t="s">
        <v>0</v>
      </c>
      <c r="Y129" s="45" t="s">
        <v>0</v>
      </c>
      <c r="Z129" s="45" t="s">
        <v>0</v>
      </c>
      <c r="AA129" s="45" t="s">
        <v>0</v>
      </c>
      <c r="AB129" s="45" t="s">
        <v>0</v>
      </c>
      <c r="AC129" s="45" t="s">
        <v>0</v>
      </c>
      <c r="AD129" s="45" t="s">
        <v>4</v>
      </c>
      <c r="AE129" s="45" t="s">
        <v>4</v>
      </c>
      <c r="AF129" s="49" t="s">
        <v>4</v>
      </c>
    </row>
    <row r="130" spans="1:35" ht="30" customHeight="1" thickBot="1" x14ac:dyDescent="0.3">
      <c r="A130" s="616"/>
      <c r="B130" s="149" t="s">
        <v>10</v>
      </c>
      <c r="C130" s="54" t="s">
        <v>544</v>
      </c>
      <c r="D130" s="55" t="s">
        <v>8</v>
      </c>
      <c r="E130" s="54" t="s">
        <v>198</v>
      </c>
      <c r="F130" s="288">
        <v>77</v>
      </c>
      <c r="G130" s="54">
        <v>250000001</v>
      </c>
      <c r="H130" s="193" t="s">
        <v>8</v>
      </c>
      <c r="I130" s="193" t="s">
        <v>5</v>
      </c>
      <c r="J130" s="55" t="s">
        <v>5</v>
      </c>
      <c r="K130" s="55" t="s">
        <v>6</v>
      </c>
      <c r="L130" s="55" t="s">
        <v>208</v>
      </c>
      <c r="M130" s="193" t="s">
        <v>397</v>
      </c>
      <c r="N130" s="55" t="s">
        <v>210</v>
      </c>
      <c r="O130" s="55" t="s">
        <v>8</v>
      </c>
      <c r="P130" s="55" t="s">
        <v>8</v>
      </c>
      <c r="Q130" s="54" t="s">
        <v>544</v>
      </c>
      <c r="R130" s="55" t="s">
        <v>5</v>
      </c>
      <c r="S130" s="55" t="s">
        <v>5</v>
      </c>
      <c r="T130" s="33" t="s">
        <v>756</v>
      </c>
      <c r="U130" s="228" t="s">
        <v>239</v>
      </c>
      <c r="V130" s="33" t="s">
        <v>649</v>
      </c>
      <c r="W130" s="54" t="s">
        <v>590</v>
      </c>
      <c r="X130" s="33" t="s">
        <v>207</v>
      </c>
      <c r="Y130" s="54" t="s">
        <v>595</v>
      </c>
      <c r="Z130" s="96" t="s">
        <v>770</v>
      </c>
      <c r="AA130" s="54" t="s">
        <v>6</v>
      </c>
      <c r="AB130" s="54" t="s">
        <v>212</v>
      </c>
      <c r="AC130" s="54" t="s">
        <v>212</v>
      </c>
      <c r="AD130" s="193" t="s">
        <v>498</v>
      </c>
      <c r="AE130" s="193" t="s">
        <v>200</v>
      </c>
      <c r="AF130" s="54" t="s">
        <v>212</v>
      </c>
      <c r="AG130" s="188" t="s">
        <v>589</v>
      </c>
      <c r="AH130" s="76"/>
      <c r="AI130" s="76"/>
    </row>
    <row r="131" spans="1:35" s="75" customFormat="1" ht="15.75" thickBot="1" x14ac:dyDescent="0.3">
      <c r="B131" s="150" t="s">
        <v>586</v>
      </c>
      <c r="C131" s="75" t="s">
        <v>586</v>
      </c>
      <c r="D131" s="75" t="s">
        <v>586</v>
      </c>
      <c r="E131" s="75" t="s">
        <v>586</v>
      </c>
      <c r="F131" s="276" t="s">
        <v>586</v>
      </c>
      <c r="G131" s="75" t="s">
        <v>586</v>
      </c>
      <c r="H131" s="75" t="s">
        <v>586</v>
      </c>
      <c r="I131" s="75" t="s">
        <v>586</v>
      </c>
      <c r="J131" s="75" t="s">
        <v>586</v>
      </c>
      <c r="K131" s="75" t="s">
        <v>586</v>
      </c>
      <c r="L131" s="75" t="s">
        <v>586</v>
      </c>
      <c r="M131" s="75" t="s">
        <v>586</v>
      </c>
      <c r="N131" s="75" t="s">
        <v>586</v>
      </c>
      <c r="O131" s="75" t="s">
        <v>586</v>
      </c>
      <c r="P131" s="75" t="s">
        <v>586</v>
      </c>
      <c r="Q131" s="75" t="s">
        <v>586</v>
      </c>
      <c r="R131" s="75" t="s">
        <v>586</v>
      </c>
      <c r="S131" s="75" t="s">
        <v>586</v>
      </c>
      <c r="T131" s="75" t="s">
        <v>586</v>
      </c>
      <c r="U131" s="75" t="s">
        <v>586</v>
      </c>
      <c r="V131" s="75" t="s">
        <v>586</v>
      </c>
      <c r="W131" s="75" t="s">
        <v>586</v>
      </c>
      <c r="X131" s="75" t="s">
        <v>586</v>
      </c>
      <c r="Y131" s="75" t="s">
        <v>586</v>
      </c>
      <c r="Z131" s="75" t="s">
        <v>586</v>
      </c>
      <c r="AA131" s="75" t="s">
        <v>586</v>
      </c>
      <c r="AB131" s="75" t="s">
        <v>586</v>
      </c>
      <c r="AC131" s="75" t="s">
        <v>586</v>
      </c>
      <c r="AD131" s="75" t="s">
        <v>586</v>
      </c>
      <c r="AE131" s="75" t="s">
        <v>586</v>
      </c>
      <c r="AF131" s="75" t="s">
        <v>586</v>
      </c>
    </row>
    <row r="132" spans="1:35" ht="100.15" customHeight="1" x14ac:dyDescent="0.25">
      <c r="A132" s="620" t="s">
        <v>919</v>
      </c>
      <c r="B132" s="151" t="s">
        <v>13</v>
      </c>
      <c r="C132" s="40" t="s">
        <v>14</v>
      </c>
      <c r="D132" s="40" t="s">
        <v>15</v>
      </c>
      <c r="E132" s="41" t="s">
        <v>16</v>
      </c>
      <c r="F132" s="289" t="s">
        <v>17</v>
      </c>
      <c r="G132" s="40" t="s">
        <v>70</v>
      </c>
      <c r="H132" s="40" t="s">
        <v>71</v>
      </c>
      <c r="I132" s="40" t="s">
        <v>72</v>
      </c>
      <c r="J132" s="40" t="s">
        <v>2</v>
      </c>
      <c r="K132" s="40" t="s">
        <v>73</v>
      </c>
      <c r="L132" s="42" t="s">
        <v>74</v>
      </c>
      <c r="M132" s="42" t="s">
        <v>75</v>
      </c>
      <c r="N132" s="40" t="s">
        <v>76</v>
      </c>
      <c r="O132" s="40" t="s">
        <v>77</v>
      </c>
      <c r="P132" s="40" t="s">
        <v>78</v>
      </c>
      <c r="Q132" s="40" t="s">
        <v>79</v>
      </c>
      <c r="R132" s="40" t="s">
        <v>80</v>
      </c>
      <c r="S132" s="40" t="s">
        <v>81</v>
      </c>
      <c r="T132" s="40" t="s">
        <v>82</v>
      </c>
      <c r="U132" s="40" t="s">
        <v>83</v>
      </c>
      <c r="V132" s="40" t="s">
        <v>84</v>
      </c>
      <c r="W132" s="40" t="s">
        <v>3</v>
      </c>
      <c r="X132" s="40" t="s">
        <v>85</v>
      </c>
      <c r="Y132" s="40" t="s">
        <v>86</v>
      </c>
      <c r="Z132" s="40" t="s">
        <v>87</v>
      </c>
      <c r="AA132" s="40" t="s">
        <v>88</v>
      </c>
      <c r="AB132" s="40" t="s">
        <v>89</v>
      </c>
      <c r="AC132" s="40" t="s">
        <v>90</v>
      </c>
      <c r="AD132" s="40" t="s">
        <v>91</v>
      </c>
      <c r="AE132" s="40" t="s">
        <v>92</v>
      </c>
      <c r="AF132" s="43" t="s">
        <v>93</v>
      </c>
      <c r="AG132" s="2"/>
    </row>
    <row r="133" spans="1:35" ht="19.899999999999999" customHeight="1" x14ac:dyDescent="0.25">
      <c r="A133" s="615"/>
      <c r="B133" s="152">
        <v>1</v>
      </c>
      <c r="C133" s="44" t="s">
        <v>47</v>
      </c>
      <c r="D133" s="45">
        <v>11</v>
      </c>
      <c r="E133" s="46" t="s">
        <v>48</v>
      </c>
      <c r="F133" s="290" t="s">
        <v>49</v>
      </c>
      <c r="G133" s="47" t="s">
        <v>50</v>
      </c>
      <c r="H133" s="47">
        <v>36</v>
      </c>
      <c r="I133" s="47" t="s">
        <v>94</v>
      </c>
      <c r="J133" s="47" t="s">
        <v>95</v>
      </c>
      <c r="K133" s="47" t="s">
        <v>96</v>
      </c>
      <c r="L133" s="48" t="s">
        <v>97</v>
      </c>
      <c r="M133" s="48" t="s">
        <v>98</v>
      </c>
      <c r="N133" s="47" t="s">
        <v>99</v>
      </c>
      <c r="O133" s="47">
        <v>53</v>
      </c>
      <c r="P133" s="47">
        <v>54</v>
      </c>
      <c r="Q133" s="47" t="s">
        <v>913</v>
      </c>
      <c r="R133" s="47" t="s">
        <v>100</v>
      </c>
      <c r="S133" s="47" t="s">
        <v>101</v>
      </c>
      <c r="T133" s="47" t="s">
        <v>57</v>
      </c>
      <c r="U133" s="47" t="s">
        <v>102</v>
      </c>
      <c r="V133" s="47" t="s">
        <v>103</v>
      </c>
      <c r="W133" s="47" t="s">
        <v>104</v>
      </c>
      <c r="X133" s="47" t="s">
        <v>105</v>
      </c>
      <c r="Y133" s="47" t="s">
        <v>106</v>
      </c>
      <c r="Z133" s="47" t="s">
        <v>107</v>
      </c>
      <c r="AA133" s="47" t="s">
        <v>108</v>
      </c>
      <c r="AB133" s="45" t="s">
        <v>109</v>
      </c>
      <c r="AC133" s="47" t="s">
        <v>110</v>
      </c>
      <c r="AD133" s="45">
        <v>120</v>
      </c>
      <c r="AE133" s="45">
        <v>121</v>
      </c>
      <c r="AF133" s="49" t="s">
        <v>111</v>
      </c>
    </row>
    <row r="134" spans="1:35" outlineLevel="1" x14ac:dyDescent="0.25">
      <c r="A134" s="615"/>
      <c r="B134" s="152">
        <v>1</v>
      </c>
      <c r="C134" s="45">
        <v>9</v>
      </c>
      <c r="D134" s="45">
        <v>1</v>
      </c>
      <c r="E134" s="50">
        <v>13</v>
      </c>
      <c r="F134" s="291">
        <v>2</v>
      </c>
      <c r="G134" s="45">
        <v>9</v>
      </c>
      <c r="H134" s="45">
        <v>1</v>
      </c>
      <c r="I134" s="45">
        <v>2</v>
      </c>
      <c r="J134" s="45">
        <v>2</v>
      </c>
      <c r="K134" s="45">
        <v>3</v>
      </c>
      <c r="L134" s="51">
        <v>6</v>
      </c>
      <c r="M134" s="51">
        <v>1</v>
      </c>
      <c r="N134" s="45">
        <v>2</v>
      </c>
      <c r="O134" s="45">
        <v>1</v>
      </c>
      <c r="P134" s="45">
        <v>1</v>
      </c>
      <c r="Q134" s="45">
        <v>9</v>
      </c>
      <c r="R134" s="45">
        <v>2</v>
      </c>
      <c r="S134" s="45">
        <v>2</v>
      </c>
      <c r="T134" s="45">
        <v>6</v>
      </c>
      <c r="U134" s="45">
        <v>5</v>
      </c>
      <c r="V134" s="45">
        <v>2</v>
      </c>
      <c r="W134" s="45">
        <v>6</v>
      </c>
      <c r="X134" s="45">
        <v>2</v>
      </c>
      <c r="Y134" s="45">
        <v>7</v>
      </c>
      <c r="Z134" s="45">
        <v>7</v>
      </c>
      <c r="AA134" s="45">
        <v>3</v>
      </c>
      <c r="AB134" s="45">
        <v>7</v>
      </c>
      <c r="AC134" s="45">
        <v>7</v>
      </c>
      <c r="AD134" s="45">
        <v>1</v>
      </c>
      <c r="AE134" s="45">
        <v>1</v>
      </c>
      <c r="AF134" s="49">
        <v>7</v>
      </c>
    </row>
    <row r="135" spans="1:35" outlineLevel="1" x14ac:dyDescent="0.25">
      <c r="A135" s="615"/>
      <c r="B135" s="152" t="s">
        <v>1</v>
      </c>
      <c r="C135" s="45" t="s">
        <v>1</v>
      </c>
      <c r="D135" s="45" t="s">
        <v>69</v>
      </c>
      <c r="E135" s="50" t="s">
        <v>69</v>
      </c>
      <c r="F135" s="291" t="s">
        <v>1</v>
      </c>
      <c r="G135" s="45" t="s">
        <v>1</v>
      </c>
      <c r="H135" s="45" t="s">
        <v>69</v>
      </c>
      <c r="I135" s="45" t="s">
        <v>1</v>
      </c>
      <c r="J135" s="45" t="s">
        <v>1</v>
      </c>
      <c r="K135" s="45" t="s">
        <v>1</v>
      </c>
      <c r="L135" s="52" t="s">
        <v>1</v>
      </c>
      <c r="M135" s="52" t="s">
        <v>1</v>
      </c>
      <c r="N135" s="45" t="s">
        <v>69</v>
      </c>
      <c r="O135" s="45" t="s">
        <v>69</v>
      </c>
      <c r="P135" s="53" t="s">
        <v>69</v>
      </c>
      <c r="Q135" s="45" t="s">
        <v>1</v>
      </c>
      <c r="R135" s="45" t="s">
        <v>1</v>
      </c>
      <c r="S135" s="45" t="s">
        <v>1</v>
      </c>
      <c r="T135" s="45" t="s">
        <v>1</v>
      </c>
      <c r="U135" s="45" t="s">
        <v>69</v>
      </c>
      <c r="V135" s="45" t="s">
        <v>1</v>
      </c>
      <c r="W135" s="45" t="s">
        <v>1</v>
      </c>
      <c r="X135" s="45" t="s">
        <v>1</v>
      </c>
      <c r="Y135" s="45" t="s">
        <v>1</v>
      </c>
      <c r="Z135" s="45" t="s">
        <v>1</v>
      </c>
      <c r="AA135" s="45" t="s">
        <v>1</v>
      </c>
      <c r="AB135" s="45" t="s">
        <v>1</v>
      </c>
      <c r="AC135" s="45" t="s">
        <v>1</v>
      </c>
      <c r="AD135" s="45" t="s">
        <v>69</v>
      </c>
      <c r="AE135" s="45" t="s">
        <v>1</v>
      </c>
      <c r="AF135" s="49" t="s">
        <v>1</v>
      </c>
    </row>
    <row r="136" spans="1:35" ht="13.5" customHeight="1" outlineLevel="1" x14ac:dyDescent="0.25">
      <c r="A136" s="615"/>
      <c r="B136" s="152" t="s">
        <v>0</v>
      </c>
      <c r="C136" s="45" t="s">
        <v>0</v>
      </c>
      <c r="D136" s="45" t="s">
        <v>4</v>
      </c>
      <c r="E136" s="50" t="s">
        <v>0</v>
      </c>
      <c r="F136" s="291" t="s">
        <v>0</v>
      </c>
      <c r="G136" s="45" t="s">
        <v>0</v>
      </c>
      <c r="H136" s="45" t="s">
        <v>4</v>
      </c>
      <c r="I136" s="45" t="s">
        <v>4</v>
      </c>
      <c r="J136" s="45" t="s">
        <v>4</v>
      </c>
      <c r="K136" s="45" t="s">
        <v>4</v>
      </c>
      <c r="L136" s="52" t="s">
        <v>4</v>
      </c>
      <c r="M136" s="52" t="s">
        <v>0</v>
      </c>
      <c r="N136" s="45" t="s">
        <v>4</v>
      </c>
      <c r="O136" s="45" t="s">
        <v>4</v>
      </c>
      <c r="P136" s="45" t="s">
        <v>4</v>
      </c>
      <c r="Q136" s="45" t="s">
        <v>4</v>
      </c>
      <c r="R136" s="45" t="s">
        <v>4</v>
      </c>
      <c r="S136" s="45" t="s">
        <v>112</v>
      </c>
      <c r="T136" s="45" t="s">
        <v>0</v>
      </c>
      <c r="U136" s="45" t="s">
        <v>0</v>
      </c>
      <c r="V136" s="45" t="s">
        <v>0</v>
      </c>
      <c r="W136" s="45" t="s">
        <v>0</v>
      </c>
      <c r="X136" s="45" t="s">
        <v>0</v>
      </c>
      <c r="Y136" s="45" t="s">
        <v>0</v>
      </c>
      <c r="Z136" s="45" t="s">
        <v>0</v>
      </c>
      <c r="AA136" s="45" t="s">
        <v>0</v>
      </c>
      <c r="AB136" s="45" t="s">
        <v>0</v>
      </c>
      <c r="AC136" s="45" t="s">
        <v>0</v>
      </c>
      <c r="AD136" s="45" t="s">
        <v>4</v>
      </c>
      <c r="AE136" s="45" t="s">
        <v>4</v>
      </c>
      <c r="AF136" s="49" t="s">
        <v>4</v>
      </c>
    </row>
    <row r="137" spans="1:35" ht="30" customHeight="1" thickBot="1" x14ac:dyDescent="0.3">
      <c r="A137" s="616"/>
      <c r="B137" s="149" t="s">
        <v>10</v>
      </c>
      <c r="C137" s="54" t="s">
        <v>544</v>
      </c>
      <c r="D137" s="55" t="s">
        <v>8</v>
      </c>
      <c r="E137" s="54" t="s">
        <v>198</v>
      </c>
      <c r="F137" s="288">
        <v>77</v>
      </c>
      <c r="G137" s="54">
        <v>250000001</v>
      </c>
      <c r="H137" s="193" t="s">
        <v>8</v>
      </c>
      <c r="I137" s="193" t="s">
        <v>5</v>
      </c>
      <c r="J137" s="55" t="s">
        <v>5</v>
      </c>
      <c r="K137" s="55" t="s">
        <v>6</v>
      </c>
      <c r="L137" s="55" t="s">
        <v>208</v>
      </c>
      <c r="M137" s="193" t="s">
        <v>397</v>
      </c>
      <c r="N137" s="55" t="s">
        <v>210</v>
      </c>
      <c r="O137" s="55" t="s">
        <v>8</v>
      </c>
      <c r="P137" s="55" t="s">
        <v>8</v>
      </c>
      <c r="Q137" s="54" t="s">
        <v>544</v>
      </c>
      <c r="R137" s="55" t="s">
        <v>5</v>
      </c>
      <c r="S137" s="55" t="s">
        <v>5</v>
      </c>
      <c r="T137" s="33" t="s">
        <v>756</v>
      </c>
      <c r="U137" s="228" t="s">
        <v>280</v>
      </c>
      <c r="V137" s="33" t="s">
        <v>649</v>
      </c>
      <c r="W137" s="54" t="s">
        <v>590</v>
      </c>
      <c r="X137" s="33" t="s">
        <v>207</v>
      </c>
      <c r="Y137" s="54" t="s">
        <v>595</v>
      </c>
      <c r="Z137" s="96" t="s">
        <v>770</v>
      </c>
      <c r="AA137" s="54" t="s">
        <v>6</v>
      </c>
      <c r="AB137" s="54" t="s">
        <v>212</v>
      </c>
      <c r="AC137" s="54" t="s">
        <v>212</v>
      </c>
      <c r="AD137" s="193" t="s">
        <v>498</v>
      </c>
      <c r="AE137" s="193" t="s">
        <v>200</v>
      </c>
      <c r="AF137" s="54" t="s">
        <v>212</v>
      </c>
      <c r="AG137" s="188" t="s">
        <v>589</v>
      </c>
      <c r="AH137" s="76"/>
      <c r="AI137" s="76"/>
    </row>
    <row r="138" spans="1:35" s="75" customFormat="1" ht="15.75" thickBot="1" x14ac:dyDescent="0.3">
      <c r="A138" s="77"/>
      <c r="B138" s="144"/>
      <c r="C138" s="77"/>
      <c r="D138" s="77"/>
      <c r="E138" s="77"/>
      <c r="F138" s="271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</row>
    <row r="139" spans="1:35" ht="100.15" customHeight="1" x14ac:dyDescent="0.25">
      <c r="A139" s="614" t="s">
        <v>360</v>
      </c>
      <c r="B139" s="147" t="s">
        <v>13</v>
      </c>
      <c r="C139" s="24" t="s">
        <v>14</v>
      </c>
      <c r="D139" s="24" t="s">
        <v>15</v>
      </c>
      <c r="E139" s="25" t="s">
        <v>16</v>
      </c>
      <c r="F139" s="282" t="s">
        <v>17</v>
      </c>
      <c r="G139" s="24" t="s">
        <v>70</v>
      </c>
      <c r="H139" s="24" t="s">
        <v>15</v>
      </c>
      <c r="I139" s="24" t="s">
        <v>220</v>
      </c>
      <c r="J139" s="24" t="s">
        <v>221</v>
      </c>
      <c r="K139" s="26" t="s">
        <v>222</v>
      </c>
      <c r="L139" s="26" t="s">
        <v>223</v>
      </c>
      <c r="M139" s="24" t="s">
        <v>224</v>
      </c>
      <c r="N139" s="24" t="s">
        <v>225</v>
      </c>
      <c r="O139" s="24" t="s">
        <v>226</v>
      </c>
      <c r="P139" s="24" t="s">
        <v>221</v>
      </c>
      <c r="Q139" s="24" t="s">
        <v>227</v>
      </c>
      <c r="R139" s="24" t="s">
        <v>15</v>
      </c>
      <c r="S139" s="27" t="s">
        <v>228</v>
      </c>
    </row>
    <row r="140" spans="1:35" ht="19.899999999999999" customHeight="1" x14ac:dyDescent="0.25">
      <c r="A140" s="615"/>
      <c r="B140" s="148">
        <v>1</v>
      </c>
      <c r="C140" s="5" t="s">
        <v>47</v>
      </c>
      <c r="D140" s="4">
        <v>11</v>
      </c>
      <c r="E140" s="6" t="s">
        <v>48</v>
      </c>
      <c r="F140" s="283" t="s">
        <v>49</v>
      </c>
      <c r="G140" s="7" t="s">
        <v>50</v>
      </c>
      <c r="H140" s="7" t="s">
        <v>229</v>
      </c>
      <c r="I140" s="7" t="s">
        <v>216</v>
      </c>
      <c r="J140" s="7" t="s">
        <v>230</v>
      </c>
      <c r="K140" s="8" t="s">
        <v>217</v>
      </c>
      <c r="L140" s="8" t="s">
        <v>218</v>
      </c>
      <c r="M140" s="7" t="s">
        <v>179</v>
      </c>
      <c r="N140" s="7" t="s">
        <v>219</v>
      </c>
      <c r="O140" s="7">
        <v>90</v>
      </c>
      <c r="P140" s="7" t="s">
        <v>231</v>
      </c>
      <c r="Q140" s="7">
        <v>94</v>
      </c>
      <c r="R140" s="7" t="s">
        <v>232</v>
      </c>
      <c r="S140" s="28" t="s">
        <v>233</v>
      </c>
    </row>
    <row r="141" spans="1:35" outlineLevel="1" x14ac:dyDescent="0.25">
      <c r="A141" s="615"/>
      <c r="B141" s="148">
        <v>1</v>
      </c>
      <c r="C141" s="4">
        <v>9</v>
      </c>
      <c r="D141" s="4">
        <v>1</v>
      </c>
      <c r="E141" s="9">
        <v>13</v>
      </c>
      <c r="F141" s="284">
        <v>2</v>
      </c>
      <c r="G141" s="4">
        <v>9</v>
      </c>
      <c r="H141" s="4">
        <v>3</v>
      </c>
      <c r="I141" s="4">
        <v>3</v>
      </c>
      <c r="J141" s="4">
        <v>16</v>
      </c>
      <c r="K141" s="10">
        <v>8</v>
      </c>
      <c r="L141" s="10">
        <v>8</v>
      </c>
      <c r="M141" s="4">
        <v>8</v>
      </c>
      <c r="N141" s="4">
        <v>8</v>
      </c>
      <c r="O141" s="4">
        <v>1</v>
      </c>
      <c r="P141" s="4">
        <v>3</v>
      </c>
      <c r="Q141" s="4">
        <v>1</v>
      </c>
      <c r="R141" s="4">
        <v>2</v>
      </c>
      <c r="S141" s="29">
        <v>32</v>
      </c>
    </row>
    <row r="142" spans="1:35" ht="13.5" customHeight="1" outlineLevel="1" x14ac:dyDescent="0.25">
      <c r="A142" s="615"/>
      <c r="B142" s="148" t="s">
        <v>1</v>
      </c>
      <c r="C142" s="4" t="s">
        <v>1</v>
      </c>
      <c r="D142" s="4" t="s">
        <v>69</v>
      </c>
      <c r="E142" s="9" t="s">
        <v>69</v>
      </c>
      <c r="F142" s="284" t="s">
        <v>1</v>
      </c>
      <c r="G142" s="4" t="s">
        <v>1</v>
      </c>
      <c r="H142" s="4" t="s">
        <v>69</v>
      </c>
      <c r="I142" s="4" t="s">
        <v>1</v>
      </c>
      <c r="J142" s="4" t="s">
        <v>69</v>
      </c>
      <c r="K142" s="12" t="s">
        <v>1</v>
      </c>
      <c r="L142" s="12" t="s">
        <v>1</v>
      </c>
      <c r="M142" s="4" t="s">
        <v>1</v>
      </c>
      <c r="N142" s="4" t="s">
        <v>1</v>
      </c>
      <c r="O142" s="4" t="s">
        <v>69</v>
      </c>
      <c r="P142" s="4" t="s">
        <v>69</v>
      </c>
      <c r="Q142" s="4" t="s">
        <v>69</v>
      </c>
      <c r="R142" s="4" t="s">
        <v>69</v>
      </c>
      <c r="S142" s="29" t="s">
        <v>69</v>
      </c>
    </row>
    <row r="143" spans="1:35" outlineLevel="1" x14ac:dyDescent="0.25">
      <c r="A143" s="615"/>
      <c r="B143" s="148" t="s">
        <v>0</v>
      </c>
      <c r="C143" s="4" t="s">
        <v>0</v>
      </c>
      <c r="D143" s="4" t="s">
        <v>4</v>
      </c>
      <c r="E143" s="9" t="s">
        <v>0</v>
      </c>
      <c r="F143" s="284" t="s">
        <v>0</v>
      </c>
      <c r="G143" s="4" t="s">
        <v>0</v>
      </c>
      <c r="H143" s="4" t="s">
        <v>4</v>
      </c>
      <c r="I143" s="4" t="s">
        <v>0</v>
      </c>
      <c r="J143" s="4" t="s">
        <v>0</v>
      </c>
      <c r="K143" s="12" t="s">
        <v>0</v>
      </c>
      <c r="L143" s="12" t="s">
        <v>0</v>
      </c>
      <c r="M143" s="4" t="s">
        <v>0</v>
      </c>
      <c r="N143" s="4" t="s">
        <v>4</v>
      </c>
      <c r="O143" s="4" t="s">
        <v>4</v>
      </c>
      <c r="P143" s="4" t="s">
        <v>0</v>
      </c>
      <c r="Q143" s="4" t="s">
        <v>0</v>
      </c>
      <c r="R143" s="4" t="s">
        <v>4</v>
      </c>
      <c r="S143" s="29" t="s">
        <v>4</v>
      </c>
    </row>
    <row r="144" spans="1:35" s="163" customFormat="1" ht="30" customHeight="1" thickBot="1" x14ac:dyDescent="0.3">
      <c r="A144" s="616"/>
      <c r="B144" s="157">
        <v>5</v>
      </c>
      <c r="C144" s="54" t="s">
        <v>544</v>
      </c>
      <c r="D144" s="55" t="s">
        <v>8</v>
      </c>
      <c r="E144" s="55" t="s">
        <v>198</v>
      </c>
      <c r="F144" s="270">
        <v>77</v>
      </c>
      <c r="G144" s="55">
        <v>250000001</v>
      </c>
      <c r="H144" s="98" t="s">
        <v>9</v>
      </c>
      <c r="I144" s="496" t="s">
        <v>906</v>
      </c>
      <c r="J144" s="98" t="s">
        <v>234</v>
      </c>
      <c r="K144" s="56" t="s">
        <v>771</v>
      </c>
      <c r="L144" s="56" t="s">
        <v>771</v>
      </c>
      <c r="M144" s="56" t="s">
        <v>599</v>
      </c>
      <c r="N144" s="56" t="s">
        <v>599</v>
      </c>
      <c r="O144" s="56" t="s">
        <v>8</v>
      </c>
      <c r="P144" s="56" t="s">
        <v>9</v>
      </c>
      <c r="Q144" s="56" t="s">
        <v>8</v>
      </c>
      <c r="R144" s="56" t="s">
        <v>210</v>
      </c>
      <c r="S144" s="99" t="s">
        <v>235</v>
      </c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</row>
    <row r="145" spans="1:35" ht="15.75" thickBot="1" x14ac:dyDescent="0.3">
      <c r="A145" s="75"/>
      <c r="B145" s="150" t="s">
        <v>586</v>
      </c>
      <c r="C145" s="75" t="s">
        <v>586</v>
      </c>
      <c r="D145" s="75" t="s">
        <v>586</v>
      </c>
      <c r="E145" s="75" t="s">
        <v>586</v>
      </c>
      <c r="F145" s="276" t="s">
        <v>586</v>
      </c>
      <c r="G145" s="75" t="s">
        <v>586</v>
      </c>
      <c r="H145" s="75" t="s">
        <v>586</v>
      </c>
      <c r="I145" s="75" t="s">
        <v>586</v>
      </c>
      <c r="J145" s="75" t="s">
        <v>586</v>
      </c>
      <c r="K145" s="75" t="s">
        <v>586</v>
      </c>
      <c r="L145" s="75" t="s">
        <v>586</v>
      </c>
      <c r="M145" s="75" t="s">
        <v>586</v>
      </c>
      <c r="N145" s="75" t="s">
        <v>586</v>
      </c>
      <c r="O145" s="75" t="s">
        <v>586</v>
      </c>
      <c r="P145" s="75" t="s">
        <v>586</v>
      </c>
      <c r="Q145" s="75" t="s">
        <v>586</v>
      </c>
      <c r="R145" s="75" t="s">
        <v>586</v>
      </c>
      <c r="S145" s="75" t="s">
        <v>586</v>
      </c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</row>
    <row r="146" spans="1:35" ht="100.15" customHeight="1" x14ac:dyDescent="0.25">
      <c r="A146" s="608" t="s">
        <v>361</v>
      </c>
      <c r="B146" s="327" t="s">
        <v>13</v>
      </c>
      <c r="C146" s="328" t="s">
        <v>14</v>
      </c>
      <c r="D146" s="328" t="s">
        <v>339</v>
      </c>
      <c r="E146" s="329" t="s">
        <v>469</v>
      </c>
      <c r="F146" s="330" t="s">
        <v>470</v>
      </c>
      <c r="G146" s="328" t="s">
        <v>471</v>
      </c>
      <c r="H146" s="328" t="s">
        <v>340</v>
      </c>
      <c r="I146" s="328" t="s">
        <v>473</v>
      </c>
      <c r="J146" s="328" t="s">
        <v>472</v>
      </c>
      <c r="K146" s="331" t="s">
        <v>312</v>
      </c>
      <c r="L146" s="331" t="s">
        <v>341</v>
      </c>
      <c r="M146" s="328" t="s">
        <v>25</v>
      </c>
      <c r="N146" s="328" t="s">
        <v>15</v>
      </c>
      <c r="O146" s="328" t="s">
        <v>474</v>
      </c>
      <c r="P146" s="328" t="s">
        <v>342</v>
      </c>
      <c r="Q146" s="328" t="s">
        <v>15</v>
      </c>
      <c r="R146" s="328" t="s">
        <v>343</v>
      </c>
      <c r="S146" s="332" t="s">
        <v>228</v>
      </c>
    </row>
    <row r="147" spans="1:35" ht="19.899999999999999" customHeight="1" x14ac:dyDescent="0.25">
      <c r="A147" s="609"/>
      <c r="B147" s="158">
        <v>1</v>
      </c>
      <c r="C147" s="102" t="s">
        <v>47</v>
      </c>
      <c r="D147" s="103" t="s">
        <v>344</v>
      </c>
      <c r="E147" s="104" t="s">
        <v>345</v>
      </c>
      <c r="F147" s="298" t="s">
        <v>346</v>
      </c>
      <c r="G147" s="103" t="s">
        <v>347</v>
      </c>
      <c r="H147" s="103" t="s">
        <v>348</v>
      </c>
      <c r="I147" s="103" t="s">
        <v>349</v>
      </c>
      <c r="J147" s="103" t="s">
        <v>350</v>
      </c>
      <c r="K147" s="105" t="s">
        <v>351</v>
      </c>
      <c r="L147" s="105" t="s">
        <v>352</v>
      </c>
      <c r="M147" s="103" t="s">
        <v>353</v>
      </c>
      <c r="N147" s="103" t="s">
        <v>354</v>
      </c>
      <c r="O147" s="103" t="s">
        <v>355</v>
      </c>
      <c r="P147" s="103" t="s">
        <v>356</v>
      </c>
      <c r="Q147" s="103" t="s">
        <v>357</v>
      </c>
      <c r="R147" s="103" t="s">
        <v>358</v>
      </c>
      <c r="S147" s="333" t="s">
        <v>233</v>
      </c>
    </row>
    <row r="148" spans="1:35" outlineLevel="1" x14ac:dyDescent="0.25">
      <c r="A148" s="609"/>
      <c r="B148" s="158">
        <v>1</v>
      </c>
      <c r="C148" s="101">
        <v>9</v>
      </c>
      <c r="D148" s="101">
        <v>3</v>
      </c>
      <c r="E148" s="101">
        <v>4</v>
      </c>
      <c r="F148" s="299">
        <v>4</v>
      </c>
      <c r="G148" s="101">
        <v>3</v>
      </c>
      <c r="H148" s="101">
        <v>9</v>
      </c>
      <c r="I148" s="101">
        <v>9</v>
      </c>
      <c r="J148" s="101">
        <v>9</v>
      </c>
      <c r="K148" s="107">
        <v>3</v>
      </c>
      <c r="L148" s="107">
        <v>1</v>
      </c>
      <c r="M148" s="101">
        <v>1</v>
      </c>
      <c r="N148" s="101">
        <v>4</v>
      </c>
      <c r="O148" s="101">
        <v>12</v>
      </c>
      <c r="P148" s="101">
        <v>12</v>
      </c>
      <c r="Q148" s="103">
        <v>3</v>
      </c>
      <c r="R148" s="101">
        <v>9</v>
      </c>
      <c r="S148" s="334">
        <v>32</v>
      </c>
    </row>
    <row r="149" spans="1:35" outlineLevel="1" x14ac:dyDescent="0.25">
      <c r="A149" s="609"/>
      <c r="B149" s="158" t="s">
        <v>1</v>
      </c>
      <c r="C149" s="101" t="s">
        <v>1</v>
      </c>
      <c r="D149" s="197" t="s">
        <v>1</v>
      </c>
      <c r="E149" s="106" t="s">
        <v>1</v>
      </c>
      <c r="F149" s="299" t="s">
        <v>1</v>
      </c>
      <c r="G149" s="101" t="s">
        <v>1</v>
      </c>
      <c r="H149" s="101" t="s">
        <v>1</v>
      </c>
      <c r="I149" s="101" t="s">
        <v>1</v>
      </c>
      <c r="J149" s="101" t="s">
        <v>1</v>
      </c>
      <c r="K149" s="108" t="s">
        <v>1</v>
      </c>
      <c r="L149" s="108" t="s">
        <v>69</v>
      </c>
      <c r="M149" s="101" t="s">
        <v>69</v>
      </c>
      <c r="N149" s="101" t="s">
        <v>69</v>
      </c>
      <c r="O149" s="101" t="s">
        <v>69</v>
      </c>
      <c r="P149" s="101" t="s">
        <v>1</v>
      </c>
      <c r="Q149" s="101" t="s">
        <v>69</v>
      </c>
      <c r="R149" s="101" t="s">
        <v>1</v>
      </c>
      <c r="S149" s="334" t="s">
        <v>1</v>
      </c>
    </row>
    <row r="150" spans="1:35" outlineLevel="1" x14ac:dyDescent="0.25">
      <c r="A150" s="609"/>
      <c r="B150" s="158" t="s">
        <v>0</v>
      </c>
      <c r="C150" s="101" t="s">
        <v>0</v>
      </c>
      <c r="D150" s="101" t="s">
        <v>0</v>
      </c>
      <c r="E150" s="106" t="s">
        <v>0</v>
      </c>
      <c r="F150" s="299" t="s">
        <v>0</v>
      </c>
      <c r="G150" s="101" t="s">
        <v>0</v>
      </c>
      <c r="H150" s="101" t="s">
        <v>0</v>
      </c>
      <c r="I150" s="101" t="s">
        <v>0</v>
      </c>
      <c r="J150" s="101" t="s">
        <v>0</v>
      </c>
      <c r="K150" s="108" t="s">
        <v>0</v>
      </c>
      <c r="L150" s="108" t="s">
        <v>4</v>
      </c>
      <c r="M150" s="101" t="s">
        <v>4</v>
      </c>
      <c r="N150" s="101" t="s">
        <v>4</v>
      </c>
      <c r="O150" s="101" t="s">
        <v>4</v>
      </c>
      <c r="P150" s="101" t="s">
        <v>4</v>
      </c>
      <c r="Q150" s="101" t="s">
        <v>4</v>
      </c>
      <c r="R150" s="101" t="s">
        <v>4</v>
      </c>
      <c r="S150" s="334" t="s">
        <v>0</v>
      </c>
    </row>
    <row r="151" spans="1:35" s="163" customFormat="1" ht="30" customHeight="1" thickBot="1" x14ac:dyDescent="0.3">
      <c r="A151" s="610"/>
      <c r="B151" s="183">
        <v>6</v>
      </c>
      <c r="C151" s="335" t="s">
        <v>544</v>
      </c>
      <c r="D151" s="185" t="s">
        <v>195</v>
      </c>
      <c r="E151" s="336" t="s">
        <v>733</v>
      </c>
      <c r="F151" s="337" t="s">
        <v>521</v>
      </c>
      <c r="G151" s="185" t="s">
        <v>195</v>
      </c>
      <c r="H151" s="184" t="s">
        <v>772</v>
      </c>
      <c r="I151" s="184" t="s">
        <v>772</v>
      </c>
      <c r="J151" s="184" t="s">
        <v>209</v>
      </c>
      <c r="K151" s="184" t="s">
        <v>195</v>
      </c>
      <c r="L151" s="186" t="s">
        <v>8</v>
      </c>
      <c r="M151" s="186" t="s">
        <v>8</v>
      </c>
      <c r="N151" s="186" t="s">
        <v>387</v>
      </c>
      <c r="O151" s="186" t="s">
        <v>941</v>
      </c>
      <c r="P151" s="186" t="s">
        <v>388</v>
      </c>
      <c r="Q151" s="186" t="s">
        <v>9</v>
      </c>
      <c r="R151" s="186" t="s">
        <v>389</v>
      </c>
      <c r="S151" s="187" t="s">
        <v>235</v>
      </c>
    </row>
    <row r="152" spans="1:35" ht="9.75" customHeight="1" thickBot="1" x14ac:dyDescent="0.3">
      <c r="B152" s="150" t="s">
        <v>586</v>
      </c>
      <c r="C152" s="150" t="s">
        <v>586</v>
      </c>
      <c r="D152" s="150" t="s">
        <v>586</v>
      </c>
      <c r="E152" s="150" t="s">
        <v>586</v>
      </c>
      <c r="F152" s="276" t="s">
        <v>586</v>
      </c>
      <c r="G152" s="150" t="s">
        <v>586</v>
      </c>
      <c r="H152" s="150" t="s">
        <v>586</v>
      </c>
      <c r="I152" s="150" t="s">
        <v>586</v>
      </c>
      <c r="J152" s="150" t="s">
        <v>586</v>
      </c>
      <c r="K152" s="150" t="s">
        <v>586</v>
      </c>
      <c r="L152" s="150" t="s">
        <v>586</v>
      </c>
      <c r="M152" s="150" t="s">
        <v>586</v>
      </c>
      <c r="N152" s="150" t="s">
        <v>586</v>
      </c>
      <c r="O152" s="150" t="s">
        <v>586</v>
      </c>
      <c r="P152" s="150" t="s">
        <v>586</v>
      </c>
      <c r="Q152" s="150" t="s">
        <v>586</v>
      </c>
      <c r="R152" s="150" t="s">
        <v>586</v>
      </c>
      <c r="S152" s="150" t="s">
        <v>586</v>
      </c>
    </row>
    <row r="153" spans="1:35" ht="100.15" customHeight="1" x14ac:dyDescent="0.25">
      <c r="A153" s="611" t="s">
        <v>371</v>
      </c>
      <c r="B153" s="159" t="s">
        <v>13</v>
      </c>
      <c r="C153" s="117" t="s">
        <v>363</v>
      </c>
      <c r="D153" s="117" t="s">
        <v>364</v>
      </c>
      <c r="E153" s="118" t="s">
        <v>15</v>
      </c>
      <c r="F153" s="300" t="s">
        <v>283</v>
      </c>
      <c r="G153" s="117" t="s">
        <v>365</v>
      </c>
      <c r="H153" s="117" t="s">
        <v>15</v>
      </c>
      <c r="I153" s="117" t="s">
        <v>286</v>
      </c>
      <c r="J153" s="117" t="s">
        <v>287</v>
      </c>
      <c r="K153" s="119" t="s">
        <v>366</v>
      </c>
      <c r="L153" s="119" t="s">
        <v>15</v>
      </c>
      <c r="M153" s="117" t="s">
        <v>367</v>
      </c>
      <c r="N153" s="120" t="s">
        <v>15</v>
      </c>
    </row>
    <row r="154" spans="1:35" ht="19.899999999999999" customHeight="1" x14ac:dyDescent="0.25">
      <c r="A154" s="612"/>
      <c r="B154" s="198" t="s">
        <v>293</v>
      </c>
      <c r="C154" s="110" t="s">
        <v>294</v>
      </c>
      <c r="D154" s="111" t="s">
        <v>295</v>
      </c>
      <c r="E154" s="112" t="s">
        <v>296</v>
      </c>
      <c r="F154" s="301" t="s">
        <v>297</v>
      </c>
      <c r="G154" s="111" t="s">
        <v>298</v>
      </c>
      <c r="H154" s="111" t="s">
        <v>299</v>
      </c>
      <c r="I154" s="111" t="s">
        <v>300</v>
      </c>
      <c r="J154" s="111" t="s">
        <v>301</v>
      </c>
      <c r="K154" s="113" t="s">
        <v>368</v>
      </c>
      <c r="L154" s="113" t="s">
        <v>369</v>
      </c>
      <c r="M154" s="111" t="s">
        <v>307</v>
      </c>
      <c r="N154" s="121" t="s">
        <v>370</v>
      </c>
    </row>
    <row r="155" spans="1:35" outlineLevel="1" x14ac:dyDescent="0.25">
      <c r="A155" s="612"/>
      <c r="B155" s="160">
        <v>3</v>
      </c>
      <c r="C155" s="109">
        <v>2</v>
      </c>
      <c r="D155" s="109">
        <v>14</v>
      </c>
      <c r="E155" s="109">
        <v>6</v>
      </c>
      <c r="F155" s="302">
        <v>2</v>
      </c>
      <c r="G155" s="109">
        <v>14</v>
      </c>
      <c r="H155" s="109">
        <v>6</v>
      </c>
      <c r="I155" s="109">
        <v>2</v>
      </c>
      <c r="J155" s="109">
        <v>6</v>
      </c>
      <c r="K155" s="115">
        <v>8</v>
      </c>
      <c r="L155" s="115">
        <v>19</v>
      </c>
      <c r="M155" s="109">
        <v>3</v>
      </c>
      <c r="N155" s="122">
        <v>43</v>
      </c>
    </row>
    <row r="156" spans="1:35" outlineLevel="1" x14ac:dyDescent="0.25">
      <c r="A156" s="612"/>
      <c r="B156" s="160" t="s">
        <v>1</v>
      </c>
      <c r="C156" s="109" t="s">
        <v>69</v>
      </c>
      <c r="D156" s="109" t="s">
        <v>1</v>
      </c>
      <c r="E156" s="114" t="s">
        <v>69</v>
      </c>
      <c r="F156" s="302" t="s">
        <v>69</v>
      </c>
      <c r="G156" s="109" t="s">
        <v>1</v>
      </c>
      <c r="H156" s="109" t="s">
        <v>69</v>
      </c>
      <c r="I156" s="109" t="s">
        <v>69</v>
      </c>
      <c r="J156" s="109" t="s">
        <v>69</v>
      </c>
      <c r="K156" s="116" t="s">
        <v>1</v>
      </c>
      <c r="L156" s="116" t="s">
        <v>69</v>
      </c>
      <c r="M156" s="109" t="s">
        <v>1</v>
      </c>
      <c r="N156" s="122" t="s">
        <v>69</v>
      </c>
    </row>
    <row r="157" spans="1:35" outlineLevel="1" x14ac:dyDescent="0.25">
      <c r="A157" s="612"/>
      <c r="B157" s="160" t="s">
        <v>0</v>
      </c>
      <c r="C157" s="109" t="s">
        <v>0</v>
      </c>
      <c r="D157" s="109" t="s">
        <v>0</v>
      </c>
      <c r="E157" s="114" t="s">
        <v>4</v>
      </c>
      <c r="F157" s="302" t="s">
        <v>0</v>
      </c>
      <c r="G157" s="109" t="s">
        <v>0</v>
      </c>
      <c r="H157" s="109" t="s">
        <v>4</v>
      </c>
      <c r="I157" s="109" t="s">
        <v>0</v>
      </c>
      <c r="J157" s="109" t="s">
        <v>0</v>
      </c>
      <c r="K157" s="116" t="s">
        <v>0</v>
      </c>
      <c r="L157" s="116" t="s">
        <v>4</v>
      </c>
      <c r="M157" s="109" t="s">
        <v>0</v>
      </c>
      <c r="N157" s="122" t="s">
        <v>4</v>
      </c>
    </row>
    <row r="158" spans="1:35" ht="30" customHeight="1" thickBot="1" x14ac:dyDescent="0.3">
      <c r="A158" s="613"/>
      <c r="B158" s="183">
        <v>999</v>
      </c>
      <c r="C158" s="186" t="s">
        <v>373</v>
      </c>
      <c r="D158" s="174" t="s">
        <v>584</v>
      </c>
      <c r="E158" s="186" t="s">
        <v>374</v>
      </c>
      <c r="F158" s="303" t="s">
        <v>375</v>
      </c>
      <c r="G158" s="174" t="s">
        <v>585</v>
      </c>
      <c r="H158" s="186" t="s">
        <v>374</v>
      </c>
      <c r="I158" s="186" t="s">
        <v>376</v>
      </c>
      <c r="J158" s="184" t="s">
        <v>377</v>
      </c>
      <c r="K158" s="497" t="s">
        <v>911</v>
      </c>
      <c r="L158" s="186" t="s">
        <v>390</v>
      </c>
      <c r="M158" s="185" t="s">
        <v>195</v>
      </c>
      <c r="N158" s="187" t="s">
        <v>391</v>
      </c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</row>
    <row r="159" spans="1:35" x14ac:dyDescent="0.25">
      <c r="B159" s="150" t="s">
        <v>586</v>
      </c>
      <c r="C159" s="150" t="s">
        <v>586</v>
      </c>
      <c r="D159" s="150" t="s">
        <v>586</v>
      </c>
      <c r="E159" s="150" t="s">
        <v>586</v>
      </c>
      <c r="F159" s="276" t="s">
        <v>586</v>
      </c>
      <c r="G159" s="150" t="s">
        <v>586</v>
      </c>
      <c r="H159" s="150" t="s">
        <v>586</v>
      </c>
      <c r="I159" s="150" t="s">
        <v>586</v>
      </c>
      <c r="J159" s="150" t="s">
        <v>586</v>
      </c>
      <c r="K159" s="150" t="s">
        <v>586</v>
      </c>
      <c r="L159" s="150" t="s">
        <v>586</v>
      </c>
      <c r="M159" s="150" t="s">
        <v>586</v>
      </c>
      <c r="N159" s="150" t="s">
        <v>586</v>
      </c>
    </row>
  </sheetData>
  <sheetProtection algorithmName="SHA-512" hashValue="YzZkCbF4FiHTbc29c8IO0cDMg/WAYn/HajGuueLSW6nqW9t0+isnFQrHKid4LlPNFgG6iunUoFNHVhSHu6rCpQ==" saltValue="JdGKMGx6ZUYU8np3stMKHA==" spinCount="100000" sheet="1" sort="0"/>
  <mergeCells count="34">
    <mergeCell ref="A11:AI11"/>
    <mergeCell ref="B1:AI1"/>
    <mergeCell ref="A3:C3"/>
    <mergeCell ref="D3:F3"/>
    <mergeCell ref="G3:H3"/>
    <mergeCell ref="I3:X3"/>
    <mergeCell ref="Z3:AE3"/>
    <mergeCell ref="AG3:AI3"/>
    <mergeCell ref="A5:A9"/>
    <mergeCell ref="B5:B9"/>
    <mergeCell ref="D5:D9"/>
    <mergeCell ref="E5:E9"/>
    <mergeCell ref="H5:H9"/>
    <mergeCell ref="A90:A95"/>
    <mergeCell ref="A13:A18"/>
    <mergeCell ref="A20:A25"/>
    <mergeCell ref="A27:A32"/>
    <mergeCell ref="A34:A39"/>
    <mergeCell ref="A41:A46"/>
    <mergeCell ref="A48:A53"/>
    <mergeCell ref="A55:A60"/>
    <mergeCell ref="A62:A67"/>
    <mergeCell ref="A69:A74"/>
    <mergeCell ref="A76:A81"/>
    <mergeCell ref="A83:A88"/>
    <mergeCell ref="A139:A144"/>
    <mergeCell ref="A146:A151"/>
    <mergeCell ref="A153:A158"/>
    <mergeCell ref="A97:A102"/>
    <mergeCell ref="A104:A109"/>
    <mergeCell ref="A111:A116"/>
    <mergeCell ref="A118:A123"/>
    <mergeCell ref="A125:A130"/>
    <mergeCell ref="A132:A137"/>
  </mergeCells>
  <conditionalFormatting sqref="B32">
    <cfRule type="expression" dxfId="9" priority="2">
      <formula>"B17&lt;&gt;0"</formula>
    </cfRule>
  </conditionalFormatting>
  <conditionalFormatting sqref="F32">
    <cfRule type="expression" dxfId="8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tabColor theme="8" tint="0.39997558519241921"/>
    <pageSetUpPr fitToPage="1"/>
  </sheetPr>
  <dimension ref="A1:AI92"/>
  <sheetViews>
    <sheetView view="pageBreakPreview" zoomScale="55" zoomScaleNormal="25" zoomScaleSheetLayoutView="55" workbookViewId="0"/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30'!A57</f>
        <v>TP CONTRE TP CAS 1</v>
      </c>
      <c r="B5" s="369">
        <f>'LISTE DES CAS ANNEXE 30'!B57</f>
        <v>1</v>
      </c>
      <c r="C5" s="370">
        <f>'LISTE DES CAS ANNEXE 30'!C57</f>
        <v>1</v>
      </c>
      <c r="D5" s="367" t="str">
        <f>'LISTE DES CAS ANNEXE 30'!D57</f>
        <v>MALADIE</v>
      </c>
      <c r="E5" s="368">
        <f>'LISTE DES CAS ANNEXE 30'!E57</f>
        <v>0.55000000000000004</v>
      </c>
      <c r="F5" s="361" t="str">
        <f>'LISTE DES CAS ANNEXE 30'!H57</f>
        <v>NON</v>
      </c>
      <c r="G5" s="439" t="str">
        <f>'LISTE DES CAS ANNEXE 30'!I57</f>
        <v>OUI</v>
      </c>
      <c r="H5" s="366" t="str">
        <f>'LISTE DES CAS ANNEXE 30'!J57</f>
        <v>00 - HTP</v>
      </c>
      <c r="I5" s="412" t="str">
        <f>'LISTE DES CAS ANNEXE 30'!K57</f>
        <v>69-LYON</v>
      </c>
      <c r="J5" s="355" t="str">
        <f>'LISTE DES CAS ANNEXE 30'!L57</f>
        <v>42-SAINT-ETIENNE</v>
      </c>
      <c r="K5" s="356" t="str">
        <f>'LISTE DES CAS ANNEXE 30'!M57</f>
        <v>01/12/2025 à 10H00</v>
      </c>
      <c r="L5" s="356" t="str">
        <f>'LISTE DES CAS ANNEXE 30'!N57</f>
        <v>01/12/2025 à 11H15</v>
      </c>
      <c r="M5" s="357" t="str">
        <f>'LISTE DES CAS ANNEXE 30'!O57</f>
        <v>EE-003-FF</v>
      </c>
      <c r="N5" s="357" t="str">
        <f>'LISTE DES CAS ANNEXE 30'!P57</f>
        <v>69123
(LYON)</v>
      </c>
      <c r="O5" s="357" t="str">
        <f>'LISTE DES CAS ANNEXE 30'!Q57</f>
        <v>069</v>
      </c>
      <c r="P5" s="357" t="str">
        <f>'LISTE DES CAS ANNEXE 30'!R57</f>
        <v xml:space="preserve">691 - CPAM DU RHONE </v>
      </c>
      <c r="Q5" s="358">
        <f>'LISTE DES CAS ANNEXE 30'!S57</f>
        <v>63</v>
      </c>
      <c r="R5" s="359" t="str">
        <f>'LISTE DES CAS ANNEXE 30'!T57</f>
        <v>JOUR</v>
      </c>
      <c r="S5" s="360">
        <f>'LISTE DES CAS ANNEXE 30'!U57</f>
        <v>1</v>
      </c>
      <c r="T5" s="356" t="str">
        <f>'LISTE DES CAS ANNEXE 30'!V57</f>
        <v>NON</v>
      </c>
      <c r="U5" s="356" t="str">
        <f>'LISTE DES CAS ANNEXE 30'!W57</f>
        <v>NON</v>
      </c>
      <c r="V5" s="356" t="str">
        <f>'LISTE DES CAS ANNEXE 30'!X57</f>
        <v>NON</v>
      </c>
      <c r="W5" s="356" t="str">
        <f>'LISTE DES CAS ANNEXE 30'!Y57</f>
        <v>NON</v>
      </c>
      <c r="X5" s="361" t="str">
        <f>'LISTE DES CAS ANNEXE 30'!Z57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5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602</v>
      </c>
      <c r="Z42" s="194" t="s">
        <v>602</v>
      </c>
      <c r="AA42" s="194" t="s">
        <v>592</v>
      </c>
      <c r="AB42" s="194" t="s">
        <v>603</v>
      </c>
      <c r="AC42" s="194" t="s">
        <v>602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214</v>
      </c>
      <c r="M56" s="54" t="s">
        <v>543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609</v>
      </c>
      <c r="T56" s="54" t="s">
        <v>263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611</v>
      </c>
      <c r="Z63" s="96" t="s">
        <v>611</v>
      </c>
      <c r="AA63" s="97" t="s">
        <v>592</v>
      </c>
      <c r="AB63" s="96" t="s">
        <v>612</v>
      </c>
      <c r="AC63" s="96" t="s">
        <v>611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920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  <c r="AG65" s="2"/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433</v>
      </c>
      <c r="V70" s="33" t="s">
        <v>202</v>
      </c>
      <c r="W70" s="54" t="s">
        <v>590</v>
      </c>
      <c r="X70" s="33" t="s">
        <v>202</v>
      </c>
      <c r="Y70" s="54" t="s">
        <v>595</v>
      </c>
      <c r="Z70" s="96" t="s">
        <v>595</v>
      </c>
      <c r="AA70" s="54" t="s">
        <v>6</v>
      </c>
      <c r="AB70" s="54" t="s">
        <v>212</v>
      </c>
      <c r="AC70" s="54" t="s">
        <v>212</v>
      </c>
      <c r="AD70" s="193" t="s">
        <v>498</v>
      </c>
      <c r="AE70" s="193" t="s">
        <v>200</v>
      </c>
      <c r="AF70" s="54" t="s">
        <v>212</v>
      </c>
      <c r="AG70" s="188" t="s">
        <v>589</v>
      </c>
      <c r="AH70" s="76"/>
      <c r="AI70" s="76"/>
    </row>
    <row r="71" spans="1:35" s="75" customFormat="1" ht="15.75" thickBot="1" x14ac:dyDescent="0.3">
      <c r="A71" s="77"/>
      <c r="B71" s="144"/>
      <c r="C71" s="77"/>
      <c r="D71" s="77"/>
      <c r="E71" s="77"/>
      <c r="F71" s="271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</row>
    <row r="72" spans="1:35" ht="100.15" customHeight="1" x14ac:dyDescent="0.25">
      <c r="A72" s="614" t="s">
        <v>360</v>
      </c>
      <c r="B72" s="147" t="s">
        <v>13</v>
      </c>
      <c r="C72" s="24" t="s">
        <v>14</v>
      </c>
      <c r="D72" s="24" t="s">
        <v>15</v>
      </c>
      <c r="E72" s="25" t="s">
        <v>16</v>
      </c>
      <c r="F72" s="282" t="s">
        <v>17</v>
      </c>
      <c r="G72" s="24" t="s">
        <v>70</v>
      </c>
      <c r="H72" s="24" t="s">
        <v>15</v>
      </c>
      <c r="I72" s="24" t="s">
        <v>220</v>
      </c>
      <c r="J72" s="24" t="s">
        <v>221</v>
      </c>
      <c r="K72" s="26" t="s">
        <v>222</v>
      </c>
      <c r="L72" s="26" t="s">
        <v>223</v>
      </c>
      <c r="M72" s="24" t="s">
        <v>224</v>
      </c>
      <c r="N72" s="24" t="s">
        <v>225</v>
      </c>
      <c r="O72" s="24" t="s">
        <v>226</v>
      </c>
      <c r="P72" s="24" t="s">
        <v>221</v>
      </c>
      <c r="Q72" s="24" t="s">
        <v>227</v>
      </c>
      <c r="R72" s="24" t="s">
        <v>15</v>
      </c>
      <c r="S72" s="27" t="s">
        <v>228</v>
      </c>
    </row>
    <row r="73" spans="1:35" ht="19.899999999999999" customHeight="1" x14ac:dyDescent="0.25">
      <c r="A73" s="615"/>
      <c r="B73" s="148">
        <v>1</v>
      </c>
      <c r="C73" s="5" t="s">
        <v>47</v>
      </c>
      <c r="D73" s="4">
        <v>11</v>
      </c>
      <c r="E73" s="6" t="s">
        <v>48</v>
      </c>
      <c r="F73" s="283" t="s">
        <v>49</v>
      </c>
      <c r="G73" s="7" t="s">
        <v>50</v>
      </c>
      <c r="H73" s="7" t="s">
        <v>229</v>
      </c>
      <c r="I73" s="7" t="s">
        <v>216</v>
      </c>
      <c r="J73" s="7" t="s">
        <v>230</v>
      </c>
      <c r="K73" s="8" t="s">
        <v>217</v>
      </c>
      <c r="L73" s="8" t="s">
        <v>218</v>
      </c>
      <c r="M73" s="7" t="s">
        <v>179</v>
      </c>
      <c r="N73" s="7" t="s">
        <v>219</v>
      </c>
      <c r="O73" s="7">
        <v>90</v>
      </c>
      <c r="P73" s="7" t="s">
        <v>231</v>
      </c>
      <c r="Q73" s="7">
        <v>94</v>
      </c>
      <c r="R73" s="7" t="s">
        <v>232</v>
      </c>
      <c r="S73" s="28" t="s">
        <v>233</v>
      </c>
    </row>
    <row r="74" spans="1:35" outlineLevel="1" x14ac:dyDescent="0.25">
      <c r="A74" s="615"/>
      <c r="B74" s="148">
        <v>1</v>
      </c>
      <c r="C74" s="4">
        <v>9</v>
      </c>
      <c r="D74" s="4">
        <v>1</v>
      </c>
      <c r="E74" s="9">
        <v>13</v>
      </c>
      <c r="F74" s="284">
        <v>2</v>
      </c>
      <c r="G74" s="4">
        <v>9</v>
      </c>
      <c r="H74" s="4">
        <v>3</v>
      </c>
      <c r="I74" s="4">
        <v>3</v>
      </c>
      <c r="J74" s="4">
        <v>16</v>
      </c>
      <c r="K74" s="10">
        <v>8</v>
      </c>
      <c r="L74" s="10">
        <v>8</v>
      </c>
      <c r="M74" s="4">
        <v>8</v>
      </c>
      <c r="N74" s="4">
        <v>8</v>
      </c>
      <c r="O74" s="4">
        <v>1</v>
      </c>
      <c r="P74" s="4">
        <v>3</v>
      </c>
      <c r="Q74" s="4">
        <v>1</v>
      </c>
      <c r="R74" s="4">
        <v>2</v>
      </c>
      <c r="S74" s="29">
        <v>32</v>
      </c>
    </row>
    <row r="75" spans="1:35" ht="13.5" customHeight="1" outlineLevel="1" x14ac:dyDescent="0.25">
      <c r="A75" s="615"/>
      <c r="B75" s="148" t="s">
        <v>1</v>
      </c>
      <c r="C75" s="4" t="s">
        <v>1</v>
      </c>
      <c r="D75" s="4" t="s">
        <v>69</v>
      </c>
      <c r="E75" s="9" t="s">
        <v>69</v>
      </c>
      <c r="F75" s="284" t="s">
        <v>1</v>
      </c>
      <c r="G75" s="4" t="s">
        <v>1</v>
      </c>
      <c r="H75" s="4" t="s">
        <v>69</v>
      </c>
      <c r="I75" s="4" t="s">
        <v>1</v>
      </c>
      <c r="J75" s="4" t="s">
        <v>69</v>
      </c>
      <c r="K75" s="12" t="s">
        <v>1</v>
      </c>
      <c r="L75" s="12" t="s">
        <v>1</v>
      </c>
      <c r="M75" s="4" t="s">
        <v>1</v>
      </c>
      <c r="N75" s="4" t="s">
        <v>1</v>
      </c>
      <c r="O75" s="4" t="s">
        <v>69</v>
      </c>
      <c r="P75" s="4" t="s">
        <v>69</v>
      </c>
      <c r="Q75" s="4" t="s">
        <v>69</v>
      </c>
      <c r="R75" s="4" t="s">
        <v>69</v>
      </c>
      <c r="S75" s="29" t="s">
        <v>69</v>
      </c>
    </row>
    <row r="76" spans="1:35" outlineLevel="1" x14ac:dyDescent="0.25">
      <c r="A76" s="615"/>
      <c r="B76" s="148" t="s">
        <v>0</v>
      </c>
      <c r="C76" s="4" t="s">
        <v>0</v>
      </c>
      <c r="D76" s="4" t="s">
        <v>4</v>
      </c>
      <c r="E76" s="9" t="s">
        <v>0</v>
      </c>
      <c r="F76" s="284" t="s">
        <v>0</v>
      </c>
      <c r="G76" s="4" t="s">
        <v>0</v>
      </c>
      <c r="H76" s="4" t="s">
        <v>4</v>
      </c>
      <c r="I76" s="4" t="s">
        <v>0</v>
      </c>
      <c r="J76" s="4" t="s">
        <v>0</v>
      </c>
      <c r="K76" s="12" t="s">
        <v>0</v>
      </c>
      <c r="L76" s="12" t="s">
        <v>0</v>
      </c>
      <c r="M76" s="4" t="s">
        <v>0</v>
      </c>
      <c r="N76" s="4" t="s">
        <v>4</v>
      </c>
      <c r="O76" s="4" t="s">
        <v>4</v>
      </c>
      <c r="P76" s="4" t="s">
        <v>0</v>
      </c>
      <c r="Q76" s="4" t="s">
        <v>0</v>
      </c>
      <c r="R76" s="4" t="s">
        <v>4</v>
      </c>
      <c r="S76" s="29" t="s">
        <v>4</v>
      </c>
    </row>
    <row r="77" spans="1:35" s="163" customFormat="1" ht="30" customHeight="1" thickBot="1" x14ac:dyDescent="0.3">
      <c r="A77" s="616"/>
      <c r="B77" s="157">
        <v>5</v>
      </c>
      <c r="C77" s="54" t="s">
        <v>544</v>
      </c>
      <c r="D77" s="55" t="s">
        <v>8</v>
      </c>
      <c r="E77" s="55" t="s">
        <v>198</v>
      </c>
      <c r="F77" s="270">
        <v>77</v>
      </c>
      <c r="G77" s="55">
        <v>250000001</v>
      </c>
      <c r="H77" s="98" t="s">
        <v>9</v>
      </c>
      <c r="I77" s="496" t="s">
        <v>904</v>
      </c>
      <c r="J77" s="98" t="s">
        <v>234</v>
      </c>
      <c r="K77" s="56" t="s">
        <v>613</v>
      </c>
      <c r="L77" s="56" t="s">
        <v>614</v>
      </c>
      <c r="M77" s="56" t="s">
        <v>615</v>
      </c>
      <c r="N77" s="56" t="s">
        <v>599</v>
      </c>
      <c r="O77" s="56" t="s">
        <v>8</v>
      </c>
      <c r="P77" s="56" t="s">
        <v>9</v>
      </c>
      <c r="Q77" s="56" t="s">
        <v>8</v>
      </c>
      <c r="R77" s="56" t="s">
        <v>210</v>
      </c>
      <c r="S77" s="99" t="s">
        <v>235</v>
      </c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</row>
    <row r="78" spans="1:35" ht="15.75" thickBot="1" x14ac:dyDescent="0.3">
      <c r="A78" s="75"/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</row>
    <row r="79" spans="1:35" ht="100.15" customHeight="1" x14ac:dyDescent="0.25">
      <c r="A79" s="608" t="s">
        <v>361</v>
      </c>
      <c r="B79" s="327" t="s">
        <v>13</v>
      </c>
      <c r="C79" s="328" t="s">
        <v>14</v>
      </c>
      <c r="D79" s="328" t="s">
        <v>339</v>
      </c>
      <c r="E79" s="329" t="s">
        <v>469</v>
      </c>
      <c r="F79" s="330" t="s">
        <v>470</v>
      </c>
      <c r="G79" s="328" t="s">
        <v>471</v>
      </c>
      <c r="H79" s="328" t="s">
        <v>340</v>
      </c>
      <c r="I79" s="328" t="s">
        <v>473</v>
      </c>
      <c r="J79" s="328" t="s">
        <v>472</v>
      </c>
      <c r="K79" s="331" t="s">
        <v>312</v>
      </c>
      <c r="L79" s="331" t="s">
        <v>341</v>
      </c>
      <c r="M79" s="328" t="s">
        <v>25</v>
      </c>
      <c r="N79" s="328" t="s">
        <v>15</v>
      </c>
      <c r="O79" s="328" t="s">
        <v>474</v>
      </c>
      <c r="P79" s="328" t="s">
        <v>342</v>
      </c>
      <c r="Q79" s="328" t="s">
        <v>15</v>
      </c>
      <c r="R79" s="328" t="s">
        <v>343</v>
      </c>
      <c r="S79" s="332" t="s">
        <v>228</v>
      </c>
    </row>
    <row r="80" spans="1:35" ht="19.899999999999999" customHeight="1" x14ac:dyDescent="0.25">
      <c r="A80" s="609"/>
      <c r="B80" s="158">
        <v>1</v>
      </c>
      <c r="C80" s="102" t="s">
        <v>47</v>
      </c>
      <c r="D80" s="103" t="s">
        <v>344</v>
      </c>
      <c r="E80" s="104" t="s">
        <v>345</v>
      </c>
      <c r="F80" s="298" t="s">
        <v>346</v>
      </c>
      <c r="G80" s="103" t="s">
        <v>347</v>
      </c>
      <c r="H80" s="103" t="s">
        <v>348</v>
      </c>
      <c r="I80" s="103" t="s">
        <v>349</v>
      </c>
      <c r="J80" s="103" t="s">
        <v>350</v>
      </c>
      <c r="K80" s="105" t="s">
        <v>351</v>
      </c>
      <c r="L80" s="105" t="s">
        <v>352</v>
      </c>
      <c r="M80" s="103" t="s">
        <v>353</v>
      </c>
      <c r="N80" s="103" t="s">
        <v>354</v>
      </c>
      <c r="O80" s="103" t="s">
        <v>355</v>
      </c>
      <c r="P80" s="103" t="s">
        <v>356</v>
      </c>
      <c r="Q80" s="103" t="s">
        <v>357</v>
      </c>
      <c r="R80" s="103" t="s">
        <v>358</v>
      </c>
      <c r="S80" s="333" t="s">
        <v>233</v>
      </c>
    </row>
    <row r="81" spans="1:35" outlineLevel="1" x14ac:dyDescent="0.25">
      <c r="A81" s="609"/>
      <c r="B81" s="158">
        <v>1</v>
      </c>
      <c r="C81" s="101">
        <v>9</v>
      </c>
      <c r="D81" s="101">
        <v>3</v>
      </c>
      <c r="E81" s="101">
        <v>4</v>
      </c>
      <c r="F81" s="299">
        <v>4</v>
      </c>
      <c r="G81" s="101">
        <v>3</v>
      </c>
      <c r="H81" s="101">
        <v>9</v>
      </c>
      <c r="I81" s="101">
        <v>9</v>
      </c>
      <c r="J81" s="101">
        <v>9</v>
      </c>
      <c r="K81" s="107">
        <v>3</v>
      </c>
      <c r="L81" s="107">
        <v>1</v>
      </c>
      <c r="M81" s="101">
        <v>1</v>
      </c>
      <c r="N81" s="101">
        <v>4</v>
      </c>
      <c r="O81" s="101">
        <v>12</v>
      </c>
      <c r="P81" s="101">
        <v>12</v>
      </c>
      <c r="Q81" s="103">
        <v>3</v>
      </c>
      <c r="R81" s="101">
        <v>9</v>
      </c>
      <c r="S81" s="334">
        <v>32</v>
      </c>
    </row>
    <row r="82" spans="1:35" outlineLevel="1" x14ac:dyDescent="0.25">
      <c r="A82" s="609"/>
      <c r="B82" s="158" t="s">
        <v>1</v>
      </c>
      <c r="C82" s="101" t="s">
        <v>1</v>
      </c>
      <c r="D82" s="197" t="s">
        <v>1</v>
      </c>
      <c r="E82" s="106" t="s">
        <v>1</v>
      </c>
      <c r="F82" s="299" t="s">
        <v>1</v>
      </c>
      <c r="G82" s="101" t="s">
        <v>1</v>
      </c>
      <c r="H82" s="101" t="s">
        <v>1</v>
      </c>
      <c r="I82" s="101" t="s">
        <v>1</v>
      </c>
      <c r="J82" s="101" t="s">
        <v>1</v>
      </c>
      <c r="K82" s="108" t="s">
        <v>1</v>
      </c>
      <c r="L82" s="108" t="s">
        <v>69</v>
      </c>
      <c r="M82" s="101" t="s">
        <v>69</v>
      </c>
      <c r="N82" s="101" t="s">
        <v>69</v>
      </c>
      <c r="O82" s="101" t="s">
        <v>69</v>
      </c>
      <c r="P82" s="101" t="s">
        <v>1</v>
      </c>
      <c r="Q82" s="101" t="s">
        <v>69</v>
      </c>
      <c r="R82" s="101" t="s">
        <v>1</v>
      </c>
      <c r="S82" s="334" t="s">
        <v>1</v>
      </c>
    </row>
    <row r="83" spans="1:35" outlineLevel="1" x14ac:dyDescent="0.25">
      <c r="A83" s="609"/>
      <c r="B83" s="158" t="s">
        <v>0</v>
      </c>
      <c r="C83" s="101" t="s">
        <v>0</v>
      </c>
      <c r="D83" s="101" t="s">
        <v>0</v>
      </c>
      <c r="E83" s="106" t="s">
        <v>0</v>
      </c>
      <c r="F83" s="299" t="s">
        <v>0</v>
      </c>
      <c r="G83" s="101" t="s">
        <v>0</v>
      </c>
      <c r="H83" s="101" t="s">
        <v>0</v>
      </c>
      <c r="I83" s="101" t="s">
        <v>0</v>
      </c>
      <c r="J83" s="101" t="s">
        <v>0</v>
      </c>
      <c r="K83" s="108" t="s">
        <v>0</v>
      </c>
      <c r="L83" s="108" t="s">
        <v>4</v>
      </c>
      <c r="M83" s="101" t="s">
        <v>4</v>
      </c>
      <c r="N83" s="101" t="s">
        <v>4</v>
      </c>
      <c r="O83" s="101" t="s">
        <v>4</v>
      </c>
      <c r="P83" s="101" t="s">
        <v>4</v>
      </c>
      <c r="Q83" s="101" t="s">
        <v>4</v>
      </c>
      <c r="R83" s="101" t="s">
        <v>4</v>
      </c>
      <c r="S83" s="334" t="s">
        <v>0</v>
      </c>
    </row>
    <row r="84" spans="1:35" s="163" customFormat="1" ht="30" customHeight="1" thickBot="1" x14ac:dyDescent="0.3">
      <c r="A84" s="610"/>
      <c r="B84" s="183">
        <v>6</v>
      </c>
      <c r="C84" s="335" t="s">
        <v>544</v>
      </c>
      <c r="D84" s="185" t="s">
        <v>195</v>
      </c>
      <c r="E84" s="336" t="s">
        <v>522</v>
      </c>
      <c r="F84" s="337" t="s">
        <v>521</v>
      </c>
      <c r="G84" s="185" t="s">
        <v>195</v>
      </c>
      <c r="H84" s="184" t="s">
        <v>616</v>
      </c>
      <c r="I84" s="184" t="s">
        <v>617</v>
      </c>
      <c r="J84" s="184" t="s">
        <v>209</v>
      </c>
      <c r="K84" s="184" t="s">
        <v>195</v>
      </c>
      <c r="L84" s="186" t="s">
        <v>8</v>
      </c>
      <c r="M84" s="186" t="s">
        <v>8</v>
      </c>
      <c r="N84" s="186" t="s">
        <v>387</v>
      </c>
      <c r="O84" s="186" t="s">
        <v>941</v>
      </c>
      <c r="P84" s="186" t="s">
        <v>388</v>
      </c>
      <c r="Q84" s="186" t="s">
        <v>9</v>
      </c>
      <c r="R84" s="186" t="s">
        <v>389</v>
      </c>
      <c r="S84" s="187" t="s">
        <v>235</v>
      </c>
    </row>
    <row r="85" spans="1:35" ht="9.75" customHeight="1" thickBot="1" x14ac:dyDescent="0.3">
      <c r="B85" s="150" t="s">
        <v>586</v>
      </c>
      <c r="C85" s="150" t="s">
        <v>586</v>
      </c>
      <c r="D85" s="150" t="s">
        <v>586</v>
      </c>
      <c r="E85" s="150" t="s">
        <v>586</v>
      </c>
      <c r="F85" s="276" t="s">
        <v>586</v>
      </c>
      <c r="G85" s="150" t="s">
        <v>586</v>
      </c>
      <c r="H85" s="150" t="s">
        <v>586</v>
      </c>
      <c r="I85" s="150" t="s">
        <v>586</v>
      </c>
      <c r="J85" s="150" t="s">
        <v>586</v>
      </c>
      <c r="K85" s="150" t="s">
        <v>586</v>
      </c>
      <c r="L85" s="150" t="s">
        <v>586</v>
      </c>
      <c r="M85" s="150" t="s">
        <v>586</v>
      </c>
      <c r="N85" s="150" t="s">
        <v>586</v>
      </c>
      <c r="O85" s="150" t="s">
        <v>586</v>
      </c>
      <c r="P85" s="150" t="s">
        <v>586</v>
      </c>
      <c r="Q85" s="150" t="s">
        <v>586</v>
      </c>
      <c r="R85" s="150" t="s">
        <v>586</v>
      </c>
      <c r="S85" s="150" t="s">
        <v>586</v>
      </c>
    </row>
    <row r="86" spans="1:35" ht="100.15" customHeight="1" x14ac:dyDescent="0.25">
      <c r="A86" s="611" t="s">
        <v>371</v>
      </c>
      <c r="B86" s="159" t="s">
        <v>13</v>
      </c>
      <c r="C86" s="117" t="s">
        <v>363</v>
      </c>
      <c r="D86" s="117" t="s">
        <v>364</v>
      </c>
      <c r="E86" s="118" t="s">
        <v>15</v>
      </c>
      <c r="F86" s="300" t="s">
        <v>283</v>
      </c>
      <c r="G86" s="117" t="s">
        <v>365</v>
      </c>
      <c r="H86" s="117" t="s">
        <v>15</v>
      </c>
      <c r="I86" s="117" t="s">
        <v>286</v>
      </c>
      <c r="J86" s="117" t="s">
        <v>287</v>
      </c>
      <c r="K86" s="119" t="s">
        <v>366</v>
      </c>
      <c r="L86" s="119" t="s">
        <v>15</v>
      </c>
      <c r="M86" s="117" t="s">
        <v>367</v>
      </c>
      <c r="N86" s="120" t="s">
        <v>15</v>
      </c>
    </row>
    <row r="87" spans="1:35" ht="19.899999999999999" customHeight="1" x14ac:dyDescent="0.25">
      <c r="A87" s="612"/>
      <c r="B87" s="198" t="s">
        <v>293</v>
      </c>
      <c r="C87" s="110" t="s">
        <v>294</v>
      </c>
      <c r="D87" s="111" t="s">
        <v>295</v>
      </c>
      <c r="E87" s="112" t="s">
        <v>296</v>
      </c>
      <c r="F87" s="301" t="s">
        <v>297</v>
      </c>
      <c r="G87" s="111" t="s">
        <v>298</v>
      </c>
      <c r="H87" s="111" t="s">
        <v>299</v>
      </c>
      <c r="I87" s="111" t="s">
        <v>300</v>
      </c>
      <c r="J87" s="111" t="s">
        <v>301</v>
      </c>
      <c r="K87" s="113" t="s">
        <v>368</v>
      </c>
      <c r="L87" s="113" t="s">
        <v>369</v>
      </c>
      <c r="M87" s="111" t="s">
        <v>307</v>
      </c>
      <c r="N87" s="121" t="s">
        <v>370</v>
      </c>
    </row>
    <row r="88" spans="1:35" outlineLevel="1" x14ac:dyDescent="0.25">
      <c r="A88" s="612"/>
      <c r="B88" s="160">
        <v>3</v>
      </c>
      <c r="C88" s="109">
        <v>2</v>
      </c>
      <c r="D88" s="109">
        <v>14</v>
      </c>
      <c r="E88" s="109">
        <v>6</v>
      </c>
      <c r="F88" s="302">
        <v>2</v>
      </c>
      <c r="G88" s="109">
        <v>14</v>
      </c>
      <c r="H88" s="109">
        <v>6</v>
      </c>
      <c r="I88" s="109">
        <v>2</v>
      </c>
      <c r="J88" s="109">
        <v>6</v>
      </c>
      <c r="K88" s="115">
        <v>8</v>
      </c>
      <c r="L88" s="115">
        <v>19</v>
      </c>
      <c r="M88" s="109">
        <v>3</v>
      </c>
      <c r="N88" s="122">
        <v>43</v>
      </c>
    </row>
    <row r="89" spans="1:35" outlineLevel="1" x14ac:dyDescent="0.25">
      <c r="A89" s="612"/>
      <c r="B89" s="160" t="s">
        <v>1</v>
      </c>
      <c r="C89" s="109" t="s">
        <v>69</v>
      </c>
      <c r="D89" s="109" t="s">
        <v>1</v>
      </c>
      <c r="E89" s="114" t="s">
        <v>69</v>
      </c>
      <c r="F89" s="302" t="s">
        <v>69</v>
      </c>
      <c r="G89" s="109" t="s">
        <v>1</v>
      </c>
      <c r="H89" s="109" t="s">
        <v>69</v>
      </c>
      <c r="I89" s="109" t="s">
        <v>69</v>
      </c>
      <c r="J89" s="109" t="s">
        <v>69</v>
      </c>
      <c r="K89" s="116" t="s">
        <v>1</v>
      </c>
      <c r="L89" s="116" t="s">
        <v>69</v>
      </c>
      <c r="M89" s="109" t="s">
        <v>1</v>
      </c>
      <c r="N89" s="122" t="s">
        <v>69</v>
      </c>
    </row>
    <row r="90" spans="1:35" outlineLevel="1" x14ac:dyDescent="0.25">
      <c r="A90" s="612"/>
      <c r="B90" s="160" t="s">
        <v>0</v>
      </c>
      <c r="C90" s="109" t="s">
        <v>0</v>
      </c>
      <c r="D90" s="109" t="s">
        <v>0</v>
      </c>
      <c r="E90" s="114" t="s">
        <v>4</v>
      </c>
      <c r="F90" s="302" t="s">
        <v>0</v>
      </c>
      <c r="G90" s="109" t="s">
        <v>0</v>
      </c>
      <c r="H90" s="109" t="s">
        <v>4</v>
      </c>
      <c r="I90" s="109" t="s">
        <v>0</v>
      </c>
      <c r="J90" s="109" t="s">
        <v>0</v>
      </c>
      <c r="K90" s="116" t="s">
        <v>0</v>
      </c>
      <c r="L90" s="116" t="s">
        <v>4</v>
      </c>
      <c r="M90" s="109" t="s">
        <v>0</v>
      </c>
      <c r="N90" s="122" t="s">
        <v>4</v>
      </c>
    </row>
    <row r="91" spans="1:35" ht="30" customHeight="1" thickBot="1" x14ac:dyDescent="0.3">
      <c r="A91" s="613"/>
      <c r="B91" s="183">
        <v>999</v>
      </c>
      <c r="C91" s="186" t="s">
        <v>373</v>
      </c>
      <c r="D91" s="174" t="s">
        <v>584</v>
      </c>
      <c r="E91" s="186" t="s">
        <v>374</v>
      </c>
      <c r="F91" s="303" t="s">
        <v>375</v>
      </c>
      <c r="G91" s="174" t="s">
        <v>585</v>
      </c>
      <c r="H91" s="186" t="s">
        <v>374</v>
      </c>
      <c r="I91" s="186" t="s">
        <v>376</v>
      </c>
      <c r="J91" s="184" t="s">
        <v>377</v>
      </c>
      <c r="K91" s="497" t="s">
        <v>675</v>
      </c>
      <c r="L91" s="186" t="s">
        <v>390</v>
      </c>
      <c r="M91" s="185" t="s">
        <v>195</v>
      </c>
      <c r="N91" s="187" t="s">
        <v>391</v>
      </c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</row>
    <row r="92" spans="1:35" x14ac:dyDescent="0.25">
      <c r="B92" s="150" t="s">
        <v>586</v>
      </c>
      <c r="C92" s="150" t="s">
        <v>586</v>
      </c>
      <c r="D92" s="150" t="s">
        <v>586</v>
      </c>
      <c r="E92" s="150" t="s">
        <v>586</v>
      </c>
      <c r="F92" s="276" t="s">
        <v>586</v>
      </c>
      <c r="G92" s="150" t="s">
        <v>586</v>
      </c>
      <c r="H92" s="150" t="s">
        <v>586</v>
      </c>
      <c r="I92" s="150" t="s">
        <v>586</v>
      </c>
      <c r="J92" s="150" t="s">
        <v>586</v>
      </c>
      <c r="K92" s="150" t="s">
        <v>586</v>
      </c>
      <c r="L92" s="150" t="s">
        <v>586</v>
      </c>
      <c r="M92" s="150" t="s">
        <v>586</v>
      </c>
      <c r="N92" s="150" t="s">
        <v>586</v>
      </c>
    </row>
  </sheetData>
  <sheetProtection algorithmName="SHA-512" hashValue="6eiuT1D9cmYgFRecuCoNACGk3H6U+jgqa2mKHivQ4BA7FCiGA/aFz5YriagZoKvwqfaNa0aygYS9xeQwkAGcXA==" saltValue="Ah8UYKbwBtzPPKyquaHVxg==" spinCount="100000" sheet="1" sort="0"/>
  <mergeCells count="20">
    <mergeCell ref="B1:AI1"/>
    <mergeCell ref="A3:C3"/>
    <mergeCell ref="D3:F3"/>
    <mergeCell ref="G3:H3"/>
    <mergeCell ref="I3:X3"/>
    <mergeCell ref="Z3:AE3"/>
    <mergeCell ref="AG3:AI3"/>
    <mergeCell ref="A7:AI7"/>
    <mergeCell ref="A65:A70"/>
    <mergeCell ref="A72:A77"/>
    <mergeCell ref="A79:A84"/>
    <mergeCell ref="A86:A91"/>
    <mergeCell ref="A58:A63"/>
    <mergeCell ref="A23:A28"/>
    <mergeCell ref="A30:A35"/>
    <mergeCell ref="A37:A42"/>
    <mergeCell ref="A44:A49"/>
    <mergeCell ref="A51:A56"/>
    <mergeCell ref="A9:A14"/>
    <mergeCell ref="A16:A21"/>
  </mergeCells>
  <conditionalFormatting sqref="B28">
    <cfRule type="expression" dxfId="7" priority="2">
      <formula>"B17&lt;&gt;0"</formula>
    </cfRule>
  </conditionalFormatting>
  <conditionalFormatting sqref="F28">
    <cfRule type="expression" dxfId="6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tabColor theme="8" tint="0.39997558519241921"/>
    <pageSetUpPr fitToPage="1"/>
  </sheetPr>
  <dimension ref="A1:AI120"/>
  <sheetViews>
    <sheetView view="pageBreakPreview" topLeftCell="A91" zoomScale="70" zoomScaleNormal="25" zoomScaleSheetLayoutView="70" workbookViewId="0">
      <selection activeCell="O114" sqref="O114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379" t="str">
        <f>'LISTE DES CAS ANNEXE 30'!A59</f>
        <v>TP CONTRE TP CAS 2</v>
      </c>
      <c r="B5" s="369">
        <f>'LISTE DES CAS ANNEXE 30'!B59</f>
        <v>1</v>
      </c>
      <c r="C5" s="370">
        <f>'LISTE DES CAS ANNEXE 30'!C59</f>
        <v>1</v>
      </c>
      <c r="D5" s="367" t="str">
        <f>'LISTE DES CAS ANNEXE 30'!D59</f>
        <v>MALADIE</v>
      </c>
      <c r="E5" s="368">
        <f>'LISTE DES CAS ANNEXE 30'!E59</f>
        <v>0.55000000000000004</v>
      </c>
      <c r="F5" s="361" t="str">
        <f>'LISTE DES CAS ANNEXE 30'!H59</f>
        <v>NON</v>
      </c>
      <c r="G5" s="439" t="str">
        <f>'LISTE DES CAS ANNEXE 30'!I59</f>
        <v>OUI</v>
      </c>
      <c r="H5" s="366" t="str">
        <f>'LISTE DES CAS ANNEXE 30'!J59</f>
        <v>00 - HTP</v>
      </c>
      <c r="I5" s="354" t="str">
        <f>'LISTE DES CAS ANNEXE 30'!K59</f>
        <v>42-SAINT-ETIENNE</v>
      </c>
      <c r="J5" s="413" t="str">
        <f>'LISTE DES CAS ANNEXE 30'!L59</f>
        <v>69-LYON</v>
      </c>
      <c r="K5" s="356" t="str">
        <f>'LISTE DES CAS ANNEXE 30'!M59</f>
        <v>01/12/2025 à 20H00</v>
      </c>
      <c r="L5" s="356" t="str">
        <f>'LISTE DES CAS ANNEXE 30'!N59</f>
        <v>01/12/2025 à 21H15</v>
      </c>
      <c r="M5" s="357" t="str">
        <f>'LISTE DES CAS ANNEXE 30'!O59</f>
        <v>AA-001-BB</v>
      </c>
      <c r="N5" s="357" t="str">
        <f>'LISTE DES CAS ANNEXE 30'!P59</f>
        <v>42218 
(SAINT-ETIENNE)</v>
      </c>
      <c r="O5" s="357" t="str">
        <f>'LISTE DES CAS ANNEXE 30'!Q59</f>
        <v>042</v>
      </c>
      <c r="P5" s="357" t="str">
        <f>'LISTE DES CAS ANNEXE 30'!R59</f>
        <v>422 - CPAM DE LA LOIRE</v>
      </c>
      <c r="Q5" s="358">
        <f>'LISTE DES CAS ANNEXE 30'!S59</f>
        <v>63</v>
      </c>
      <c r="R5" s="429" t="str">
        <f>'LISTE DES CAS ANNEXE 30'!T59</f>
        <v>NUIT</v>
      </c>
      <c r="S5" s="360">
        <f>'LISTE DES CAS ANNEXE 30'!U59</f>
        <v>1</v>
      </c>
      <c r="T5" s="428" t="str">
        <f>'LISTE DES CAS ANNEXE 30'!V59</f>
        <v>OUI 
(TYPE 1)</v>
      </c>
      <c r="U5" s="356" t="str">
        <f>'LISTE DES CAS ANNEXE 30'!W59</f>
        <v>NON</v>
      </c>
      <c r="V5" s="428" t="str">
        <f>'LISTE DES CAS ANNEXE 30'!X59</f>
        <v>OUI</v>
      </c>
      <c r="W5" s="428" t="str">
        <f>'LISTE DES CAS ANNEXE 30'!Y59</f>
        <v>OUI</v>
      </c>
      <c r="X5" s="361" t="str">
        <f>'LISTE DES CAS ANNEXE 30'!Z59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15.75" thickBot="1" x14ac:dyDescent="0.3">
      <c r="C6" s="78"/>
    </row>
    <row r="7" spans="1:35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5" ht="15.75" thickBot="1" x14ac:dyDescent="0.3">
      <c r="C8" s="78"/>
    </row>
    <row r="9" spans="1:35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</row>
    <row r="10" spans="1:35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5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5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5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5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5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5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5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7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786</v>
      </c>
      <c r="Z42" s="194" t="s">
        <v>786</v>
      </c>
      <c r="AA42" s="194" t="s">
        <v>592</v>
      </c>
      <c r="AB42" s="194" t="s">
        <v>787</v>
      </c>
      <c r="AC42" s="194" t="s">
        <v>786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661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763</v>
      </c>
      <c r="T56" s="54" t="s">
        <v>214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788</v>
      </c>
      <c r="Z63" s="96" t="s">
        <v>788</v>
      </c>
      <c r="AA63" s="97" t="s">
        <v>592</v>
      </c>
      <c r="AB63" s="96" t="s">
        <v>789</v>
      </c>
      <c r="AC63" s="96" t="s">
        <v>788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20" t="s">
        <v>915</v>
      </c>
      <c r="B65" s="151" t="s">
        <v>13</v>
      </c>
      <c r="C65" s="40" t="s">
        <v>14</v>
      </c>
      <c r="D65" s="40" t="s">
        <v>15</v>
      </c>
      <c r="E65" s="41" t="s">
        <v>16</v>
      </c>
      <c r="F65" s="289" t="s">
        <v>17</v>
      </c>
      <c r="G65" s="40" t="s">
        <v>70</v>
      </c>
      <c r="H65" s="40" t="s">
        <v>71</v>
      </c>
      <c r="I65" s="40" t="s">
        <v>72</v>
      </c>
      <c r="J65" s="40" t="s">
        <v>2</v>
      </c>
      <c r="K65" s="40" t="s">
        <v>73</v>
      </c>
      <c r="L65" s="42" t="s">
        <v>74</v>
      </c>
      <c r="M65" s="42" t="s">
        <v>75</v>
      </c>
      <c r="N65" s="40" t="s">
        <v>76</v>
      </c>
      <c r="O65" s="40" t="s">
        <v>77</v>
      </c>
      <c r="P65" s="40" t="s">
        <v>78</v>
      </c>
      <c r="Q65" s="40" t="s">
        <v>79</v>
      </c>
      <c r="R65" s="40" t="s">
        <v>80</v>
      </c>
      <c r="S65" s="40" t="s">
        <v>81</v>
      </c>
      <c r="T65" s="40" t="s">
        <v>82</v>
      </c>
      <c r="U65" s="40" t="s">
        <v>83</v>
      </c>
      <c r="V65" s="40" t="s">
        <v>84</v>
      </c>
      <c r="W65" s="40" t="s">
        <v>3</v>
      </c>
      <c r="X65" s="40" t="s">
        <v>85</v>
      </c>
      <c r="Y65" s="40" t="s">
        <v>86</v>
      </c>
      <c r="Z65" s="40" t="s">
        <v>87</v>
      </c>
      <c r="AA65" s="40" t="s">
        <v>88</v>
      </c>
      <c r="AB65" s="40" t="s">
        <v>89</v>
      </c>
      <c r="AC65" s="40" t="s">
        <v>90</v>
      </c>
      <c r="AD65" s="40" t="s">
        <v>91</v>
      </c>
      <c r="AE65" s="40" t="s">
        <v>92</v>
      </c>
      <c r="AF65" s="43" t="s">
        <v>93</v>
      </c>
    </row>
    <row r="66" spans="1:35" ht="19.899999999999999" customHeight="1" x14ac:dyDescent="0.25">
      <c r="A66" s="615"/>
      <c r="B66" s="152">
        <v>1</v>
      </c>
      <c r="C66" s="44" t="s">
        <v>47</v>
      </c>
      <c r="D66" s="45">
        <v>11</v>
      </c>
      <c r="E66" s="46" t="s">
        <v>48</v>
      </c>
      <c r="F66" s="290" t="s">
        <v>49</v>
      </c>
      <c r="G66" s="47" t="s">
        <v>50</v>
      </c>
      <c r="H66" s="47">
        <v>36</v>
      </c>
      <c r="I66" s="47" t="s">
        <v>94</v>
      </c>
      <c r="J66" s="47" t="s">
        <v>95</v>
      </c>
      <c r="K66" s="47" t="s">
        <v>96</v>
      </c>
      <c r="L66" s="48" t="s">
        <v>97</v>
      </c>
      <c r="M66" s="48" t="s">
        <v>98</v>
      </c>
      <c r="N66" s="47" t="s">
        <v>99</v>
      </c>
      <c r="O66" s="47">
        <v>53</v>
      </c>
      <c r="P66" s="47">
        <v>54</v>
      </c>
      <c r="Q66" s="47" t="s">
        <v>913</v>
      </c>
      <c r="R66" s="47" t="s">
        <v>100</v>
      </c>
      <c r="S66" s="47" t="s">
        <v>101</v>
      </c>
      <c r="T66" s="47" t="s">
        <v>57</v>
      </c>
      <c r="U66" s="47" t="s">
        <v>102</v>
      </c>
      <c r="V66" s="47" t="s">
        <v>103</v>
      </c>
      <c r="W66" s="47" t="s">
        <v>104</v>
      </c>
      <c r="X66" s="47" t="s">
        <v>105</v>
      </c>
      <c r="Y66" s="47" t="s">
        <v>106</v>
      </c>
      <c r="Z66" s="47" t="s">
        <v>107</v>
      </c>
      <c r="AA66" s="47" t="s">
        <v>108</v>
      </c>
      <c r="AB66" s="45" t="s">
        <v>109</v>
      </c>
      <c r="AC66" s="47" t="s">
        <v>110</v>
      </c>
      <c r="AD66" s="45">
        <v>120</v>
      </c>
      <c r="AE66" s="45">
        <v>121</v>
      </c>
      <c r="AF66" s="49" t="s">
        <v>111</v>
      </c>
    </row>
    <row r="67" spans="1:35" outlineLevel="1" x14ac:dyDescent="0.25">
      <c r="A67" s="615"/>
      <c r="B67" s="152">
        <v>1</v>
      </c>
      <c r="C67" s="45">
        <v>9</v>
      </c>
      <c r="D67" s="45">
        <v>1</v>
      </c>
      <c r="E67" s="50">
        <v>13</v>
      </c>
      <c r="F67" s="291">
        <v>2</v>
      </c>
      <c r="G67" s="45">
        <v>9</v>
      </c>
      <c r="H67" s="45">
        <v>1</v>
      </c>
      <c r="I67" s="45">
        <v>2</v>
      </c>
      <c r="J67" s="45">
        <v>2</v>
      </c>
      <c r="K67" s="45">
        <v>3</v>
      </c>
      <c r="L67" s="51">
        <v>6</v>
      </c>
      <c r="M67" s="51">
        <v>1</v>
      </c>
      <c r="N67" s="45">
        <v>2</v>
      </c>
      <c r="O67" s="45">
        <v>1</v>
      </c>
      <c r="P67" s="45">
        <v>1</v>
      </c>
      <c r="Q67" s="45">
        <v>9</v>
      </c>
      <c r="R67" s="45">
        <v>2</v>
      </c>
      <c r="S67" s="45">
        <v>2</v>
      </c>
      <c r="T67" s="45">
        <v>6</v>
      </c>
      <c r="U67" s="45">
        <v>5</v>
      </c>
      <c r="V67" s="45">
        <v>2</v>
      </c>
      <c r="W67" s="45">
        <v>6</v>
      </c>
      <c r="X67" s="45">
        <v>2</v>
      </c>
      <c r="Y67" s="45">
        <v>7</v>
      </c>
      <c r="Z67" s="45">
        <v>7</v>
      </c>
      <c r="AA67" s="45">
        <v>3</v>
      </c>
      <c r="AB67" s="45">
        <v>7</v>
      </c>
      <c r="AC67" s="45">
        <v>7</v>
      </c>
      <c r="AD67" s="45">
        <v>1</v>
      </c>
      <c r="AE67" s="45">
        <v>1</v>
      </c>
      <c r="AF67" s="49">
        <v>7</v>
      </c>
    </row>
    <row r="68" spans="1:35" outlineLevel="1" x14ac:dyDescent="0.25">
      <c r="A68" s="615"/>
      <c r="B68" s="152" t="s">
        <v>1</v>
      </c>
      <c r="C68" s="45" t="s">
        <v>1</v>
      </c>
      <c r="D68" s="45" t="s">
        <v>69</v>
      </c>
      <c r="E68" s="50" t="s">
        <v>69</v>
      </c>
      <c r="F68" s="291" t="s">
        <v>1</v>
      </c>
      <c r="G68" s="45" t="s">
        <v>1</v>
      </c>
      <c r="H68" s="45" t="s">
        <v>69</v>
      </c>
      <c r="I68" s="45" t="s">
        <v>1</v>
      </c>
      <c r="J68" s="45" t="s">
        <v>1</v>
      </c>
      <c r="K68" s="45" t="s">
        <v>1</v>
      </c>
      <c r="L68" s="52" t="s">
        <v>1</v>
      </c>
      <c r="M68" s="52" t="s">
        <v>1</v>
      </c>
      <c r="N68" s="45" t="s">
        <v>69</v>
      </c>
      <c r="O68" s="45" t="s">
        <v>69</v>
      </c>
      <c r="P68" s="53" t="s">
        <v>69</v>
      </c>
      <c r="Q68" s="45" t="s">
        <v>1</v>
      </c>
      <c r="R68" s="45" t="s">
        <v>1</v>
      </c>
      <c r="S68" s="45" t="s">
        <v>1</v>
      </c>
      <c r="T68" s="45" t="s">
        <v>1</v>
      </c>
      <c r="U68" s="45" t="s">
        <v>69</v>
      </c>
      <c r="V68" s="45" t="s">
        <v>1</v>
      </c>
      <c r="W68" s="45" t="s">
        <v>1</v>
      </c>
      <c r="X68" s="45" t="s">
        <v>1</v>
      </c>
      <c r="Y68" s="45" t="s">
        <v>1</v>
      </c>
      <c r="Z68" s="45" t="s">
        <v>1</v>
      </c>
      <c r="AA68" s="45" t="s">
        <v>1</v>
      </c>
      <c r="AB68" s="45" t="s">
        <v>1</v>
      </c>
      <c r="AC68" s="45" t="s">
        <v>1</v>
      </c>
      <c r="AD68" s="45" t="s">
        <v>69</v>
      </c>
      <c r="AE68" s="45" t="s">
        <v>1</v>
      </c>
      <c r="AF68" s="49" t="s">
        <v>1</v>
      </c>
      <c r="AG68" s="2"/>
    </row>
    <row r="69" spans="1:35" outlineLevel="1" x14ac:dyDescent="0.25">
      <c r="A69" s="615"/>
      <c r="B69" s="152" t="s">
        <v>0</v>
      </c>
      <c r="C69" s="45" t="s">
        <v>0</v>
      </c>
      <c r="D69" s="45" t="s">
        <v>4</v>
      </c>
      <c r="E69" s="50" t="s">
        <v>0</v>
      </c>
      <c r="F69" s="291" t="s">
        <v>0</v>
      </c>
      <c r="G69" s="45" t="s">
        <v>0</v>
      </c>
      <c r="H69" s="45" t="s">
        <v>4</v>
      </c>
      <c r="I69" s="45" t="s">
        <v>4</v>
      </c>
      <c r="J69" s="45" t="s">
        <v>4</v>
      </c>
      <c r="K69" s="45" t="s">
        <v>4</v>
      </c>
      <c r="L69" s="52" t="s">
        <v>4</v>
      </c>
      <c r="M69" s="52" t="s">
        <v>0</v>
      </c>
      <c r="N69" s="45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5" t="s">
        <v>112</v>
      </c>
      <c r="T69" s="45" t="s">
        <v>0</v>
      </c>
      <c r="U69" s="45" t="s">
        <v>0</v>
      </c>
      <c r="V69" s="45" t="s">
        <v>0</v>
      </c>
      <c r="W69" s="45" t="s">
        <v>0</v>
      </c>
      <c r="X69" s="45" t="s">
        <v>0</v>
      </c>
      <c r="Y69" s="45" t="s">
        <v>0</v>
      </c>
      <c r="Z69" s="45" t="s">
        <v>0</v>
      </c>
      <c r="AA69" s="45" t="s">
        <v>0</v>
      </c>
      <c r="AB69" s="45" t="s">
        <v>0</v>
      </c>
      <c r="AC69" s="45" t="s">
        <v>0</v>
      </c>
      <c r="AD69" s="45" t="s">
        <v>4</v>
      </c>
      <c r="AE69" s="45" t="s">
        <v>4</v>
      </c>
      <c r="AF69" s="49" t="s">
        <v>4</v>
      </c>
    </row>
    <row r="70" spans="1:35" ht="30" customHeight="1" thickBot="1" x14ac:dyDescent="0.3">
      <c r="A70" s="616"/>
      <c r="B70" s="149" t="s">
        <v>10</v>
      </c>
      <c r="C70" s="54" t="s">
        <v>544</v>
      </c>
      <c r="D70" s="55" t="s">
        <v>8</v>
      </c>
      <c r="E70" s="54" t="s">
        <v>198</v>
      </c>
      <c r="F70" s="288">
        <v>77</v>
      </c>
      <c r="G70" s="54">
        <v>250000001</v>
      </c>
      <c r="H70" s="193" t="s">
        <v>8</v>
      </c>
      <c r="I70" s="193" t="s">
        <v>5</v>
      </c>
      <c r="J70" s="55" t="s">
        <v>5</v>
      </c>
      <c r="K70" s="55" t="s">
        <v>6</v>
      </c>
      <c r="L70" s="55" t="s">
        <v>208</v>
      </c>
      <c r="M70" s="193" t="s">
        <v>397</v>
      </c>
      <c r="N70" s="55" t="s">
        <v>210</v>
      </c>
      <c r="O70" s="55" t="s">
        <v>8</v>
      </c>
      <c r="P70" s="55" t="s">
        <v>8</v>
      </c>
      <c r="Q70" s="54" t="s">
        <v>544</v>
      </c>
      <c r="R70" s="55" t="s">
        <v>5</v>
      </c>
      <c r="S70" s="55" t="s">
        <v>5</v>
      </c>
      <c r="T70" s="33" t="s">
        <v>581</v>
      </c>
      <c r="U70" s="228" t="s">
        <v>243</v>
      </c>
      <c r="V70" s="55" t="s">
        <v>202</v>
      </c>
      <c r="W70" s="54" t="s">
        <v>590</v>
      </c>
      <c r="X70" s="33" t="s">
        <v>202</v>
      </c>
      <c r="Y70" s="54" t="s">
        <v>790</v>
      </c>
      <c r="Z70" s="96" t="s">
        <v>790</v>
      </c>
      <c r="AA70" s="54" t="s">
        <v>592</v>
      </c>
      <c r="AB70" s="54" t="s">
        <v>791</v>
      </c>
      <c r="AC70" s="54" t="s">
        <v>790</v>
      </c>
      <c r="AD70" s="55" t="s">
        <v>8</v>
      </c>
      <c r="AE70" s="193" t="s">
        <v>200</v>
      </c>
      <c r="AF70" s="82" t="s">
        <v>212</v>
      </c>
      <c r="AG70" s="188" t="s">
        <v>589</v>
      </c>
      <c r="AH70" s="76"/>
      <c r="AI70" s="76"/>
    </row>
    <row r="71" spans="1:35" s="75" customFormat="1" ht="15.75" thickBot="1" x14ac:dyDescent="0.3"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 t="s">
        <v>586</v>
      </c>
      <c r="U71" s="75" t="s">
        <v>586</v>
      </c>
      <c r="V71" s="75" t="s">
        <v>586</v>
      </c>
      <c r="W71" s="75" t="s">
        <v>586</v>
      </c>
      <c r="X71" s="75" t="s">
        <v>586</v>
      </c>
      <c r="Y71" s="75" t="s">
        <v>586</v>
      </c>
      <c r="Z71" s="75" t="s">
        <v>586</v>
      </c>
      <c r="AA71" s="75" t="s">
        <v>586</v>
      </c>
      <c r="AB71" s="75" t="s">
        <v>586</v>
      </c>
      <c r="AC71" s="75" t="s">
        <v>586</v>
      </c>
      <c r="AD71" s="75" t="s">
        <v>586</v>
      </c>
      <c r="AE71" s="75" t="s">
        <v>586</v>
      </c>
      <c r="AF71" s="75" t="s">
        <v>586</v>
      </c>
    </row>
    <row r="72" spans="1:35" ht="100.15" customHeight="1" x14ac:dyDescent="0.25">
      <c r="A72" s="620" t="s">
        <v>916</v>
      </c>
      <c r="B72" s="151" t="s">
        <v>13</v>
      </c>
      <c r="C72" s="40" t="s">
        <v>14</v>
      </c>
      <c r="D72" s="40" t="s">
        <v>15</v>
      </c>
      <c r="E72" s="41" t="s">
        <v>16</v>
      </c>
      <c r="F72" s="289" t="s">
        <v>17</v>
      </c>
      <c r="G72" s="40" t="s">
        <v>70</v>
      </c>
      <c r="H72" s="40" t="s">
        <v>71</v>
      </c>
      <c r="I72" s="40" t="s">
        <v>72</v>
      </c>
      <c r="J72" s="40" t="s">
        <v>2</v>
      </c>
      <c r="K72" s="40" t="s">
        <v>73</v>
      </c>
      <c r="L72" s="42" t="s">
        <v>74</v>
      </c>
      <c r="M72" s="42" t="s">
        <v>75</v>
      </c>
      <c r="N72" s="40" t="s">
        <v>76</v>
      </c>
      <c r="O72" s="40" t="s">
        <v>77</v>
      </c>
      <c r="P72" s="40" t="s">
        <v>78</v>
      </c>
      <c r="Q72" s="40" t="s">
        <v>79</v>
      </c>
      <c r="R72" s="40" t="s">
        <v>80</v>
      </c>
      <c r="S72" s="40" t="s">
        <v>81</v>
      </c>
      <c r="T72" s="40" t="s">
        <v>82</v>
      </c>
      <c r="U72" s="40" t="s">
        <v>83</v>
      </c>
      <c r="V72" s="40" t="s">
        <v>84</v>
      </c>
      <c r="W72" s="40" t="s">
        <v>3</v>
      </c>
      <c r="X72" s="40" t="s">
        <v>85</v>
      </c>
      <c r="Y72" s="40" t="s">
        <v>86</v>
      </c>
      <c r="Z72" s="40" t="s">
        <v>87</v>
      </c>
      <c r="AA72" s="40" t="s">
        <v>88</v>
      </c>
      <c r="AB72" s="40" t="s">
        <v>89</v>
      </c>
      <c r="AC72" s="40" t="s">
        <v>90</v>
      </c>
      <c r="AD72" s="40" t="s">
        <v>91</v>
      </c>
      <c r="AE72" s="40" t="s">
        <v>92</v>
      </c>
      <c r="AF72" s="43" t="s">
        <v>93</v>
      </c>
    </row>
    <row r="73" spans="1:35" ht="19.899999999999999" customHeight="1" x14ac:dyDescent="0.25">
      <c r="A73" s="615"/>
      <c r="B73" s="152">
        <v>1</v>
      </c>
      <c r="C73" s="44" t="s">
        <v>47</v>
      </c>
      <c r="D73" s="45">
        <v>11</v>
      </c>
      <c r="E73" s="46" t="s">
        <v>48</v>
      </c>
      <c r="F73" s="290" t="s">
        <v>49</v>
      </c>
      <c r="G73" s="47" t="s">
        <v>50</v>
      </c>
      <c r="H73" s="47">
        <v>36</v>
      </c>
      <c r="I73" s="47" t="s">
        <v>94</v>
      </c>
      <c r="J73" s="47" t="s">
        <v>95</v>
      </c>
      <c r="K73" s="47" t="s">
        <v>96</v>
      </c>
      <c r="L73" s="48" t="s">
        <v>97</v>
      </c>
      <c r="M73" s="48" t="s">
        <v>98</v>
      </c>
      <c r="N73" s="47" t="s">
        <v>99</v>
      </c>
      <c r="O73" s="47">
        <v>53</v>
      </c>
      <c r="P73" s="47">
        <v>54</v>
      </c>
      <c r="Q73" s="47" t="s">
        <v>913</v>
      </c>
      <c r="R73" s="47" t="s">
        <v>100</v>
      </c>
      <c r="S73" s="47" t="s">
        <v>101</v>
      </c>
      <c r="T73" s="47" t="s">
        <v>57</v>
      </c>
      <c r="U73" s="47" t="s">
        <v>102</v>
      </c>
      <c r="V73" s="47" t="s">
        <v>103</v>
      </c>
      <c r="W73" s="47" t="s">
        <v>104</v>
      </c>
      <c r="X73" s="47" t="s">
        <v>105</v>
      </c>
      <c r="Y73" s="47" t="s">
        <v>106</v>
      </c>
      <c r="Z73" s="47" t="s">
        <v>107</v>
      </c>
      <c r="AA73" s="47" t="s">
        <v>108</v>
      </c>
      <c r="AB73" s="45" t="s">
        <v>109</v>
      </c>
      <c r="AC73" s="47" t="s">
        <v>110</v>
      </c>
      <c r="AD73" s="45">
        <v>120</v>
      </c>
      <c r="AE73" s="45">
        <v>121</v>
      </c>
      <c r="AF73" s="49" t="s">
        <v>111</v>
      </c>
    </row>
    <row r="74" spans="1:35" outlineLevel="1" x14ac:dyDescent="0.25">
      <c r="A74" s="615"/>
      <c r="B74" s="152">
        <v>1</v>
      </c>
      <c r="C74" s="45">
        <v>9</v>
      </c>
      <c r="D74" s="45">
        <v>1</v>
      </c>
      <c r="E74" s="50">
        <v>13</v>
      </c>
      <c r="F74" s="291">
        <v>2</v>
      </c>
      <c r="G74" s="45">
        <v>9</v>
      </c>
      <c r="H74" s="45">
        <v>1</v>
      </c>
      <c r="I74" s="45">
        <v>2</v>
      </c>
      <c r="J74" s="45">
        <v>2</v>
      </c>
      <c r="K74" s="45">
        <v>3</v>
      </c>
      <c r="L74" s="51">
        <v>6</v>
      </c>
      <c r="M74" s="51">
        <v>1</v>
      </c>
      <c r="N74" s="45">
        <v>2</v>
      </c>
      <c r="O74" s="45">
        <v>1</v>
      </c>
      <c r="P74" s="45">
        <v>1</v>
      </c>
      <c r="Q74" s="45">
        <v>9</v>
      </c>
      <c r="R74" s="45">
        <v>2</v>
      </c>
      <c r="S74" s="45">
        <v>2</v>
      </c>
      <c r="T74" s="45">
        <v>6</v>
      </c>
      <c r="U74" s="45">
        <v>5</v>
      </c>
      <c r="V74" s="45">
        <v>2</v>
      </c>
      <c r="W74" s="45">
        <v>6</v>
      </c>
      <c r="X74" s="45">
        <v>2</v>
      </c>
      <c r="Y74" s="45">
        <v>7</v>
      </c>
      <c r="Z74" s="45">
        <v>7</v>
      </c>
      <c r="AA74" s="45">
        <v>3</v>
      </c>
      <c r="AB74" s="45">
        <v>7</v>
      </c>
      <c r="AC74" s="45">
        <v>7</v>
      </c>
      <c r="AD74" s="45">
        <v>1</v>
      </c>
      <c r="AE74" s="45">
        <v>1</v>
      </c>
      <c r="AF74" s="49">
        <v>7</v>
      </c>
      <c r="AG74" s="2"/>
    </row>
    <row r="75" spans="1:35" outlineLevel="1" x14ac:dyDescent="0.25">
      <c r="A75" s="615"/>
      <c r="B75" s="152" t="s">
        <v>1</v>
      </c>
      <c r="C75" s="45" t="s">
        <v>1</v>
      </c>
      <c r="D75" s="45" t="s">
        <v>69</v>
      </c>
      <c r="E75" s="50" t="s">
        <v>69</v>
      </c>
      <c r="F75" s="291" t="s">
        <v>1</v>
      </c>
      <c r="G75" s="45" t="s">
        <v>1</v>
      </c>
      <c r="H75" s="45" t="s">
        <v>69</v>
      </c>
      <c r="I75" s="45" t="s">
        <v>1</v>
      </c>
      <c r="J75" s="45" t="s">
        <v>1</v>
      </c>
      <c r="K75" s="45" t="s">
        <v>1</v>
      </c>
      <c r="L75" s="52" t="s">
        <v>1</v>
      </c>
      <c r="M75" s="52" t="s">
        <v>1</v>
      </c>
      <c r="N75" s="45" t="s">
        <v>69</v>
      </c>
      <c r="O75" s="45" t="s">
        <v>69</v>
      </c>
      <c r="P75" s="53" t="s">
        <v>69</v>
      </c>
      <c r="Q75" s="45" t="s">
        <v>1</v>
      </c>
      <c r="R75" s="45" t="s">
        <v>1</v>
      </c>
      <c r="S75" s="45" t="s">
        <v>1</v>
      </c>
      <c r="T75" s="45" t="s">
        <v>1</v>
      </c>
      <c r="U75" s="45" t="s">
        <v>69</v>
      </c>
      <c r="V75" s="45" t="s">
        <v>1</v>
      </c>
      <c r="W75" s="45" t="s">
        <v>1</v>
      </c>
      <c r="X75" s="45" t="s">
        <v>1</v>
      </c>
      <c r="Y75" s="45" t="s">
        <v>1</v>
      </c>
      <c r="Z75" s="45" t="s">
        <v>1</v>
      </c>
      <c r="AA75" s="45" t="s">
        <v>1</v>
      </c>
      <c r="AB75" s="45" t="s">
        <v>1</v>
      </c>
      <c r="AC75" s="45" t="s">
        <v>1</v>
      </c>
      <c r="AD75" s="45" t="s">
        <v>69</v>
      </c>
      <c r="AE75" s="45" t="s">
        <v>1</v>
      </c>
      <c r="AF75" s="49" t="s">
        <v>1</v>
      </c>
    </row>
    <row r="76" spans="1:35" outlineLevel="1" x14ac:dyDescent="0.25">
      <c r="A76" s="615"/>
      <c r="B76" s="152" t="s">
        <v>0</v>
      </c>
      <c r="C76" s="45" t="s">
        <v>0</v>
      </c>
      <c r="D76" s="45" t="s">
        <v>4</v>
      </c>
      <c r="E76" s="50" t="s">
        <v>0</v>
      </c>
      <c r="F76" s="291" t="s">
        <v>0</v>
      </c>
      <c r="G76" s="45" t="s">
        <v>0</v>
      </c>
      <c r="H76" s="45" t="s">
        <v>4</v>
      </c>
      <c r="I76" s="45" t="s">
        <v>4</v>
      </c>
      <c r="J76" s="45" t="s">
        <v>4</v>
      </c>
      <c r="K76" s="45" t="s">
        <v>4</v>
      </c>
      <c r="L76" s="52" t="s">
        <v>4</v>
      </c>
      <c r="M76" s="52" t="s">
        <v>0</v>
      </c>
      <c r="N76" s="45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5" t="s">
        <v>112</v>
      </c>
      <c r="T76" s="45" t="s">
        <v>0</v>
      </c>
      <c r="U76" s="45" t="s">
        <v>0</v>
      </c>
      <c r="V76" s="45" t="s">
        <v>0</v>
      </c>
      <c r="W76" s="45" t="s">
        <v>0</v>
      </c>
      <c r="X76" s="45" t="s">
        <v>0</v>
      </c>
      <c r="Y76" s="45" t="s">
        <v>0</v>
      </c>
      <c r="Z76" s="45" t="s">
        <v>0</v>
      </c>
      <c r="AA76" s="45" t="s">
        <v>0</v>
      </c>
      <c r="AB76" s="45" t="s">
        <v>0</v>
      </c>
      <c r="AC76" s="45" t="s">
        <v>0</v>
      </c>
      <c r="AD76" s="45" t="s">
        <v>4</v>
      </c>
      <c r="AE76" s="45" t="s">
        <v>4</v>
      </c>
      <c r="AF76" s="49" t="s">
        <v>4</v>
      </c>
    </row>
    <row r="77" spans="1:35" ht="30" customHeight="1" thickBot="1" x14ac:dyDescent="0.3">
      <c r="A77" s="616"/>
      <c r="B77" s="149" t="s">
        <v>10</v>
      </c>
      <c r="C77" s="54" t="s">
        <v>544</v>
      </c>
      <c r="D77" s="55" t="s">
        <v>8</v>
      </c>
      <c r="E77" s="54" t="s">
        <v>198</v>
      </c>
      <c r="F77" s="288">
        <v>77</v>
      </c>
      <c r="G77" s="54">
        <v>250000001</v>
      </c>
      <c r="H77" s="193" t="s">
        <v>8</v>
      </c>
      <c r="I77" s="193" t="s">
        <v>5</v>
      </c>
      <c r="J77" s="55" t="s">
        <v>5</v>
      </c>
      <c r="K77" s="55" t="s">
        <v>6</v>
      </c>
      <c r="L77" s="55" t="s">
        <v>208</v>
      </c>
      <c r="M77" s="193" t="s">
        <v>397</v>
      </c>
      <c r="N77" s="55" t="s">
        <v>210</v>
      </c>
      <c r="O77" s="55" t="s">
        <v>8</v>
      </c>
      <c r="P77" s="55" t="s">
        <v>8</v>
      </c>
      <c r="Q77" s="54" t="s">
        <v>544</v>
      </c>
      <c r="R77" s="55" t="s">
        <v>5</v>
      </c>
      <c r="S77" s="55" t="s">
        <v>5</v>
      </c>
      <c r="T77" s="33" t="s">
        <v>581</v>
      </c>
      <c r="U77" s="228" t="s">
        <v>279</v>
      </c>
      <c r="V77" s="33" t="s">
        <v>202</v>
      </c>
      <c r="W77" s="54" t="s">
        <v>590</v>
      </c>
      <c r="X77" s="33" t="s">
        <v>202</v>
      </c>
      <c r="Y77" s="54" t="s">
        <v>594</v>
      </c>
      <c r="Z77" s="96" t="s">
        <v>594</v>
      </c>
      <c r="AA77" s="54" t="s">
        <v>592</v>
      </c>
      <c r="AB77" s="54" t="s">
        <v>667</v>
      </c>
      <c r="AC77" s="54" t="s">
        <v>594</v>
      </c>
      <c r="AD77" s="55" t="s">
        <v>8</v>
      </c>
      <c r="AE77" s="193" t="s">
        <v>200</v>
      </c>
      <c r="AF77" s="82" t="s">
        <v>212</v>
      </c>
      <c r="AG77" s="188" t="s">
        <v>589</v>
      </c>
      <c r="AH77" s="76"/>
      <c r="AI77" s="76"/>
    </row>
    <row r="78" spans="1:35" s="75" customFormat="1" ht="15.75" thickBot="1" x14ac:dyDescent="0.3">
      <c r="B78" s="150" t="s">
        <v>586</v>
      </c>
      <c r="C78" s="75" t="s">
        <v>586</v>
      </c>
      <c r="D78" s="75" t="s">
        <v>586</v>
      </c>
      <c r="E78" s="75" t="s">
        <v>586</v>
      </c>
      <c r="F78" s="276" t="s">
        <v>586</v>
      </c>
      <c r="G78" s="75" t="s">
        <v>586</v>
      </c>
      <c r="H78" s="75" t="s">
        <v>586</v>
      </c>
      <c r="I78" s="75" t="s">
        <v>586</v>
      </c>
      <c r="J78" s="75" t="s">
        <v>586</v>
      </c>
      <c r="K78" s="75" t="s">
        <v>586</v>
      </c>
      <c r="L78" s="75" t="s">
        <v>586</v>
      </c>
      <c r="M78" s="75" t="s">
        <v>586</v>
      </c>
      <c r="N78" s="75" t="s">
        <v>586</v>
      </c>
      <c r="O78" s="75" t="s">
        <v>586</v>
      </c>
      <c r="P78" s="75" t="s">
        <v>586</v>
      </c>
      <c r="Q78" s="75" t="s">
        <v>586</v>
      </c>
      <c r="R78" s="75" t="s">
        <v>586</v>
      </c>
      <c r="S78" s="75" t="s">
        <v>586</v>
      </c>
      <c r="T78" s="75" t="s">
        <v>586</v>
      </c>
      <c r="U78" s="75" t="s">
        <v>586</v>
      </c>
      <c r="V78" s="75" t="s">
        <v>586</v>
      </c>
      <c r="W78" s="75" t="s">
        <v>586</v>
      </c>
      <c r="X78" s="75" t="s">
        <v>586</v>
      </c>
      <c r="Y78" s="75" t="s">
        <v>586</v>
      </c>
      <c r="Z78" s="75" t="s">
        <v>586</v>
      </c>
      <c r="AA78" s="75" t="s">
        <v>586</v>
      </c>
      <c r="AB78" s="75" t="s">
        <v>586</v>
      </c>
      <c r="AC78" s="75" t="s">
        <v>586</v>
      </c>
      <c r="AD78" s="75" t="s">
        <v>586</v>
      </c>
      <c r="AE78" s="75" t="s">
        <v>586</v>
      </c>
      <c r="AF78" s="75" t="s">
        <v>586</v>
      </c>
    </row>
    <row r="79" spans="1:35" ht="100.15" customHeight="1" x14ac:dyDescent="0.25">
      <c r="A79" s="620" t="s">
        <v>917</v>
      </c>
      <c r="B79" s="151" t="s">
        <v>13</v>
      </c>
      <c r="C79" s="40" t="s">
        <v>14</v>
      </c>
      <c r="D79" s="40" t="s">
        <v>15</v>
      </c>
      <c r="E79" s="41" t="s">
        <v>16</v>
      </c>
      <c r="F79" s="289" t="s">
        <v>17</v>
      </c>
      <c r="G79" s="40" t="s">
        <v>70</v>
      </c>
      <c r="H79" s="40" t="s">
        <v>71</v>
      </c>
      <c r="I79" s="40" t="s">
        <v>72</v>
      </c>
      <c r="J79" s="40" t="s">
        <v>2</v>
      </c>
      <c r="K79" s="40" t="s">
        <v>73</v>
      </c>
      <c r="L79" s="42" t="s">
        <v>74</v>
      </c>
      <c r="M79" s="42" t="s">
        <v>75</v>
      </c>
      <c r="N79" s="40" t="s">
        <v>76</v>
      </c>
      <c r="O79" s="40" t="s">
        <v>77</v>
      </c>
      <c r="P79" s="40" t="s">
        <v>78</v>
      </c>
      <c r="Q79" s="40" t="s">
        <v>79</v>
      </c>
      <c r="R79" s="40" t="s">
        <v>80</v>
      </c>
      <c r="S79" s="40" t="s">
        <v>81</v>
      </c>
      <c r="T79" s="40" t="s">
        <v>82</v>
      </c>
      <c r="U79" s="40" t="s">
        <v>83</v>
      </c>
      <c r="V79" s="40" t="s">
        <v>84</v>
      </c>
      <c r="W79" s="40" t="s">
        <v>3</v>
      </c>
      <c r="X79" s="40" t="s">
        <v>85</v>
      </c>
      <c r="Y79" s="40" t="s">
        <v>86</v>
      </c>
      <c r="Z79" s="40" t="s">
        <v>87</v>
      </c>
      <c r="AA79" s="40" t="s">
        <v>88</v>
      </c>
      <c r="AB79" s="40" t="s">
        <v>89</v>
      </c>
      <c r="AC79" s="40" t="s">
        <v>90</v>
      </c>
      <c r="AD79" s="40" t="s">
        <v>91</v>
      </c>
      <c r="AE79" s="40" t="s">
        <v>92</v>
      </c>
      <c r="AF79" s="43" t="s">
        <v>93</v>
      </c>
      <c r="AG79" s="2"/>
    </row>
    <row r="80" spans="1:35" ht="19.899999999999999" customHeight="1" x14ac:dyDescent="0.25">
      <c r="A80" s="615"/>
      <c r="B80" s="152">
        <v>1</v>
      </c>
      <c r="C80" s="44" t="s">
        <v>47</v>
      </c>
      <c r="D80" s="45">
        <v>11</v>
      </c>
      <c r="E80" s="46" t="s">
        <v>48</v>
      </c>
      <c r="F80" s="290" t="s">
        <v>49</v>
      </c>
      <c r="G80" s="47" t="s">
        <v>50</v>
      </c>
      <c r="H80" s="47">
        <v>36</v>
      </c>
      <c r="I80" s="47" t="s">
        <v>94</v>
      </c>
      <c r="J80" s="47" t="s">
        <v>95</v>
      </c>
      <c r="K80" s="47" t="s">
        <v>96</v>
      </c>
      <c r="L80" s="48" t="s">
        <v>97</v>
      </c>
      <c r="M80" s="48" t="s">
        <v>98</v>
      </c>
      <c r="N80" s="47" t="s">
        <v>99</v>
      </c>
      <c r="O80" s="47">
        <v>53</v>
      </c>
      <c r="P80" s="47">
        <v>54</v>
      </c>
      <c r="Q80" s="47" t="s">
        <v>913</v>
      </c>
      <c r="R80" s="47" t="s">
        <v>100</v>
      </c>
      <c r="S80" s="47" t="s">
        <v>101</v>
      </c>
      <c r="T80" s="47" t="s">
        <v>57</v>
      </c>
      <c r="U80" s="47" t="s">
        <v>102</v>
      </c>
      <c r="V80" s="47" t="s">
        <v>103</v>
      </c>
      <c r="W80" s="47" t="s">
        <v>104</v>
      </c>
      <c r="X80" s="47" t="s">
        <v>105</v>
      </c>
      <c r="Y80" s="47" t="s">
        <v>106</v>
      </c>
      <c r="Z80" s="47" t="s">
        <v>107</v>
      </c>
      <c r="AA80" s="47" t="s">
        <v>108</v>
      </c>
      <c r="AB80" s="45" t="s">
        <v>109</v>
      </c>
      <c r="AC80" s="47" t="s">
        <v>110</v>
      </c>
      <c r="AD80" s="45">
        <v>120</v>
      </c>
      <c r="AE80" s="45">
        <v>121</v>
      </c>
      <c r="AF80" s="49" t="s">
        <v>111</v>
      </c>
    </row>
    <row r="81" spans="1:35" outlineLevel="1" x14ac:dyDescent="0.25">
      <c r="A81" s="615"/>
      <c r="B81" s="152">
        <v>1</v>
      </c>
      <c r="C81" s="45">
        <v>9</v>
      </c>
      <c r="D81" s="45">
        <v>1</v>
      </c>
      <c r="E81" s="50">
        <v>13</v>
      </c>
      <c r="F81" s="291">
        <v>2</v>
      </c>
      <c r="G81" s="45">
        <v>9</v>
      </c>
      <c r="H81" s="45">
        <v>1</v>
      </c>
      <c r="I81" s="45">
        <v>2</v>
      </c>
      <c r="J81" s="45">
        <v>2</v>
      </c>
      <c r="K81" s="45">
        <v>3</v>
      </c>
      <c r="L81" s="51">
        <v>6</v>
      </c>
      <c r="M81" s="51">
        <v>1</v>
      </c>
      <c r="N81" s="45">
        <v>2</v>
      </c>
      <c r="O81" s="45">
        <v>1</v>
      </c>
      <c r="P81" s="45">
        <v>1</v>
      </c>
      <c r="Q81" s="45">
        <v>9</v>
      </c>
      <c r="R81" s="45">
        <v>2</v>
      </c>
      <c r="S81" s="45">
        <v>2</v>
      </c>
      <c r="T81" s="45">
        <v>6</v>
      </c>
      <c r="U81" s="45">
        <v>5</v>
      </c>
      <c r="V81" s="45">
        <v>2</v>
      </c>
      <c r="W81" s="45">
        <v>6</v>
      </c>
      <c r="X81" s="45">
        <v>2</v>
      </c>
      <c r="Y81" s="45">
        <v>7</v>
      </c>
      <c r="Z81" s="45">
        <v>7</v>
      </c>
      <c r="AA81" s="45">
        <v>3</v>
      </c>
      <c r="AB81" s="45">
        <v>7</v>
      </c>
      <c r="AC81" s="45">
        <v>7</v>
      </c>
      <c r="AD81" s="45">
        <v>1</v>
      </c>
      <c r="AE81" s="45">
        <v>1</v>
      </c>
      <c r="AF81" s="49">
        <v>7</v>
      </c>
    </row>
    <row r="82" spans="1:35" outlineLevel="1" x14ac:dyDescent="0.25">
      <c r="A82" s="615"/>
      <c r="B82" s="152" t="s">
        <v>1</v>
      </c>
      <c r="C82" s="45" t="s">
        <v>1</v>
      </c>
      <c r="D82" s="45" t="s">
        <v>69</v>
      </c>
      <c r="E82" s="50" t="s">
        <v>69</v>
      </c>
      <c r="F82" s="291" t="s">
        <v>1</v>
      </c>
      <c r="G82" s="45" t="s">
        <v>1</v>
      </c>
      <c r="H82" s="45" t="s">
        <v>69</v>
      </c>
      <c r="I82" s="45" t="s">
        <v>1</v>
      </c>
      <c r="J82" s="45" t="s">
        <v>1</v>
      </c>
      <c r="K82" s="45" t="s">
        <v>1</v>
      </c>
      <c r="L82" s="52" t="s">
        <v>1</v>
      </c>
      <c r="M82" s="52" t="s">
        <v>1</v>
      </c>
      <c r="N82" s="45" t="s">
        <v>69</v>
      </c>
      <c r="O82" s="45" t="s">
        <v>69</v>
      </c>
      <c r="P82" s="53" t="s">
        <v>69</v>
      </c>
      <c r="Q82" s="45" t="s">
        <v>1</v>
      </c>
      <c r="R82" s="45" t="s">
        <v>1</v>
      </c>
      <c r="S82" s="45" t="s">
        <v>1</v>
      </c>
      <c r="T82" s="45" t="s">
        <v>1</v>
      </c>
      <c r="U82" s="45" t="s">
        <v>69</v>
      </c>
      <c r="V82" s="45" t="s">
        <v>1</v>
      </c>
      <c r="W82" s="45" t="s">
        <v>1</v>
      </c>
      <c r="X82" s="45" t="s">
        <v>1</v>
      </c>
      <c r="Y82" s="45" t="s">
        <v>1</v>
      </c>
      <c r="Z82" s="45" t="s">
        <v>1</v>
      </c>
      <c r="AA82" s="45" t="s">
        <v>1</v>
      </c>
      <c r="AB82" s="45" t="s">
        <v>1</v>
      </c>
      <c r="AC82" s="45" t="s">
        <v>1</v>
      </c>
      <c r="AD82" s="45" t="s">
        <v>69</v>
      </c>
      <c r="AE82" s="45" t="s">
        <v>1</v>
      </c>
      <c r="AF82" s="49" t="s">
        <v>1</v>
      </c>
    </row>
    <row r="83" spans="1:35" outlineLevel="1" x14ac:dyDescent="0.25">
      <c r="A83" s="615"/>
      <c r="B83" s="152" t="s">
        <v>0</v>
      </c>
      <c r="C83" s="45" t="s">
        <v>0</v>
      </c>
      <c r="D83" s="45" t="s">
        <v>4</v>
      </c>
      <c r="E83" s="50" t="s">
        <v>0</v>
      </c>
      <c r="F83" s="291" t="s">
        <v>0</v>
      </c>
      <c r="G83" s="45" t="s">
        <v>0</v>
      </c>
      <c r="H83" s="45" t="s">
        <v>4</v>
      </c>
      <c r="I83" s="45" t="s">
        <v>4</v>
      </c>
      <c r="J83" s="45" t="s">
        <v>4</v>
      </c>
      <c r="K83" s="45" t="s">
        <v>4</v>
      </c>
      <c r="L83" s="52" t="s">
        <v>4</v>
      </c>
      <c r="M83" s="52" t="s">
        <v>0</v>
      </c>
      <c r="N83" s="45" t="s">
        <v>4</v>
      </c>
      <c r="O83" s="45" t="s">
        <v>4</v>
      </c>
      <c r="P83" s="45" t="s">
        <v>4</v>
      </c>
      <c r="Q83" s="45" t="s">
        <v>4</v>
      </c>
      <c r="R83" s="45" t="s">
        <v>4</v>
      </c>
      <c r="S83" s="45" t="s">
        <v>112</v>
      </c>
      <c r="T83" s="45" t="s">
        <v>0</v>
      </c>
      <c r="U83" s="45" t="s">
        <v>0</v>
      </c>
      <c r="V83" s="45" t="s">
        <v>0</v>
      </c>
      <c r="W83" s="45" t="s">
        <v>0</v>
      </c>
      <c r="X83" s="45" t="s">
        <v>0</v>
      </c>
      <c r="Y83" s="45" t="s">
        <v>0</v>
      </c>
      <c r="Z83" s="45" t="s">
        <v>0</v>
      </c>
      <c r="AA83" s="45" t="s">
        <v>0</v>
      </c>
      <c r="AB83" s="45" t="s">
        <v>0</v>
      </c>
      <c r="AC83" s="45" t="s">
        <v>0</v>
      </c>
      <c r="AD83" s="45" t="s">
        <v>4</v>
      </c>
      <c r="AE83" s="45" t="s">
        <v>4</v>
      </c>
      <c r="AF83" s="49" t="s">
        <v>4</v>
      </c>
    </row>
    <row r="84" spans="1:35" ht="30" customHeight="1" thickBot="1" x14ac:dyDescent="0.3">
      <c r="A84" s="616"/>
      <c r="B84" s="149" t="s">
        <v>10</v>
      </c>
      <c r="C84" s="54" t="s">
        <v>544</v>
      </c>
      <c r="D84" s="55" t="s">
        <v>8</v>
      </c>
      <c r="E84" s="54" t="s">
        <v>198</v>
      </c>
      <c r="F84" s="288">
        <v>77</v>
      </c>
      <c r="G84" s="54">
        <v>250000001</v>
      </c>
      <c r="H84" s="193" t="s">
        <v>8</v>
      </c>
      <c r="I84" s="193" t="s">
        <v>5</v>
      </c>
      <c r="J84" s="55" t="s">
        <v>5</v>
      </c>
      <c r="K84" s="55" t="s">
        <v>6</v>
      </c>
      <c r="L84" s="55" t="s">
        <v>208</v>
      </c>
      <c r="M84" s="193" t="s">
        <v>397</v>
      </c>
      <c r="N84" s="55" t="s">
        <v>210</v>
      </c>
      <c r="O84" s="55" t="s">
        <v>8</v>
      </c>
      <c r="P84" s="55" t="s">
        <v>8</v>
      </c>
      <c r="Q84" s="54" t="s">
        <v>544</v>
      </c>
      <c r="R84" s="55" t="s">
        <v>5</v>
      </c>
      <c r="S84" s="55" t="s">
        <v>5</v>
      </c>
      <c r="T84" s="33" t="s">
        <v>581</v>
      </c>
      <c r="U84" s="228" t="s">
        <v>244</v>
      </c>
      <c r="V84" s="33" t="s">
        <v>202</v>
      </c>
      <c r="W84" s="54" t="s">
        <v>590</v>
      </c>
      <c r="X84" s="33" t="s">
        <v>202</v>
      </c>
      <c r="Y84" s="54" t="s">
        <v>595</v>
      </c>
      <c r="Z84" s="96" t="s">
        <v>595</v>
      </c>
      <c r="AA84" s="54" t="s">
        <v>6</v>
      </c>
      <c r="AB84" s="54" t="s">
        <v>212</v>
      </c>
      <c r="AC84" s="54" t="s">
        <v>212</v>
      </c>
      <c r="AD84" s="193" t="s">
        <v>498</v>
      </c>
      <c r="AE84" s="193" t="s">
        <v>200</v>
      </c>
      <c r="AF84" s="54" t="s">
        <v>212</v>
      </c>
      <c r="AG84" s="188" t="s">
        <v>589</v>
      </c>
      <c r="AH84" s="76"/>
      <c r="AI84" s="76"/>
    </row>
    <row r="85" spans="1:35" s="75" customFormat="1" ht="15.75" thickBot="1" x14ac:dyDescent="0.3">
      <c r="B85" s="150" t="s">
        <v>586</v>
      </c>
      <c r="C85" s="75" t="s">
        <v>586</v>
      </c>
      <c r="D85" s="75" t="s">
        <v>586</v>
      </c>
      <c r="E85" s="75" t="s">
        <v>586</v>
      </c>
      <c r="F85" s="276" t="s">
        <v>586</v>
      </c>
      <c r="G85" s="75" t="s">
        <v>586</v>
      </c>
      <c r="H85" s="75" t="s">
        <v>586</v>
      </c>
      <c r="I85" s="75" t="s">
        <v>586</v>
      </c>
      <c r="J85" s="75" t="s">
        <v>586</v>
      </c>
      <c r="K85" s="75" t="s">
        <v>586</v>
      </c>
      <c r="L85" s="75" t="s">
        <v>586</v>
      </c>
      <c r="M85" s="75" t="s">
        <v>586</v>
      </c>
      <c r="N85" s="75" t="s">
        <v>586</v>
      </c>
      <c r="O85" s="75" t="s">
        <v>586</v>
      </c>
      <c r="P85" s="75" t="s">
        <v>586</v>
      </c>
      <c r="Q85" s="75" t="s">
        <v>586</v>
      </c>
      <c r="R85" s="75" t="s">
        <v>586</v>
      </c>
      <c r="S85" s="75" t="s">
        <v>586</v>
      </c>
      <c r="T85" s="75" t="s">
        <v>586</v>
      </c>
      <c r="U85" s="75" t="s">
        <v>586</v>
      </c>
      <c r="V85" s="75" t="s">
        <v>586</v>
      </c>
      <c r="W85" s="75" t="s">
        <v>586</v>
      </c>
      <c r="X85" s="75" t="s">
        <v>586</v>
      </c>
      <c r="Y85" s="75" t="s">
        <v>586</v>
      </c>
      <c r="Z85" s="75" t="s">
        <v>586</v>
      </c>
      <c r="AA85" s="75" t="s">
        <v>586</v>
      </c>
      <c r="AB85" s="75" t="s">
        <v>586</v>
      </c>
      <c r="AC85" s="75" t="s">
        <v>586</v>
      </c>
      <c r="AD85" s="75" t="s">
        <v>586</v>
      </c>
      <c r="AE85" s="75" t="s">
        <v>586</v>
      </c>
      <c r="AF85" s="75" t="s">
        <v>586</v>
      </c>
    </row>
    <row r="86" spans="1:35" ht="100.15" customHeight="1" x14ac:dyDescent="0.25">
      <c r="A86" s="620" t="s">
        <v>919</v>
      </c>
      <c r="B86" s="151" t="s">
        <v>13</v>
      </c>
      <c r="C86" s="40" t="s">
        <v>14</v>
      </c>
      <c r="D86" s="40" t="s">
        <v>15</v>
      </c>
      <c r="E86" s="41" t="s">
        <v>16</v>
      </c>
      <c r="F86" s="289" t="s">
        <v>17</v>
      </c>
      <c r="G86" s="40" t="s">
        <v>70</v>
      </c>
      <c r="H86" s="40" t="s">
        <v>71</v>
      </c>
      <c r="I86" s="40" t="s">
        <v>72</v>
      </c>
      <c r="J86" s="40" t="s">
        <v>2</v>
      </c>
      <c r="K86" s="40" t="s">
        <v>73</v>
      </c>
      <c r="L86" s="42" t="s">
        <v>74</v>
      </c>
      <c r="M86" s="42" t="s">
        <v>75</v>
      </c>
      <c r="N86" s="40" t="s">
        <v>76</v>
      </c>
      <c r="O86" s="40" t="s">
        <v>77</v>
      </c>
      <c r="P86" s="40" t="s">
        <v>78</v>
      </c>
      <c r="Q86" s="40" t="s">
        <v>79</v>
      </c>
      <c r="R86" s="40" t="s">
        <v>80</v>
      </c>
      <c r="S86" s="40" t="s">
        <v>81</v>
      </c>
      <c r="T86" s="40" t="s">
        <v>82</v>
      </c>
      <c r="U86" s="40" t="s">
        <v>83</v>
      </c>
      <c r="V86" s="40" t="s">
        <v>84</v>
      </c>
      <c r="W86" s="40" t="s">
        <v>3</v>
      </c>
      <c r="X86" s="40" t="s">
        <v>85</v>
      </c>
      <c r="Y86" s="40" t="s">
        <v>86</v>
      </c>
      <c r="Z86" s="40" t="s">
        <v>87</v>
      </c>
      <c r="AA86" s="40" t="s">
        <v>88</v>
      </c>
      <c r="AB86" s="40" t="s">
        <v>89</v>
      </c>
      <c r="AC86" s="40" t="s">
        <v>90</v>
      </c>
      <c r="AD86" s="40" t="s">
        <v>91</v>
      </c>
      <c r="AE86" s="40" t="s">
        <v>92</v>
      </c>
      <c r="AF86" s="43" t="s">
        <v>93</v>
      </c>
      <c r="AG86" s="2"/>
    </row>
    <row r="87" spans="1:35" ht="19.899999999999999" customHeight="1" x14ac:dyDescent="0.25">
      <c r="A87" s="615"/>
      <c r="B87" s="152">
        <v>1</v>
      </c>
      <c r="C87" s="44" t="s">
        <v>47</v>
      </c>
      <c r="D87" s="45">
        <v>11</v>
      </c>
      <c r="E87" s="46" t="s">
        <v>48</v>
      </c>
      <c r="F87" s="290" t="s">
        <v>49</v>
      </c>
      <c r="G87" s="47" t="s">
        <v>50</v>
      </c>
      <c r="H87" s="47">
        <v>36</v>
      </c>
      <c r="I87" s="47" t="s">
        <v>94</v>
      </c>
      <c r="J87" s="47" t="s">
        <v>95</v>
      </c>
      <c r="K87" s="47" t="s">
        <v>96</v>
      </c>
      <c r="L87" s="48" t="s">
        <v>97</v>
      </c>
      <c r="M87" s="48" t="s">
        <v>98</v>
      </c>
      <c r="N87" s="47" t="s">
        <v>99</v>
      </c>
      <c r="O87" s="47">
        <v>53</v>
      </c>
      <c r="P87" s="47">
        <v>54</v>
      </c>
      <c r="Q87" s="47" t="s">
        <v>913</v>
      </c>
      <c r="R87" s="47" t="s">
        <v>100</v>
      </c>
      <c r="S87" s="47" t="s">
        <v>101</v>
      </c>
      <c r="T87" s="47" t="s">
        <v>57</v>
      </c>
      <c r="U87" s="47" t="s">
        <v>102</v>
      </c>
      <c r="V87" s="47" t="s">
        <v>103</v>
      </c>
      <c r="W87" s="47" t="s">
        <v>104</v>
      </c>
      <c r="X87" s="47" t="s">
        <v>105</v>
      </c>
      <c r="Y87" s="47" t="s">
        <v>106</v>
      </c>
      <c r="Z87" s="47" t="s">
        <v>107</v>
      </c>
      <c r="AA87" s="47" t="s">
        <v>108</v>
      </c>
      <c r="AB87" s="45" t="s">
        <v>109</v>
      </c>
      <c r="AC87" s="47" t="s">
        <v>110</v>
      </c>
      <c r="AD87" s="45">
        <v>120</v>
      </c>
      <c r="AE87" s="45">
        <v>121</v>
      </c>
      <c r="AF87" s="49" t="s">
        <v>111</v>
      </c>
    </row>
    <row r="88" spans="1:35" outlineLevel="1" x14ac:dyDescent="0.25">
      <c r="A88" s="615"/>
      <c r="B88" s="152">
        <v>1</v>
      </c>
      <c r="C88" s="45">
        <v>9</v>
      </c>
      <c r="D88" s="45">
        <v>1</v>
      </c>
      <c r="E88" s="50">
        <v>13</v>
      </c>
      <c r="F88" s="291">
        <v>2</v>
      </c>
      <c r="G88" s="45">
        <v>9</v>
      </c>
      <c r="H88" s="45">
        <v>1</v>
      </c>
      <c r="I88" s="45">
        <v>2</v>
      </c>
      <c r="J88" s="45">
        <v>2</v>
      </c>
      <c r="K88" s="45">
        <v>3</v>
      </c>
      <c r="L88" s="51">
        <v>6</v>
      </c>
      <c r="M88" s="51">
        <v>1</v>
      </c>
      <c r="N88" s="45">
        <v>2</v>
      </c>
      <c r="O88" s="45">
        <v>1</v>
      </c>
      <c r="P88" s="45">
        <v>1</v>
      </c>
      <c r="Q88" s="45">
        <v>9</v>
      </c>
      <c r="R88" s="45">
        <v>2</v>
      </c>
      <c r="S88" s="45">
        <v>2</v>
      </c>
      <c r="T88" s="45">
        <v>6</v>
      </c>
      <c r="U88" s="45">
        <v>5</v>
      </c>
      <c r="V88" s="45">
        <v>2</v>
      </c>
      <c r="W88" s="45">
        <v>6</v>
      </c>
      <c r="X88" s="45">
        <v>2</v>
      </c>
      <c r="Y88" s="45">
        <v>7</v>
      </c>
      <c r="Z88" s="45">
        <v>7</v>
      </c>
      <c r="AA88" s="45">
        <v>3</v>
      </c>
      <c r="AB88" s="45">
        <v>7</v>
      </c>
      <c r="AC88" s="45">
        <v>7</v>
      </c>
      <c r="AD88" s="45">
        <v>1</v>
      </c>
      <c r="AE88" s="45">
        <v>1</v>
      </c>
      <c r="AF88" s="49">
        <v>7</v>
      </c>
    </row>
    <row r="89" spans="1:35" outlineLevel="1" x14ac:dyDescent="0.25">
      <c r="A89" s="615"/>
      <c r="B89" s="152" t="s">
        <v>1</v>
      </c>
      <c r="C89" s="45" t="s">
        <v>1</v>
      </c>
      <c r="D89" s="45" t="s">
        <v>69</v>
      </c>
      <c r="E89" s="50" t="s">
        <v>69</v>
      </c>
      <c r="F89" s="291" t="s">
        <v>1</v>
      </c>
      <c r="G89" s="45" t="s">
        <v>1</v>
      </c>
      <c r="H89" s="45" t="s">
        <v>69</v>
      </c>
      <c r="I89" s="45" t="s">
        <v>1</v>
      </c>
      <c r="J89" s="45" t="s">
        <v>1</v>
      </c>
      <c r="K89" s="45" t="s">
        <v>1</v>
      </c>
      <c r="L89" s="52" t="s">
        <v>1</v>
      </c>
      <c r="M89" s="52" t="s">
        <v>1</v>
      </c>
      <c r="N89" s="45" t="s">
        <v>69</v>
      </c>
      <c r="O89" s="45" t="s">
        <v>69</v>
      </c>
      <c r="P89" s="53" t="s">
        <v>69</v>
      </c>
      <c r="Q89" s="45" t="s">
        <v>1</v>
      </c>
      <c r="R89" s="45" t="s">
        <v>1</v>
      </c>
      <c r="S89" s="45" t="s">
        <v>1</v>
      </c>
      <c r="T89" s="45" t="s">
        <v>1</v>
      </c>
      <c r="U89" s="45" t="s">
        <v>69</v>
      </c>
      <c r="V89" s="45" t="s">
        <v>1</v>
      </c>
      <c r="W89" s="45" t="s">
        <v>1</v>
      </c>
      <c r="X89" s="45" t="s">
        <v>1</v>
      </c>
      <c r="Y89" s="45" t="s">
        <v>1</v>
      </c>
      <c r="Z89" s="45" t="s">
        <v>1</v>
      </c>
      <c r="AA89" s="45" t="s">
        <v>1</v>
      </c>
      <c r="AB89" s="45" t="s">
        <v>1</v>
      </c>
      <c r="AC89" s="45" t="s">
        <v>1</v>
      </c>
      <c r="AD89" s="45" t="s">
        <v>69</v>
      </c>
      <c r="AE89" s="45" t="s">
        <v>1</v>
      </c>
      <c r="AF89" s="49" t="s">
        <v>1</v>
      </c>
    </row>
    <row r="90" spans="1:35" ht="13.5" customHeight="1" outlineLevel="1" x14ac:dyDescent="0.25">
      <c r="A90" s="615"/>
      <c r="B90" s="152" t="s">
        <v>0</v>
      </c>
      <c r="C90" s="45" t="s">
        <v>0</v>
      </c>
      <c r="D90" s="45" t="s">
        <v>4</v>
      </c>
      <c r="E90" s="50" t="s">
        <v>0</v>
      </c>
      <c r="F90" s="291" t="s">
        <v>0</v>
      </c>
      <c r="G90" s="45" t="s">
        <v>0</v>
      </c>
      <c r="H90" s="45" t="s">
        <v>4</v>
      </c>
      <c r="I90" s="45" t="s">
        <v>4</v>
      </c>
      <c r="J90" s="45" t="s">
        <v>4</v>
      </c>
      <c r="K90" s="45" t="s">
        <v>4</v>
      </c>
      <c r="L90" s="52" t="s">
        <v>4</v>
      </c>
      <c r="M90" s="52" t="s">
        <v>0</v>
      </c>
      <c r="N90" s="45" t="s">
        <v>4</v>
      </c>
      <c r="O90" s="45" t="s">
        <v>4</v>
      </c>
      <c r="P90" s="45" t="s">
        <v>4</v>
      </c>
      <c r="Q90" s="45" t="s">
        <v>4</v>
      </c>
      <c r="R90" s="45" t="s">
        <v>4</v>
      </c>
      <c r="S90" s="45" t="s">
        <v>112</v>
      </c>
      <c r="T90" s="45" t="s">
        <v>0</v>
      </c>
      <c r="U90" s="45" t="s">
        <v>0</v>
      </c>
      <c r="V90" s="45" t="s">
        <v>0</v>
      </c>
      <c r="W90" s="45" t="s">
        <v>0</v>
      </c>
      <c r="X90" s="45" t="s">
        <v>0</v>
      </c>
      <c r="Y90" s="45" t="s">
        <v>0</v>
      </c>
      <c r="Z90" s="45" t="s">
        <v>0</v>
      </c>
      <c r="AA90" s="45" t="s">
        <v>0</v>
      </c>
      <c r="AB90" s="45" t="s">
        <v>0</v>
      </c>
      <c r="AC90" s="45" t="s">
        <v>0</v>
      </c>
      <c r="AD90" s="45" t="s">
        <v>4</v>
      </c>
      <c r="AE90" s="45" t="s">
        <v>4</v>
      </c>
      <c r="AF90" s="49" t="s">
        <v>4</v>
      </c>
    </row>
    <row r="91" spans="1:35" ht="30" customHeight="1" thickBot="1" x14ac:dyDescent="0.3">
      <c r="A91" s="616"/>
      <c r="B91" s="149" t="s">
        <v>10</v>
      </c>
      <c r="C91" s="54" t="s">
        <v>544</v>
      </c>
      <c r="D91" s="55" t="s">
        <v>8</v>
      </c>
      <c r="E91" s="54" t="s">
        <v>198</v>
      </c>
      <c r="F91" s="288">
        <v>77</v>
      </c>
      <c r="G91" s="54">
        <v>250000001</v>
      </c>
      <c r="H91" s="193" t="s">
        <v>8</v>
      </c>
      <c r="I91" s="193" t="s">
        <v>5</v>
      </c>
      <c r="J91" s="55" t="s">
        <v>5</v>
      </c>
      <c r="K91" s="55" t="s">
        <v>6</v>
      </c>
      <c r="L91" s="55" t="s">
        <v>208</v>
      </c>
      <c r="M91" s="193" t="s">
        <v>397</v>
      </c>
      <c r="N91" s="55" t="s">
        <v>210</v>
      </c>
      <c r="O91" s="55" t="s">
        <v>8</v>
      </c>
      <c r="P91" s="55" t="s">
        <v>8</v>
      </c>
      <c r="Q91" s="54" t="s">
        <v>544</v>
      </c>
      <c r="R91" s="55" t="s">
        <v>5</v>
      </c>
      <c r="S91" s="55" t="s">
        <v>5</v>
      </c>
      <c r="T91" s="33" t="s">
        <v>581</v>
      </c>
      <c r="U91" s="228" t="s">
        <v>280</v>
      </c>
      <c r="V91" s="33" t="s">
        <v>202</v>
      </c>
      <c r="W91" s="54" t="s">
        <v>590</v>
      </c>
      <c r="X91" s="33" t="s">
        <v>202</v>
      </c>
      <c r="Y91" s="54" t="s">
        <v>595</v>
      </c>
      <c r="Z91" s="96" t="s">
        <v>595</v>
      </c>
      <c r="AA91" s="54" t="s">
        <v>6</v>
      </c>
      <c r="AB91" s="54" t="s">
        <v>212</v>
      </c>
      <c r="AC91" s="54" t="s">
        <v>212</v>
      </c>
      <c r="AD91" s="193" t="s">
        <v>498</v>
      </c>
      <c r="AE91" s="193" t="s">
        <v>200</v>
      </c>
      <c r="AF91" s="54" t="s">
        <v>212</v>
      </c>
      <c r="AG91" s="188" t="s">
        <v>589</v>
      </c>
      <c r="AH91" s="76"/>
      <c r="AI91" s="76"/>
    </row>
    <row r="92" spans="1:35" s="75" customFormat="1" ht="15.75" thickBot="1" x14ac:dyDescent="0.3">
      <c r="A92" s="77"/>
      <c r="B92" s="144"/>
      <c r="C92" s="77"/>
      <c r="D92" s="77"/>
      <c r="E92" s="77"/>
      <c r="F92" s="271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</row>
    <row r="93" spans="1:35" ht="100.15" customHeight="1" x14ac:dyDescent="0.25">
      <c r="A93" s="620" t="s">
        <v>920</v>
      </c>
      <c r="B93" s="151" t="s">
        <v>13</v>
      </c>
      <c r="C93" s="40" t="s">
        <v>14</v>
      </c>
      <c r="D93" s="40" t="s">
        <v>15</v>
      </c>
      <c r="E93" s="41" t="s">
        <v>16</v>
      </c>
      <c r="F93" s="289" t="s">
        <v>17</v>
      </c>
      <c r="G93" s="40" t="s">
        <v>70</v>
      </c>
      <c r="H93" s="40" t="s">
        <v>71</v>
      </c>
      <c r="I93" s="40" t="s">
        <v>72</v>
      </c>
      <c r="J93" s="40" t="s">
        <v>2</v>
      </c>
      <c r="K93" s="40" t="s">
        <v>73</v>
      </c>
      <c r="L93" s="42" t="s">
        <v>74</v>
      </c>
      <c r="M93" s="42" t="s">
        <v>75</v>
      </c>
      <c r="N93" s="40" t="s">
        <v>76</v>
      </c>
      <c r="O93" s="40" t="s">
        <v>77</v>
      </c>
      <c r="P93" s="40" t="s">
        <v>78</v>
      </c>
      <c r="Q93" s="40" t="s">
        <v>79</v>
      </c>
      <c r="R93" s="40" t="s">
        <v>80</v>
      </c>
      <c r="S93" s="40" t="s">
        <v>81</v>
      </c>
      <c r="T93" s="40" t="s">
        <v>82</v>
      </c>
      <c r="U93" s="40" t="s">
        <v>83</v>
      </c>
      <c r="V93" s="40" t="s">
        <v>84</v>
      </c>
      <c r="W93" s="40" t="s">
        <v>3</v>
      </c>
      <c r="X93" s="40" t="s">
        <v>85</v>
      </c>
      <c r="Y93" s="40" t="s">
        <v>86</v>
      </c>
      <c r="Z93" s="40" t="s">
        <v>87</v>
      </c>
      <c r="AA93" s="40" t="s">
        <v>88</v>
      </c>
      <c r="AB93" s="40" t="s">
        <v>89</v>
      </c>
      <c r="AC93" s="40" t="s">
        <v>90</v>
      </c>
      <c r="AD93" s="40" t="s">
        <v>91</v>
      </c>
      <c r="AE93" s="40" t="s">
        <v>92</v>
      </c>
      <c r="AF93" s="43" t="s">
        <v>93</v>
      </c>
      <c r="AG93" s="2"/>
    </row>
    <row r="94" spans="1:35" ht="19.899999999999999" customHeight="1" x14ac:dyDescent="0.25">
      <c r="A94" s="615"/>
      <c r="B94" s="152">
        <v>1</v>
      </c>
      <c r="C94" s="44" t="s">
        <v>47</v>
      </c>
      <c r="D94" s="45">
        <v>11</v>
      </c>
      <c r="E94" s="46" t="s">
        <v>48</v>
      </c>
      <c r="F94" s="290" t="s">
        <v>49</v>
      </c>
      <c r="G94" s="47" t="s">
        <v>50</v>
      </c>
      <c r="H94" s="47">
        <v>36</v>
      </c>
      <c r="I94" s="47" t="s">
        <v>94</v>
      </c>
      <c r="J94" s="47" t="s">
        <v>95</v>
      </c>
      <c r="K94" s="47" t="s">
        <v>96</v>
      </c>
      <c r="L94" s="48" t="s">
        <v>97</v>
      </c>
      <c r="M94" s="48" t="s">
        <v>98</v>
      </c>
      <c r="N94" s="47" t="s">
        <v>99</v>
      </c>
      <c r="O94" s="47">
        <v>53</v>
      </c>
      <c r="P94" s="47">
        <v>54</v>
      </c>
      <c r="Q94" s="47" t="s">
        <v>913</v>
      </c>
      <c r="R94" s="47" t="s">
        <v>100</v>
      </c>
      <c r="S94" s="47" t="s">
        <v>101</v>
      </c>
      <c r="T94" s="47" t="s">
        <v>57</v>
      </c>
      <c r="U94" s="47" t="s">
        <v>102</v>
      </c>
      <c r="V94" s="47" t="s">
        <v>103</v>
      </c>
      <c r="W94" s="47" t="s">
        <v>104</v>
      </c>
      <c r="X94" s="47" t="s">
        <v>105</v>
      </c>
      <c r="Y94" s="47" t="s">
        <v>106</v>
      </c>
      <c r="Z94" s="47" t="s">
        <v>107</v>
      </c>
      <c r="AA94" s="47" t="s">
        <v>108</v>
      </c>
      <c r="AB94" s="45" t="s">
        <v>109</v>
      </c>
      <c r="AC94" s="47" t="s">
        <v>110</v>
      </c>
      <c r="AD94" s="45">
        <v>120</v>
      </c>
      <c r="AE94" s="45">
        <v>121</v>
      </c>
      <c r="AF94" s="49" t="s">
        <v>111</v>
      </c>
    </row>
    <row r="95" spans="1:35" outlineLevel="1" x14ac:dyDescent="0.25">
      <c r="A95" s="615"/>
      <c r="B95" s="152">
        <v>1</v>
      </c>
      <c r="C95" s="45">
        <v>9</v>
      </c>
      <c r="D95" s="45">
        <v>1</v>
      </c>
      <c r="E95" s="50">
        <v>13</v>
      </c>
      <c r="F95" s="291">
        <v>2</v>
      </c>
      <c r="G95" s="45">
        <v>9</v>
      </c>
      <c r="H95" s="45">
        <v>1</v>
      </c>
      <c r="I95" s="45">
        <v>2</v>
      </c>
      <c r="J95" s="45">
        <v>2</v>
      </c>
      <c r="K95" s="45">
        <v>3</v>
      </c>
      <c r="L95" s="51">
        <v>6</v>
      </c>
      <c r="M95" s="51">
        <v>1</v>
      </c>
      <c r="N95" s="45">
        <v>2</v>
      </c>
      <c r="O95" s="45">
        <v>1</v>
      </c>
      <c r="P95" s="45">
        <v>1</v>
      </c>
      <c r="Q95" s="45">
        <v>9</v>
      </c>
      <c r="R95" s="45">
        <v>2</v>
      </c>
      <c r="S95" s="45">
        <v>2</v>
      </c>
      <c r="T95" s="45">
        <v>6</v>
      </c>
      <c r="U95" s="45">
        <v>5</v>
      </c>
      <c r="V95" s="45">
        <v>2</v>
      </c>
      <c r="W95" s="45">
        <v>6</v>
      </c>
      <c r="X95" s="45">
        <v>2</v>
      </c>
      <c r="Y95" s="45">
        <v>7</v>
      </c>
      <c r="Z95" s="45">
        <v>7</v>
      </c>
      <c r="AA95" s="45">
        <v>3</v>
      </c>
      <c r="AB95" s="45">
        <v>7</v>
      </c>
      <c r="AC95" s="45">
        <v>7</v>
      </c>
      <c r="AD95" s="45">
        <v>1</v>
      </c>
      <c r="AE95" s="45">
        <v>1</v>
      </c>
      <c r="AF95" s="49">
        <v>7</v>
      </c>
    </row>
    <row r="96" spans="1:35" outlineLevel="1" x14ac:dyDescent="0.25">
      <c r="A96" s="615"/>
      <c r="B96" s="152" t="s">
        <v>1</v>
      </c>
      <c r="C96" s="45" t="s">
        <v>1</v>
      </c>
      <c r="D96" s="45" t="s">
        <v>69</v>
      </c>
      <c r="E96" s="50" t="s">
        <v>69</v>
      </c>
      <c r="F96" s="291" t="s">
        <v>1</v>
      </c>
      <c r="G96" s="45" t="s">
        <v>1</v>
      </c>
      <c r="H96" s="45" t="s">
        <v>69</v>
      </c>
      <c r="I96" s="45" t="s">
        <v>1</v>
      </c>
      <c r="J96" s="45" t="s">
        <v>1</v>
      </c>
      <c r="K96" s="45" t="s">
        <v>1</v>
      </c>
      <c r="L96" s="52" t="s">
        <v>1</v>
      </c>
      <c r="M96" s="52" t="s">
        <v>1</v>
      </c>
      <c r="N96" s="45" t="s">
        <v>69</v>
      </c>
      <c r="O96" s="45" t="s">
        <v>69</v>
      </c>
      <c r="P96" s="53" t="s">
        <v>69</v>
      </c>
      <c r="Q96" s="45" t="s">
        <v>1</v>
      </c>
      <c r="R96" s="45" t="s">
        <v>1</v>
      </c>
      <c r="S96" s="45" t="s">
        <v>1</v>
      </c>
      <c r="T96" s="45" t="s">
        <v>1</v>
      </c>
      <c r="U96" s="45" t="s">
        <v>69</v>
      </c>
      <c r="V96" s="45" t="s">
        <v>1</v>
      </c>
      <c r="W96" s="45" t="s">
        <v>1</v>
      </c>
      <c r="X96" s="45" t="s">
        <v>1</v>
      </c>
      <c r="Y96" s="45" t="s">
        <v>1</v>
      </c>
      <c r="Z96" s="45" t="s">
        <v>1</v>
      </c>
      <c r="AA96" s="45" t="s">
        <v>1</v>
      </c>
      <c r="AB96" s="45" t="s">
        <v>1</v>
      </c>
      <c r="AC96" s="45" t="s">
        <v>1</v>
      </c>
      <c r="AD96" s="45" t="s">
        <v>69</v>
      </c>
      <c r="AE96" s="45" t="s">
        <v>1</v>
      </c>
      <c r="AF96" s="49" t="s">
        <v>1</v>
      </c>
    </row>
    <row r="97" spans="1:35" outlineLevel="1" x14ac:dyDescent="0.25">
      <c r="A97" s="615"/>
      <c r="B97" s="152" t="s">
        <v>0</v>
      </c>
      <c r="C97" s="45" t="s">
        <v>0</v>
      </c>
      <c r="D97" s="45" t="s">
        <v>4</v>
      </c>
      <c r="E97" s="50" t="s">
        <v>0</v>
      </c>
      <c r="F97" s="291" t="s">
        <v>0</v>
      </c>
      <c r="G97" s="45" t="s">
        <v>0</v>
      </c>
      <c r="H97" s="45" t="s">
        <v>4</v>
      </c>
      <c r="I97" s="45" t="s">
        <v>4</v>
      </c>
      <c r="J97" s="45" t="s">
        <v>4</v>
      </c>
      <c r="K97" s="45" t="s">
        <v>4</v>
      </c>
      <c r="L97" s="52" t="s">
        <v>4</v>
      </c>
      <c r="M97" s="52" t="s">
        <v>0</v>
      </c>
      <c r="N97" s="45" t="s">
        <v>4</v>
      </c>
      <c r="O97" s="45" t="s">
        <v>4</v>
      </c>
      <c r="P97" s="45" t="s">
        <v>4</v>
      </c>
      <c r="Q97" s="45" t="s">
        <v>4</v>
      </c>
      <c r="R97" s="45" t="s">
        <v>4</v>
      </c>
      <c r="S97" s="45" t="s">
        <v>112</v>
      </c>
      <c r="T97" s="45" t="s">
        <v>0</v>
      </c>
      <c r="U97" s="45" t="s">
        <v>0</v>
      </c>
      <c r="V97" s="45" t="s">
        <v>0</v>
      </c>
      <c r="W97" s="45" t="s">
        <v>0</v>
      </c>
      <c r="X97" s="45" t="s">
        <v>0</v>
      </c>
      <c r="Y97" s="45" t="s">
        <v>0</v>
      </c>
      <c r="Z97" s="45" t="s">
        <v>0</v>
      </c>
      <c r="AA97" s="45" t="s">
        <v>0</v>
      </c>
      <c r="AB97" s="45" t="s">
        <v>0</v>
      </c>
      <c r="AC97" s="45" t="s">
        <v>0</v>
      </c>
      <c r="AD97" s="45" t="s">
        <v>4</v>
      </c>
      <c r="AE97" s="45" t="s">
        <v>4</v>
      </c>
      <c r="AF97" s="49" t="s">
        <v>4</v>
      </c>
    </row>
    <row r="98" spans="1:35" ht="30" customHeight="1" thickBot="1" x14ac:dyDescent="0.3">
      <c r="A98" s="616"/>
      <c r="B98" s="149" t="s">
        <v>10</v>
      </c>
      <c r="C98" s="54" t="s">
        <v>544</v>
      </c>
      <c r="D98" s="55" t="s">
        <v>8</v>
      </c>
      <c r="E98" s="54" t="s">
        <v>198</v>
      </c>
      <c r="F98" s="288">
        <v>77</v>
      </c>
      <c r="G98" s="54">
        <v>250000001</v>
      </c>
      <c r="H98" s="193" t="s">
        <v>8</v>
      </c>
      <c r="I98" s="193" t="s">
        <v>5</v>
      </c>
      <c r="J98" s="55" t="s">
        <v>5</v>
      </c>
      <c r="K98" s="55" t="s">
        <v>6</v>
      </c>
      <c r="L98" s="55" t="s">
        <v>208</v>
      </c>
      <c r="M98" s="193" t="s">
        <v>397</v>
      </c>
      <c r="N98" s="55" t="s">
        <v>210</v>
      </c>
      <c r="O98" s="55" t="s">
        <v>8</v>
      </c>
      <c r="P98" s="55" t="s">
        <v>8</v>
      </c>
      <c r="Q98" s="54" t="s">
        <v>544</v>
      </c>
      <c r="R98" s="55" t="s">
        <v>5</v>
      </c>
      <c r="S98" s="55" t="s">
        <v>5</v>
      </c>
      <c r="T98" s="33" t="s">
        <v>581</v>
      </c>
      <c r="U98" s="228" t="s">
        <v>433</v>
      </c>
      <c r="V98" s="33" t="s">
        <v>202</v>
      </c>
      <c r="W98" s="54" t="s">
        <v>590</v>
      </c>
      <c r="X98" s="33" t="s">
        <v>202</v>
      </c>
      <c r="Y98" s="54" t="s">
        <v>595</v>
      </c>
      <c r="Z98" s="96" t="s">
        <v>595</v>
      </c>
      <c r="AA98" s="54" t="s">
        <v>6</v>
      </c>
      <c r="AB98" s="54" t="s">
        <v>212</v>
      </c>
      <c r="AC98" s="54" t="s">
        <v>212</v>
      </c>
      <c r="AD98" s="193" t="s">
        <v>498</v>
      </c>
      <c r="AE98" s="193" t="s">
        <v>200</v>
      </c>
      <c r="AF98" s="54" t="s">
        <v>212</v>
      </c>
      <c r="AG98" s="188" t="s">
        <v>589</v>
      </c>
      <c r="AH98" s="76"/>
      <c r="AI98" s="76"/>
    </row>
    <row r="99" spans="1:35" s="75" customFormat="1" ht="15.75" thickBot="1" x14ac:dyDescent="0.3">
      <c r="A99" s="77"/>
      <c r="B99" s="144"/>
      <c r="C99" s="77"/>
      <c r="D99" s="77"/>
      <c r="E99" s="77"/>
      <c r="F99" s="271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</row>
    <row r="100" spans="1:35" ht="100.15" customHeight="1" x14ac:dyDescent="0.25">
      <c r="A100" s="614" t="s">
        <v>360</v>
      </c>
      <c r="B100" s="147" t="s">
        <v>13</v>
      </c>
      <c r="C100" s="24" t="s">
        <v>14</v>
      </c>
      <c r="D100" s="24" t="s">
        <v>15</v>
      </c>
      <c r="E100" s="25" t="s">
        <v>16</v>
      </c>
      <c r="F100" s="282" t="s">
        <v>17</v>
      </c>
      <c r="G100" s="24" t="s">
        <v>70</v>
      </c>
      <c r="H100" s="24" t="s">
        <v>15</v>
      </c>
      <c r="I100" s="24" t="s">
        <v>220</v>
      </c>
      <c r="J100" s="24" t="s">
        <v>221</v>
      </c>
      <c r="K100" s="26" t="s">
        <v>222</v>
      </c>
      <c r="L100" s="26" t="s">
        <v>223</v>
      </c>
      <c r="M100" s="24" t="s">
        <v>224</v>
      </c>
      <c r="N100" s="24" t="s">
        <v>225</v>
      </c>
      <c r="O100" s="24" t="s">
        <v>226</v>
      </c>
      <c r="P100" s="24" t="s">
        <v>221</v>
      </c>
      <c r="Q100" s="24" t="s">
        <v>227</v>
      </c>
      <c r="R100" s="24" t="s">
        <v>15</v>
      </c>
      <c r="S100" s="27" t="s">
        <v>228</v>
      </c>
    </row>
    <row r="101" spans="1:35" ht="19.899999999999999" customHeight="1" x14ac:dyDescent="0.25">
      <c r="A101" s="615"/>
      <c r="B101" s="148">
        <v>1</v>
      </c>
      <c r="C101" s="5" t="s">
        <v>47</v>
      </c>
      <c r="D101" s="4">
        <v>11</v>
      </c>
      <c r="E101" s="6" t="s">
        <v>48</v>
      </c>
      <c r="F101" s="283" t="s">
        <v>49</v>
      </c>
      <c r="G101" s="7" t="s">
        <v>50</v>
      </c>
      <c r="H101" s="7" t="s">
        <v>229</v>
      </c>
      <c r="I101" s="7" t="s">
        <v>216</v>
      </c>
      <c r="J101" s="7" t="s">
        <v>230</v>
      </c>
      <c r="K101" s="8" t="s">
        <v>217</v>
      </c>
      <c r="L101" s="8" t="s">
        <v>218</v>
      </c>
      <c r="M101" s="7" t="s">
        <v>179</v>
      </c>
      <c r="N101" s="7" t="s">
        <v>219</v>
      </c>
      <c r="O101" s="7">
        <v>90</v>
      </c>
      <c r="P101" s="7" t="s">
        <v>231</v>
      </c>
      <c r="Q101" s="7">
        <v>94</v>
      </c>
      <c r="R101" s="7" t="s">
        <v>232</v>
      </c>
      <c r="S101" s="28" t="s">
        <v>233</v>
      </c>
    </row>
    <row r="102" spans="1:35" outlineLevel="1" x14ac:dyDescent="0.25">
      <c r="A102" s="615"/>
      <c r="B102" s="148">
        <v>1</v>
      </c>
      <c r="C102" s="4">
        <v>9</v>
      </c>
      <c r="D102" s="4">
        <v>1</v>
      </c>
      <c r="E102" s="9">
        <v>13</v>
      </c>
      <c r="F102" s="284">
        <v>2</v>
      </c>
      <c r="G102" s="4">
        <v>9</v>
      </c>
      <c r="H102" s="4">
        <v>3</v>
      </c>
      <c r="I102" s="4">
        <v>3</v>
      </c>
      <c r="J102" s="4">
        <v>16</v>
      </c>
      <c r="K102" s="10">
        <v>8</v>
      </c>
      <c r="L102" s="10">
        <v>8</v>
      </c>
      <c r="M102" s="4">
        <v>8</v>
      </c>
      <c r="N102" s="4">
        <v>8</v>
      </c>
      <c r="O102" s="4">
        <v>1</v>
      </c>
      <c r="P102" s="4">
        <v>3</v>
      </c>
      <c r="Q102" s="4">
        <v>1</v>
      </c>
      <c r="R102" s="4">
        <v>2</v>
      </c>
      <c r="S102" s="29">
        <v>32</v>
      </c>
    </row>
    <row r="103" spans="1:35" ht="13.5" customHeight="1" outlineLevel="1" x14ac:dyDescent="0.25">
      <c r="A103" s="615"/>
      <c r="B103" s="148" t="s">
        <v>1</v>
      </c>
      <c r="C103" s="4" t="s">
        <v>1</v>
      </c>
      <c r="D103" s="4" t="s">
        <v>69</v>
      </c>
      <c r="E103" s="9" t="s">
        <v>69</v>
      </c>
      <c r="F103" s="284" t="s">
        <v>1</v>
      </c>
      <c r="G103" s="4" t="s">
        <v>1</v>
      </c>
      <c r="H103" s="4" t="s">
        <v>69</v>
      </c>
      <c r="I103" s="4" t="s">
        <v>1</v>
      </c>
      <c r="J103" s="4" t="s">
        <v>69</v>
      </c>
      <c r="K103" s="12" t="s">
        <v>1</v>
      </c>
      <c r="L103" s="12" t="s">
        <v>1</v>
      </c>
      <c r="M103" s="4" t="s">
        <v>1</v>
      </c>
      <c r="N103" s="4" t="s">
        <v>1</v>
      </c>
      <c r="O103" s="4" t="s">
        <v>69</v>
      </c>
      <c r="P103" s="4" t="s">
        <v>69</v>
      </c>
      <c r="Q103" s="4" t="s">
        <v>69</v>
      </c>
      <c r="R103" s="4" t="s">
        <v>69</v>
      </c>
      <c r="S103" s="29" t="s">
        <v>69</v>
      </c>
    </row>
    <row r="104" spans="1:35" outlineLevel="1" x14ac:dyDescent="0.25">
      <c r="A104" s="615"/>
      <c r="B104" s="148" t="s">
        <v>0</v>
      </c>
      <c r="C104" s="4" t="s">
        <v>0</v>
      </c>
      <c r="D104" s="4" t="s">
        <v>4</v>
      </c>
      <c r="E104" s="9" t="s">
        <v>0</v>
      </c>
      <c r="F104" s="284" t="s">
        <v>0</v>
      </c>
      <c r="G104" s="4" t="s">
        <v>0</v>
      </c>
      <c r="H104" s="4" t="s">
        <v>4</v>
      </c>
      <c r="I104" s="4" t="s">
        <v>0</v>
      </c>
      <c r="J104" s="4" t="s">
        <v>0</v>
      </c>
      <c r="K104" s="12" t="s">
        <v>0</v>
      </c>
      <c r="L104" s="12" t="s">
        <v>0</v>
      </c>
      <c r="M104" s="4" t="s">
        <v>0</v>
      </c>
      <c r="N104" s="4" t="s">
        <v>4</v>
      </c>
      <c r="O104" s="4" t="s">
        <v>4</v>
      </c>
      <c r="P104" s="4" t="s">
        <v>0</v>
      </c>
      <c r="Q104" s="4" t="s">
        <v>0</v>
      </c>
      <c r="R104" s="4" t="s">
        <v>4</v>
      </c>
      <c r="S104" s="29" t="s">
        <v>4</v>
      </c>
    </row>
    <row r="105" spans="1:35" s="163" customFormat="1" ht="30" customHeight="1" thickBot="1" x14ac:dyDescent="0.3">
      <c r="A105" s="616"/>
      <c r="B105" s="157">
        <v>5</v>
      </c>
      <c r="C105" s="54" t="s">
        <v>544</v>
      </c>
      <c r="D105" s="55" t="s">
        <v>8</v>
      </c>
      <c r="E105" s="55" t="s">
        <v>198</v>
      </c>
      <c r="F105" s="270">
        <v>77</v>
      </c>
      <c r="G105" s="55">
        <v>250000001</v>
      </c>
      <c r="H105" s="98" t="s">
        <v>9</v>
      </c>
      <c r="I105" s="496" t="s">
        <v>752</v>
      </c>
      <c r="J105" s="98" t="s">
        <v>234</v>
      </c>
      <c r="K105" s="56" t="s">
        <v>792</v>
      </c>
      <c r="L105" s="56" t="s">
        <v>793</v>
      </c>
      <c r="M105" s="56" t="s">
        <v>794</v>
      </c>
      <c r="N105" s="56" t="s">
        <v>599</v>
      </c>
      <c r="O105" s="56" t="s">
        <v>8</v>
      </c>
      <c r="P105" s="56" t="s">
        <v>9</v>
      </c>
      <c r="Q105" s="56" t="s">
        <v>8</v>
      </c>
      <c r="R105" s="56" t="s">
        <v>210</v>
      </c>
      <c r="S105" s="99" t="s">
        <v>235</v>
      </c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</row>
    <row r="106" spans="1:35" ht="15.75" thickBot="1" x14ac:dyDescent="0.3">
      <c r="A106" s="75"/>
      <c r="B106" s="150" t="s">
        <v>586</v>
      </c>
      <c r="C106" s="75" t="s">
        <v>586</v>
      </c>
      <c r="D106" s="75" t="s">
        <v>586</v>
      </c>
      <c r="E106" s="75" t="s">
        <v>586</v>
      </c>
      <c r="F106" s="276" t="s">
        <v>586</v>
      </c>
      <c r="G106" s="75" t="s">
        <v>586</v>
      </c>
      <c r="H106" s="75" t="s">
        <v>586</v>
      </c>
      <c r="I106" s="75" t="s">
        <v>586</v>
      </c>
      <c r="J106" s="75" t="s">
        <v>586</v>
      </c>
      <c r="K106" s="75" t="s">
        <v>586</v>
      </c>
      <c r="L106" s="75" t="s">
        <v>586</v>
      </c>
      <c r="M106" s="75" t="s">
        <v>586</v>
      </c>
      <c r="N106" s="75" t="s">
        <v>586</v>
      </c>
      <c r="O106" s="75" t="s">
        <v>586</v>
      </c>
      <c r="P106" s="75" t="s">
        <v>586</v>
      </c>
      <c r="Q106" s="75" t="s">
        <v>586</v>
      </c>
      <c r="R106" s="75" t="s">
        <v>586</v>
      </c>
      <c r="S106" s="75" t="s">
        <v>586</v>
      </c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</row>
    <row r="107" spans="1:35" ht="100.15" customHeight="1" x14ac:dyDescent="0.25">
      <c r="A107" s="608" t="s">
        <v>361</v>
      </c>
      <c r="B107" s="327" t="s">
        <v>13</v>
      </c>
      <c r="C107" s="328" t="s">
        <v>14</v>
      </c>
      <c r="D107" s="328" t="s">
        <v>339</v>
      </c>
      <c r="E107" s="329" t="s">
        <v>469</v>
      </c>
      <c r="F107" s="330" t="s">
        <v>470</v>
      </c>
      <c r="G107" s="328" t="s">
        <v>471</v>
      </c>
      <c r="H107" s="328" t="s">
        <v>340</v>
      </c>
      <c r="I107" s="328" t="s">
        <v>473</v>
      </c>
      <c r="J107" s="328" t="s">
        <v>472</v>
      </c>
      <c r="K107" s="331" t="s">
        <v>312</v>
      </c>
      <c r="L107" s="331" t="s">
        <v>341</v>
      </c>
      <c r="M107" s="328" t="s">
        <v>25</v>
      </c>
      <c r="N107" s="328" t="s">
        <v>15</v>
      </c>
      <c r="O107" s="328" t="s">
        <v>474</v>
      </c>
      <c r="P107" s="328" t="s">
        <v>342</v>
      </c>
      <c r="Q107" s="328" t="s">
        <v>15</v>
      </c>
      <c r="R107" s="328" t="s">
        <v>343</v>
      </c>
      <c r="S107" s="332" t="s">
        <v>228</v>
      </c>
    </row>
    <row r="108" spans="1:35" ht="19.899999999999999" customHeight="1" x14ac:dyDescent="0.25">
      <c r="A108" s="609"/>
      <c r="B108" s="158">
        <v>1</v>
      </c>
      <c r="C108" s="102" t="s">
        <v>47</v>
      </c>
      <c r="D108" s="103" t="s">
        <v>344</v>
      </c>
      <c r="E108" s="104" t="s">
        <v>345</v>
      </c>
      <c r="F108" s="298" t="s">
        <v>346</v>
      </c>
      <c r="G108" s="103" t="s">
        <v>347</v>
      </c>
      <c r="H108" s="103" t="s">
        <v>348</v>
      </c>
      <c r="I108" s="103" t="s">
        <v>349</v>
      </c>
      <c r="J108" s="103" t="s">
        <v>350</v>
      </c>
      <c r="K108" s="105" t="s">
        <v>351</v>
      </c>
      <c r="L108" s="105" t="s">
        <v>352</v>
      </c>
      <c r="M108" s="103" t="s">
        <v>353</v>
      </c>
      <c r="N108" s="103" t="s">
        <v>354</v>
      </c>
      <c r="O108" s="103" t="s">
        <v>355</v>
      </c>
      <c r="P108" s="103" t="s">
        <v>356</v>
      </c>
      <c r="Q108" s="103" t="s">
        <v>357</v>
      </c>
      <c r="R108" s="103" t="s">
        <v>358</v>
      </c>
      <c r="S108" s="333" t="s">
        <v>233</v>
      </c>
    </row>
    <row r="109" spans="1:35" outlineLevel="1" x14ac:dyDescent="0.25">
      <c r="A109" s="609"/>
      <c r="B109" s="158">
        <v>1</v>
      </c>
      <c r="C109" s="101">
        <v>9</v>
      </c>
      <c r="D109" s="101">
        <v>3</v>
      </c>
      <c r="E109" s="101">
        <v>4</v>
      </c>
      <c r="F109" s="299">
        <v>4</v>
      </c>
      <c r="G109" s="101">
        <v>3</v>
      </c>
      <c r="H109" s="101">
        <v>9</v>
      </c>
      <c r="I109" s="101">
        <v>9</v>
      </c>
      <c r="J109" s="101">
        <v>9</v>
      </c>
      <c r="K109" s="107">
        <v>3</v>
      </c>
      <c r="L109" s="107">
        <v>1</v>
      </c>
      <c r="M109" s="101">
        <v>1</v>
      </c>
      <c r="N109" s="101">
        <v>4</v>
      </c>
      <c r="O109" s="101">
        <v>12</v>
      </c>
      <c r="P109" s="101">
        <v>12</v>
      </c>
      <c r="Q109" s="103">
        <v>3</v>
      </c>
      <c r="R109" s="101">
        <v>9</v>
      </c>
      <c r="S109" s="334">
        <v>32</v>
      </c>
    </row>
    <row r="110" spans="1:35" outlineLevel="1" x14ac:dyDescent="0.25">
      <c r="A110" s="609"/>
      <c r="B110" s="158" t="s">
        <v>1</v>
      </c>
      <c r="C110" s="101" t="s">
        <v>1</v>
      </c>
      <c r="D110" s="197" t="s">
        <v>1</v>
      </c>
      <c r="E110" s="106" t="s">
        <v>1</v>
      </c>
      <c r="F110" s="299" t="s">
        <v>1</v>
      </c>
      <c r="G110" s="101" t="s">
        <v>1</v>
      </c>
      <c r="H110" s="101" t="s">
        <v>1</v>
      </c>
      <c r="I110" s="101" t="s">
        <v>1</v>
      </c>
      <c r="J110" s="101" t="s">
        <v>1</v>
      </c>
      <c r="K110" s="108" t="s">
        <v>1</v>
      </c>
      <c r="L110" s="108" t="s">
        <v>69</v>
      </c>
      <c r="M110" s="101" t="s">
        <v>69</v>
      </c>
      <c r="N110" s="101" t="s">
        <v>69</v>
      </c>
      <c r="O110" s="101" t="s">
        <v>69</v>
      </c>
      <c r="P110" s="101" t="s">
        <v>1</v>
      </c>
      <c r="Q110" s="101" t="s">
        <v>69</v>
      </c>
      <c r="R110" s="101" t="s">
        <v>1</v>
      </c>
      <c r="S110" s="334" t="s">
        <v>1</v>
      </c>
    </row>
    <row r="111" spans="1:35" outlineLevel="1" x14ac:dyDescent="0.25">
      <c r="A111" s="609"/>
      <c r="B111" s="158" t="s">
        <v>0</v>
      </c>
      <c r="C111" s="101" t="s">
        <v>0</v>
      </c>
      <c r="D111" s="101" t="s">
        <v>0</v>
      </c>
      <c r="E111" s="106" t="s">
        <v>0</v>
      </c>
      <c r="F111" s="299" t="s">
        <v>0</v>
      </c>
      <c r="G111" s="101" t="s">
        <v>0</v>
      </c>
      <c r="H111" s="101" t="s">
        <v>0</v>
      </c>
      <c r="I111" s="101" t="s">
        <v>0</v>
      </c>
      <c r="J111" s="101" t="s">
        <v>0</v>
      </c>
      <c r="K111" s="108" t="s">
        <v>0</v>
      </c>
      <c r="L111" s="108" t="s">
        <v>4</v>
      </c>
      <c r="M111" s="101" t="s">
        <v>4</v>
      </c>
      <c r="N111" s="101" t="s">
        <v>4</v>
      </c>
      <c r="O111" s="101" t="s">
        <v>4</v>
      </c>
      <c r="P111" s="101" t="s">
        <v>4</v>
      </c>
      <c r="Q111" s="101" t="s">
        <v>4</v>
      </c>
      <c r="R111" s="101" t="s">
        <v>4</v>
      </c>
      <c r="S111" s="334" t="s">
        <v>0</v>
      </c>
    </row>
    <row r="112" spans="1:35" s="163" customFormat="1" ht="30" customHeight="1" thickBot="1" x14ac:dyDescent="0.3">
      <c r="A112" s="610"/>
      <c r="B112" s="183">
        <v>6</v>
      </c>
      <c r="C112" s="335" t="s">
        <v>544</v>
      </c>
      <c r="D112" s="185" t="s">
        <v>195</v>
      </c>
      <c r="E112" s="336" t="s">
        <v>682</v>
      </c>
      <c r="F112" s="337" t="s">
        <v>521</v>
      </c>
      <c r="G112" s="185" t="s">
        <v>195</v>
      </c>
      <c r="H112" s="184" t="s">
        <v>795</v>
      </c>
      <c r="I112" s="184" t="s">
        <v>796</v>
      </c>
      <c r="J112" s="184" t="s">
        <v>209</v>
      </c>
      <c r="K112" s="184" t="s">
        <v>195</v>
      </c>
      <c r="L112" s="186" t="s">
        <v>8</v>
      </c>
      <c r="M112" s="186" t="s">
        <v>8</v>
      </c>
      <c r="N112" s="186" t="s">
        <v>387</v>
      </c>
      <c r="O112" s="186" t="s">
        <v>941</v>
      </c>
      <c r="P112" s="186" t="s">
        <v>388</v>
      </c>
      <c r="Q112" s="186" t="s">
        <v>9</v>
      </c>
      <c r="R112" s="186" t="s">
        <v>389</v>
      </c>
      <c r="S112" s="187" t="s">
        <v>235</v>
      </c>
    </row>
    <row r="113" spans="1:35" ht="9.75" customHeight="1" thickBot="1" x14ac:dyDescent="0.3">
      <c r="B113" s="150" t="s">
        <v>586</v>
      </c>
      <c r="C113" s="150" t="s">
        <v>586</v>
      </c>
      <c r="D113" s="150" t="s">
        <v>586</v>
      </c>
      <c r="E113" s="150" t="s">
        <v>586</v>
      </c>
      <c r="F113" s="276" t="s">
        <v>586</v>
      </c>
      <c r="G113" s="150" t="s">
        <v>586</v>
      </c>
      <c r="H113" s="150" t="s">
        <v>586</v>
      </c>
      <c r="I113" s="150" t="s">
        <v>586</v>
      </c>
      <c r="J113" s="150" t="s">
        <v>586</v>
      </c>
      <c r="K113" s="150" t="s">
        <v>586</v>
      </c>
      <c r="L113" s="150" t="s">
        <v>586</v>
      </c>
      <c r="M113" s="150" t="s">
        <v>586</v>
      </c>
      <c r="N113" s="150" t="s">
        <v>586</v>
      </c>
      <c r="O113" s="150" t="s">
        <v>586</v>
      </c>
      <c r="P113" s="150" t="s">
        <v>586</v>
      </c>
      <c r="Q113" s="150" t="s">
        <v>586</v>
      </c>
      <c r="R113" s="150" t="s">
        <v>586</v>
      </c>
      <c r="S113" s="150" t="s">
        <v>586</v>
      </c>
    </row>
    <row r="114" spans="1:35" ht="100.15" customHeight="1" x14ac:dyDescent="0.25">
      <c r="A114" s="611" t="s">
        <v>371</v>
      </c>
      <c r="B114" s="159" t="s">
        <v>13</v>
      </c>
      <c r="C114" s="117" t="s">
        <v>363</v>
      </c>
      <c r="D114" s="117" t="s">
        <v>364</v>
      </c>
      <c r="E114" s="118" t="s">
        <v>15</v>
      </c>
      <c r="F114" s="300" t="s">
        <v>283</v>
      </c>
      <c r="G114" s="117" t="s">
        <v>365</v>
      </c>
      <c r="H114" s="117" t="s">
        <v>15</v>
      </c>
      <c r="I114" s="117" t="s">
        <v>286</v>
      </c>
      <c r="J114" s="117" t="s">
        <v>287</v>
      </c>
      <c r="K114" s="119" t="s">
        <v>366</v>
      </c>
      <c r="L114" s="119" t="s">
        <v>15</v>
      </c>
      <c r="M114" s="117" t="s">
        <v>367</v>
      </c>
      <c r="N114" s="120" t="s">
        <v>15</v>
      </c>
    </row>
    <row r="115" spans="1:35" ht="19.899999999999999" customHeight="1" x14ac:dyDescent="0.25">
      <c r="A115" s="612"/>
      <c r="B115" s="198" t="s">
        <v>293</v>
      </c>
      <c r="C115" s="110" t="s">
        <v>294</v>
      </c>
      <c r="D115" s="111" t="s">
        <v>295</v>
      </c>
      <c r="E115" s="112" t="s">
        <v>296</v>
      </c>
      <c r="F115" s="301" t="s">
        <v>297</v>
      </c>
      <c r="G115" s="111" t="s">
        <v>298</v>
      </c>
      <c r="H115" s="111" t="s">
        <v>299</v>
      </c>
      <c r="I115" s="111" t="s">
        <v>300</v>
      </c>
      <c r="J115" s="111" t="s">
        <v>301</v>
      </c>
      <c r="K115" s="113" t="s">
        <v>368</v>
      </c>
      <c r="L115" s="113" t="s">
        <v>369</v>
      </c>
      <c r="M115" s="111" t="s">
        <v>307</v>
      </c>
      <c r="N115" s="121" t="s">
        <v>370</v>
      </c>
    </row>
    <row r="116" spans="1:35" outlineLevel="1" x14ac:dyDescent="0.25">
      <c r="A116" s="612"/>
      <c r="B116" s="160">
        <v>3</v>
      </c>
      <c r="C116" s="109">
        <v>2</v>
      </c>
      <c r="D116" s="109">
        <v>14</v>
      </c>
      <c r="E116" s="109">
        <v>6</v>
      </c>
      <c r="F116" s="302">
        <v>2</v>
      </c>
      <c r="G116" s="109">
        <v>14</v>
      </c>
      <c r="H116" s="109">
        <v>6</v>
      </c>
      <c r="I116" s="109">
        <v>2</v>
      </c>
      <c r="J116" s="109">
        <v>6</v>
      </c>
      <c r="K116" s="115">
        <v>8</v>
      </c>
      <c r="L116" s="115">
        <v>19</v>
      </c>
      <c r="M116" s="109">
        <v>3</v>
      </c>
      <c r="N116" s="122">
        <v>43</v>
      </c>
    </row>
    <row r="117" spans="1:35" outlineLevel="1" x14ac:dyDescent="0.25">
      <c r="A117" s="612"/>
      <c r="B117" s="160" t="s">
        <v>1</v>
      </c>
      <c r="C117" s="109" t="s">
        <v>69</v>
      </c>
      <c r="D117" s="109" t="s">
        <v>1</v>
      </c>
      <c r="E117" s="114" t="s">
        <v>69</v>
      </c>
      <c r="F117" s="302" t="s">
        <v>69</v>
      </c>
      <c r="G117" s="109" t="s">
        <v>1</v>
      </c>
      <c r="H117" s="109" t="s">
        <v>69</v>
      </c>
      <c r="I117" s="109" t="s">
        <v>69</v>
      </c>
      <c r="J117" s="109" t="s">
        <v>69</v>
      </c>
      <c r="K117" s="116" t="s">
        <v>1</v>
      </c>
      <c r="L117" s="116" t="s">
        <v>69</v>
      </c>
      <c r="M117" s="109" t="s">
        <v>1</v>
      </c>
      <c r="N117" s="122" t="s">
        <v>69</v>
      </c>
    </row>
    <row r="118" spans="1:35" outlineLevel="1" x14ac:dyDescent="0.25">
      <c r="A118" s="612"/>
      <c r="B118" s="160" t="s">
        <v>0</v>
      </c>
      <c r="C118" s="109" t="s">
        <v>0</v>
      </c>
      <c r="D118" s="109" t="s">
        <v>0</v>
      </c>
      <c r="E118" s="114" t="s">
        <v>4</v>
      </c>
      <c r="F118" s="302" t="s">
        <v>0</v>
      </c>
      <c r="G118" s="109" t="s">
        <v>0</v>
      </c>
      <c r="H118" s="109" t="s">
        <v>4</v>
      </c>
      <c r="I118" s="109" t="s">
        <v>0</v>
      </c>
      <c r="J118" s="109" t="s">
        <v>0</v>
      </c>
      <c r="K118" s="116" t="s">
        <v>0</v>
      </c>
      <c r="L118" s="116" t="s">
        <v>4</v>
      </c>
      <c r="M118" s="109" t="s">
        <v>0</v>
      </c>
      <c r="N118" s="122" t="s">
        <v>4</v>
      </c>
    </row>
    <row r="119" spans="1:35" ht="30" customHeight="1" thickBot="1" x14ac:dyDescent="0.3">
      <c r="A119" s="613"/>
      <c r="B119" s="183">
        <v>999</v>
      </c>
      <c r="C119" s="186" t="s">
        <v>373</v>
      </c>
      <c r="D119" s="174" t="s">
        <v>584</v>
      </c>
      <c r="E119" s="186" t="s">
        <v>374</v>
      </c>
      <c r="F119" s="303" t="s">
        <v>375</v>
      </c>
      <c r="G119" s="174" t="s">
        <v>585</v>
      </c>
      <c r="H119" s="186" t="s">
        <v>374</v>
      </c>
      <c r="I119" s="186" t="s">
        <v>376</v>
      </c>
      <c r="J119" s="184" t="s">
        <v>377</v>
      </c>
      <c r="K119" s="497" t="s">
        <v>909</v>
      </c>
      <c r="L119" s="186" t="s">
        <v>390</v>
      </c>
      <c r="M119" s="185" t="s">
        <v>195</v>
      </c>
      <c r="N119" s="187" t="s">
        <v>391</v>
      </c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</row>
    <row r="120" spans="1:35" x14ac:dyDescent="0.25">
      <c r="B120" s="150" t="s">
        <v>586</v>
      </c>
      <c r="C120" s="150" t="s">
        <v>586</v>
      </c>
      <c r="D120" s="150" t="s">
        <v>586</v>
      </c>
      <c r="E120" s="150" t="s">
        <v>586</v>
      </c>
      <c r="F120" s="276" t="s">
        <v>586</v>
      </c>
      <c r="G120" s="150" t="s">
        <v>586</v>
      </c>
      <c r="H120" s="150" t="s">
        <v>586</v>
      </c>
      <c r="I120" s="150" t="s">
        <v>586</v>
      </c>
      <c r="J120" s="150" t="s">
        <v>586</v>
      </c>
      <c r="K120" s="150" t="s">
        <v>586</v>
      </c>
      <c r="L120" s="150" t="s">
        <v>586</v>
      </c>
      <c r="M120" s="150" t="s">
        <v>586</v>
      </c>
      <c r="N120" s="150" t="s">
        <v>586</v>
      </c>
    </row>
  </sheetData>
  <sheetProtection algorithmName="SHA-512" hashValue="scmuND3dKJUPjUEsLl6ItnqpoHr0xAGzfVm8ZJXPqJyFO3uDbSjshGvf7CGlbuWg926KQ/fauESc+ayiRA01kA==" saltValue="D9+ahVMkLTlOx2S6Trn3uQ==" spinCount="100000" sheet="1" sort="0"/>
  <mergeCells count="24">
    <mergeCell ref="A100:A105"/>
    <mergeCell ref="A107:A112"/>
    <mergeCell ref="A114:A119"/>
    <mergeCell ref="B1:AI1"/>
    <mergeCell ref="A3:C3"/>
    <mergeCell ref="D3:F3"/>
    <mergeCell ref="G3:H3"/>
    <mergeCell ref="I3:X3"/>
    <mergeCell ref="A79:A84"/>
    <mergeCell ref="A58:A63"/>
    <mergeCell ref="A65:A70"/>
    <mergeCell ref="A72:A77"/>
    <mergeCell ref="A23:A28"/>
    <mergeCell ref="A30:A35"/>
    <mergeCell ref="A37:A42"/>
    <mergeCell ref="A44:A49"/>
    <mergeCell ref="Z3:AE3"/>
    <mergeCell ref="AG3:AI3"/>
    <mergeCell ref="A7:AI7"/>
    <mergeCell ref="A86:A91"/>
    <mergeCell ref="A93:A98"/>
    <mergeCell ref="A51:A56"/>
    <mergeCell ref="A9:A14"/>
    <mergeCell ref="A16:A21"/>
  </mergeCells>
  <conditionalFormatting sqref="B28">
    <cfRule type="expression" dxfId="5" priority="2">
      <formula>"B17&lt;&gt;0"</formula>
    </cfRule>
  </conditionalFormatting>
  <conditionalFormatting sqref="F28">
    <cfRule type="expression" dxfId="4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tabColor theme="8" tint="0.39997558519241921"/>
    <pageSetUpPr fitToPage="1"/>
  </sheetPr>
  <dimension ref="A1:AI135"/>
  <sheetViews>
    <sheetView view="pageBreakPreview" topLeftCell="A109" zoomScale="70" zoomScaleNormal="25" zoomScaleSheetLayoutView="70" workbookViewId="0">
      <selection activeCell="O127" sqref="O127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5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5" ht="15.75" thickBot="1" x14ac:dyDescent="0.3">
      <c r="C2" s="78"/>
    </row>
    <row r="3" spans="1:35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5" ht="87" customHeight="1" thickBot="1" x14ac:dyDescent="0.3">
      <c r="A4" s="347" t="s">
        <v>401</v>
      </c>
      <c r="B4" s="348" t="s">
        <v>402</v>
      </c>
      <c r="C4" s="349" t="s">
        <v>406</v>
      </c>
      <c r="D4" s="347" t="s">
        <v>265</v>
      </c>
      <c r="E4" s="348" t="s">
        <v>408</v>
      </c>
      <c r="F4" s="349" t="s">
        <v>409</v>
      </c>
      <c r="G4" s="347" t="s">
        <v>415</v>
      </c>
      <c r="H4" s="349" t="s">
        <v>413</v>
      </c>
      <c r="I4" s="350" t="s">
        <v>434</v>
      </c>
      <c r="J4" s="351" t="s">
        <v>435</v>
      </c>
      <c r="K4" s="351" t="s">
        <v>436</v>
      </c>
      <c r="L4" s="351" t="s">
        <v>437</v>
      </c>
      <c r="M4" s="351" t="s">
        <v>528</v>
      </c>
      <c r="N4" s="351" t="s">
        <v>531</v>
      </c>
      <c r="O4" s="351" t="s">
        <v>529</v>
      </c>
      <c r="P4" s="351" t="s">
        <v>530</v>
      </c>
      <c r="Q4" s="351" t="s">
        <v>398</v>
      </c>
      <c r="R4" s="351" t="s">
        <v>399</v>
      </c>
      <c r="S4" s="351" t="s">
        <v>276</v>
      </c>
      <c r="T4" s="351" t="s">
        <v>404</v>
      </c>
      <c r="U4" s="351" t="s">
        <v>510</v>
      </c>
      <c r="V4" s="351" t="s">
        <v>405</v>
      </c>
      <c r="W4" s="351" t="s">
        <v>547</v>
      </c>
      <c r="X4" s="352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</row>
    <row r="5" spans="1:35" ht="58.5" customHeight="1" thickBot="1" x14ac:dyDescent="0.3">
      <c r="A5" s="631" t="str">
        <f>'LISTE DES CAS ANNEXE 30'!A61</f>
        <v>TP CONTRE TP CAS 3</v>
      </c>
      <c r="B5" s="633">
        <f>'LISTE DES CAS ANNEXE 30'!B61</f>
        <v>2</v>
      </c>
      <c r="C5" s="380">
        <f>'LISTE DES CAS ANNEXE 30'!C61</f>
        <v>1</v>
      </c>
      <c r="D5" s="646" t="str">
        <f>'LISTE DES CAS ANNEXE 30'!D61</f>
        <v>MALADIE</v>
      </c>
      <c r="E5" s="644">
        <f>'LISTE DES CAS ANNEXE 30'!E61</f>
        <v>0.55000000000000004</v>
      </c>
      <c r="F5" s="397" t="str">
        <f>'LISTE DES CAS ANNEXE 30'!H61</f>
        <v>NON</v>
      </c>
      <c r="G5" s="411" t="str">
        <f>'LISTE DES CAS ANNEXE 30'!I61</f>
        <v>OUI</v>
      </c>
      <c r="H5" s="639" t="str">
        <f>'LISTE DES CAS ANNEXE 30'!J61</f>
        <v>00 - HTP</v>
      </c>
      <c r="I5" s="414" t="str">
        <f>'LISTE DES CAS ANNEXE 30'!K61</f>
        <v>69-LYON</v>
      </c>
      <c r="J5" s="391" t="str">
        <f>'LISTE DES CAS ANNEXE 30'!L61</f>
        <v>42-SAINT-ETIENNE</v>
      </c>
      <c r="K5" s="392" t="str">
        <f>'LISTE DES CAS ANNEXE 30'!M61</f>
        <v>10/11/2025 à 20H00</v>
      </c>
      <c r="L5" s="392" t="str">
        <f>'LISTE DES CAS ANNEXE 30'!N61</f>
        <v>10/11/2025 à 21H15</v>
      </c>
      <c r="M5" s="393" t="str">
        <f>'LISTE DES CAS ANNEXE 30'!O61</f>
        <v>EE-003-FF</v>
      </c>
      <c r="N5" s="393" t="str">
        <f>'LISTE DES CAS ANNEXE 30'!P61</f>
        <v>69123
(LYON)</v>
      </c>
      <c r="O5" s="393" t="str">
        <f>'LISTE DES CAS ANNEXE 30'!Q61</f>
        <v>069</v>
      </c>
      <c r="P5" s="393" t="str">
        <f>'LISTE DES CAS ANNEXE 30'!R61</f>
        <v xml:space="preserve">691 - CPAM DU RHONE </v>
      </c>
      <c r="Q5" s="394">
        <f>'LISTE DES CAS ANNEXE 30'!S61</f>
        <v>63</v>
      </c>
      <c r="R5" s="440" t="str">
        <f>'LISTE DES CAS ANNEXE 30'!T61</f>
        <v>NUIT</v>
      </c>
      <c r="S5" s="396">
        <f>'LISTE DES CAS ANNEXE 30'!U61</f>
        <v>1</v>
      </c>
      <c r="T5" s="427" t="str">
        <f>'LISTE DES CAS ANNEXE 30'!V61</f>
        <v>OUI 
(TYPE 1)</v>
      </c>
      <c r="U5" s="392" t="str">
        <f>'LISTE DES CAS ANNEXE 30'!W61</f>
        <v>NON</v>
      </c>
      <c r="V5" s="427" t="str">
        <f>'LISTE DES CAS ANNEXE 30'!X61</f>
        <v>OUI</v>
      </c>
      <c r="W5" s="427" t="str">
        <f>'LISTE DES CAS ANNEXE 30'!Y61</f>
        <v>OUI</v>
      </c>
      <c r="X5" s="397" t="str">
        <f>'LISTE DES CAS ANNEXE 30'!Z61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5" ht="58.5" customHeight="1" thickBot="1" x14ac:dyDescent="0.3">
      <c r="A6" s="632"/>
      <c r="B6" s="634"/>
      <c r="C6" s="381">
        <f>'LISTE DES CAS ANNEXE 30'!C62</f>
        <v>2</v>
      </c>
      <c r="D6" s="632"/>
      <c r="E6" s="634"/>
      <c r="F6" s="405" t="str">
        <f>'LISTE DES CAS ANNEXE 30'!H62</f>
        <v>NON</v>
      </c>
      <c r="G6" s="407" t="str">
        <f>'LISTE DES CAS ANNEXE 30'!I62</f>
        <v>OUI</v>
      </c>
      <c r="H6" s="640"/>
      <c r="I6" s="417" t="str">
        <f>'LISTE DES CAS ANNEXE 30'!K62</f>
        <v>69-LYON</v>
      </c>
      <c r="J6" s="399" t="str">
        <f>'LISTE DES CAS ANNEXE 30'!L62</f>
        <v>42-SAINT-ETIENNE</v>
      </c>
      <c r="K6" s="400" t="str">
        <f>'LISTE DES CAS ANNEXE 30'!M62</f>
        <v>11/11/2025 à 16H00</v>
      </c>
      <c r="L6" s="400" t="str">
        <f>'LISTE DES CAS ANNEXE 30'!N62</f>
        <v>11/11/2025 à 17H15</v>
      </c>
      <c r="M6" s="401" t="str">
        <f>'LISTE DES CAS ANNEXE 30'!O62</f>
        <v>EE-003-FF</v>
      </c>
      <c r="N6" s="401" t="str">
        <f>'LISTE DES CAS ANNEXE 30'!P62</f>
        <v>69123
(LYON)</v>
      </c>
      <c r="O6" s="401" t="str">
        <f>'LISTE DES CAS ANNEXE 30'!Q62</f>
        <v>069</v>
      </c>
      <c r="P6" s="401" t="str">
        <f>'LISTE DES CAS ANNEXE 30'!R62</f>
        <v xml:space="preserve">691 - CPAM DU RHONE </v>
      </c>
      <c r="Q6" s="402">
        <f>'LISTE DES CAS ANNEXE 30'!S62</f>
        <v>63</v>
      </c>
      <c r="R6" s="435" t="str">
        <f>'LISTE DES CAS ANNEXE 30'!T62</f>
        <v>DIM / J FERIE</v>
      </c>
      <c r="S6" s="404">
        <f>'LISTE DES CAS ANNEXE 30'!U62</f>
        <v>1</v>
      </c>
      <c r="T6" s="400" t="str">
        <f>'LISTE DES CAS ANNEXE 30'!V62</f>
        <v>NON</v>
      </c>
      <c r="U6" s="400" t="str">
        <f>'LISTE DES CAS ANNEXE 30'!W62</f>
        <v>NON</v>
      </c>
      <c r="V6" s="426" t="str">
        <f>'LISTE DES CAS ANNEXE 30'!X62</f>
        <v>OUI</v>
      </c>
      <c r="W6" s="400" t="str">
        <f>'LISTE DES CAS ANNEXE 30'!Y62</f>
        <v>NON</v>
      </c>
      <c r="X6" s="405" t="str">
        <f>'LISTE DES CAS ANNEXE 30'!Z62</f>
        <v>Sans objet</v>
      </c>
    </row>
    <row r="7" spans="1:35" ht="15.75" thickBot="1" x14ac:dyDescent="0.3">
      <c r="C7" s="78"/>
    </row>
    <row r="8" spans="1:35" ht="80.099999999999994" customHeight="1" thickBot="1" x14ac:dyDescent="0.3">
      <c r="A8" s="597" t="s">
        <v>819</v>
      </c>
      <c r="B8" s="601"/>
      <c r="C8" s="601"/>
      <c r="D8" s="601"/>
      <c r="E8" s="601"/>
      <c r="F8" s="601"/>
      <c r="G8" s="601"/>
      <c r="H8" s="601"/>
      <c r="I8" s="601"/>
      <c r="J8" s="601"/>
      <c r="K8" s="601"/>
      <c r="L8" s="601"/>
      <c r="M8" s="601"/>
      <c r="N8" s="601"/>
      <c r="O8" s="601"/>
      <c r="P8" s="601"/>
      <c r="Q8" s="601"/>
      <c r="R8" s="601"/>
      <c r="S8" s="601"/>
      <c r="T8" s="601"/>
      <c r="U8" s="601"/>
      <c r="V8" s="601"/>
      <c r="W8" s="601"/>
      <c r="X8" s="601"/>
      <c r="Y8" s="599"/>
      <c r="Z8" s="599"/>
      <c r="AA8" s="599"/>
      <c r="AB8" s="599"/>
      <c r="AC8" s="599"/>
      <c r="AD8" s="599"/>
      <c r="AE8" s="599"/>
      <c r="AF8" s="599"/>
      <c r="AG8" s="599"/>
      <c r="AH8" s="599"/>
      <c r="AI8" s="600"/>
    </row>
    <row r="9" spans="1:35" ht="15.75" thickBot="1" x14ac:dyDescent="0.3">
      <c r="C9" s="78"/>
    </row>
    <row r="10" spans="1:35" ht="100.15" customHeight="1" x14ac:dyDescent="0.25">
      <c r="A10" s="623" t="s">
        <v>372</v>
      </c>
      <c r="B10" s="164" t="s">
        <v>13</v>
      </c>
      <c r="C10" s="165" t="s">
        <v>281</v>
      </c>
      <c r="D10" s="165" t="s">
        <v>282</v>
      </c>
      <c r="E10" s="165" t="s">
        <v>15</v>
      </c>
      <c r="F10" s="272" t="s">
        <v>283</v>
      </c>
      <c r="G10" s="165" t="s">
        <v>284</v>
      </c>
      <c r="H10" s="165" t="s">
        <v>285</v>
      </c>
      <c r="I10" s="165" t="s">
        <v>286</v>
      </c>
      <c r="J10" s="165" t="s">
        <v>287</v>
      </c>
      <c r="K10" s="165" t="s">
        <v>288</v>
      </c>
      <c r="L10" s="166" t="s">
        <v>289</v>
      </c>
      <c r="M10" s="166" t="s">
        <v>290</v>
      </c>
      <c r="N10" s="165" t="s">
        <v>15</v>
      </c>
      <c r="O10" s="165" t="s">
        <v>15</v>
      </c>
      <c r="P10" s="165" t="s">
        <v>15</v>
      </c>
      <c r="Q10" s="165" t="s">
        <v>15</v>
      </c>
      <c r="R10" s="165" t="s">
        <v>291</v>
      </c>
      <c r="S10" s="165" t="s">
        <v>15</v>
      </c>
      <c r="T10" s="167" t="s">
        <v>292</v>
      </c>
    </row>
    <row r="11" spans="1:35" ht="19.899999999999999" customHeight="1" x14ac:dyDescent="0.25">
      <c r="A11" s="624"/>
      <c r="B11" s="168" t="s">
        <v>293</v>
      </c>
      <c r="C11" s="123" t="s">
        <v>294</v>
      </c>
      <c r="D11" s="123" t="s">
        <v>295</v>
      </c>
      <c r="E11" s="124" t="s">
        <v>296</v>
      </c>
      <c r="F11" s="273" t="s">
        <v>297</v>
      </c>
      <c r="G11" s="124" t="s">
        <v>298</v>
      </c>
      <c r="H11" s="124" t="s">
        <v>299</v>
      </c>
      <c r="I11" s="124" t="s">
        <v>300</v>
      </c>
      <c r="J11" s="124" t="s">
        <v>301</v>
      </c>
      <c r="K11" s="124" t="s">
        <v>302</v>
      </c>
      <c r="L11" s="125" t="s">
        <v>303</v>
      </c>
      <c r="M11" s="125" t="s">
        <v>101</v>
      </c>
      <c r="N11" s="124" t="s">
        <v>304</v>
      </c>
      <c r="O11" s="124" t="s">
        <v>255</v>
      </c>
      <c r="P11" s="124" t="s">
        <v>305</v>
      </c>
      <c r="Q11" s="124" t="s">
        <v>306</v>
      </c>
      <c r="R11" s="124" t="s">
        <v>307</v>
      </c>
      <c r="S11" s="124" t="s">
        <v>308</v>
      </c>
      <c r="T11" s="169" t="s">
        <v>309</v>
      </c>
    </row>
    <row r="12" spans="1:35" outlineLevel="1" x14ac:dyDescent="0.25">
      <c r="A12" s="624"/>
      <c r="B12" s="170">
        <v>3</v>
      </c>
      <c r="C12" s="100">
        <v>2</v>
      </c>
      <c r="D12" s="100">
        <v>14</v>
      </c>
      <c r="E12" s="100">
        <v>6</v>
      </c>
      <c r="F12" s="274" t="s">
        <v>204</v>
      </c>
      <c r="G12" s="100">
        <v>14</v>
      </c>
      <c r="H12" s="100">
        <v>6</v>
      </c>
      <c r="I12" s="100">
        <v>2</v>
      </c>
      <c r="J12" s="100">
        <v>6</v>
      </c>
      <c r="K12" s="100">
        <v>6</v>
      </c>
      <c r="L12" s="126">
        <v>4</v>
      </c>
      <c r="M12" s="126">
        <v>2</v>
      </c>
      <c r="N12" s="100">
        <v>1</v>
      </c>
      <c r="O12" s="100">
        <v>1</v>
      </c>
      <c r="P12" s="100">
        <v>3</v>
      </c>
      <c r="Q12" s="100">
        <v>10</v>
      </c>
      <c r="R12" s="100">
        <v>3</v>
      </c>
      <c r="S12" s="100">
        <v>6</v>
      </c>
      <c r="T12" s="171">
        <v>37</v>
      </c>
    </row>
    <row r="13" spans="1:35" outlineLevel="1" x14ac:dyDescent="0.25">
      <c r="A13" s="624"/>
      <c r="B13" s="170" t="s">
        <v>1</v>
      </c>
      <c r="C13" s="100" t="s">
        <v>69</v>
      </c>
      <c r="D13" s="127" t="s">
        <v>1</v>
      </c>
      <c r="E13" s="100" t="s">
        <v>69</v>
      </c>
      <c r="F13" s="274" t="s">
        <v>69</v>
      </c>
      <c r="G13" s="100" t="s">
        <v>1</v>
      </c>
      <c r="H13" s="100" t="s">
        <v>69</v>
      </c>
      <c r="I13" s="100" t="s">
        <v>69</v>
      </c>
      <c r="J13" s="100" t="s">
        <v>69</v>
      </c>
      <c r="K13" s="100" t="s">
        <v>1</v>
      </c>
      <c r="L13" s="128" t="s">
        <v>69</v>
      </c>
      <c r="M13" s="128" t="s">
        <v>69</v>
      </c>
      <c r="N13" s="100" t="s">
        <v>69</v>
      </c>
      <c r="O13" s="100" t="s">
        <v>69</v>
      </c>
      <c r="P13" s="100" t="s">
        <v>69</v>
      </c>
      <c r="Q13" s="100" t="s">
        <v>69</v>
      </c>
      <c r="R13" s="100" t="s">
        <v>1</v>
      </c>
      <c r="S13" s="100" t="s">
        <v>69</v>
      </c>
      <c r="T13" s="171" t="s">
        <v>1</v>
      </c>
    </row>
    <row r="14" spans="1:35" outlineLevel="1" x14ac:dyDescent="0.25">
      <c r="A14" s="624"/>
      <c r="B14" s="170" t="s">
        <v>0</v>
      </c>
      <c r="C14" s="100" t="s">
        <v>0</v>
      </c>
      <c r="D14" s="100" t="s">
        <v>0</v>
      </c>
      <c r="E14" s="100" t="s">
        <v>4</v>
      </c>
      <c r="F14" s="274" t="s">
        <v>0</v>
      </c>
      <c r="G14" s="100" t="s">
        <v>0</v>
      </c>
      <c r="H14" s="100" t="s">
        <v>0</v>
      </c>
      <c r="I14" s="100" t="s">
        <v>0</v>
      </c>
      <c r="J14" s="100" t="s">
        <v>0</v>
      </c>
      <c r="K14" s="100" t="s">
        <v>0</v>
      </c>
      <c r="L14" s="128" t="s">
        <v>0</v>
      </c>
      <c r="M14" s="128" t="s">
        <v>0</v>
      </c>
      <c r="N14" s="100" t="s">
        <v>4</v>
      </c>
      <c r="O14" s="100" t="s">
        <v>4</v>
      </c>
      <c r="P14" s="100" t="s">
        <v>4</v>
      </c>
      <c r="Q14" s="100" t="s">
        <v>4</v>
      </c>
      <c r="R14" s="100" t="s">
        <v>4</v>
      </c>
      <c r="S14" s="100" t="s">
        <v>4</v>
      </c>
      <c r="T14" s="171" t="s">
        <v>0</v>
      </c>
    </row>
    <row r="15" spans="1:35" s="163" customFormat="1" ht="30" customHeight="1" thickBot="1" x14ac:dyDescent="0.3">
      <c r="A15" s="625"/>
      <c r="B15" s="172" t="s">
        <v>6</v>
      </c>
      <c r="C15" s="173" t="s">
        <v>373</v>
      </c>
      <c r="D15" s="174" t="s">
        <v>584</v>
      </c>
      <c r="E15" s="175" t="s">
        <v>374</v>
      </c>
      <c r="F15" s="275" t="s">
        <v>375</v>
      </c>
      <c r="G15" s="174" t="s">
        <v>585</v>
      </c>
      <c r="H15" s="269" t="s">
        <v>482</v>
      </c>
      <c r="I15" s="176" t="s">
        <v>376</v>
      </c>
      <c r="J15" s="176" t="s">
        <v>377</v>
      </c>
      <c r="K15" s="55" t="s">
        <v>482</v>
      </c>
      <c r="L15" s="176" t="s">
        <v>382</v>
      </c>
      <c r="M15" s="176" t="s">
        <v>379</v>
      </c>
      <c r="N15" s="175" t="s">
        <v>8</v>
      </c>
      <c r="O15" s="175" t="s">
        <v>8</v>
      </c>
      <c r="P15" s="175" t="s">
        <v>9</v>
      </c>
      <c r="Q15" s="175" t="s">
        <v>380</v>
      </c>
      <c r="R15" s="175" t="s">
        <v>511</v>
      </c>
      <c r="S15" s="175" t="s">
        <v>374</v>
      </c>
      <c r="T15" s="177" t="s">
        <v>381</v>
      </c>
    </row>
    <row r="16" spans="1:35" ht="15.75" thickBot="1" x14ac:dyDescent="0.3">
      <c r="B16" s="150" t="s">
        <v>586</v>
      </c>
      <c r="C16" s="150" t="s">
        <v>586</v>
      </c>
      <c r="D16" s="150" t="s">
        <v>586</v>
      </c>
      <c r="E16" s="150" t="s">
        <v>586</v>
      </c>
      <c r="F16" s="276" t="s">
        <v>586</v>
      </c>
      <c r="G16" s="150" t="s">
        <v>586</v>
      </c>
      <c r="H16" s="150" t="s">
        <v>586</v>
      </c>
      <c r="I16" s="150" t="s">
        <v>586</v>
      </c>
      <c r="J16" s="150" t="s">
        <v>586</v>
      </c>
      <c r="K16" s="150" t="s">
        <v>586</v>
      </c>
      <c r="L16" s="150" t="s">
        <v>586</v>
      </c>
      <c r="M16" s="150" t="s">
        <v>586</v>
      </c>
      <c r="N16" s="150" t="s">
        <v>586</v>
      </c>
      <c r="O16" s="150" t="s">
        <v>586</v>
      </c>
      <c r="P16" s="150" t="s">
        <v>586</v>
      </c>
      <c r="Q16" s="150" t="s">
        <v>586</v>
      </c>
      <c r="R16" s="150" t="s">
        <v>586</v>
      </c>
      <c r="S16" s="150" t="s">
        <v>586</v>
      </c>
      <c r="T16" s="150" t="s">
        <v>586</v>
      </c>
    </row>
    <row r="17" spans="1:35" ht="100.15" customHeight="1" x14ac:dyDescent="0.25">
      <c r="A17" s="626" t="s">
        <v>362</v>
      </c>
      <c r="B17" s="145" t="s">
        <v>13</v>
      </c>
      <c r="C17" s="129" t="s">
        <v>14</v>
      </c>
      <c r="D17" s="129" t="s">
        <v>310</v>
      </c>
      <c r="E17" s="130" t="s">
        <v>311</v>
      </c>
      <c r="F17" s="277" t="s">
        <v>312</v>
      </c>
      <c r="G17" s="129" t="s">
        <v>313</v>
      </c>
      <c r="H17" s="129" t="s">
        <v>314</v>
      </c>
      <c r="I17" s="129" t="s">
        <v>315</v>
      </c>
      <c r="J17" s="129" t="s">
        <v>316</v>
      </c>
      <c r="K17" s="131" t="s">
        <v>317</v>
      </c>
      <c r="L17" s="131" t="s">
        <v>318</v>
      </c>
      <c r="M17" s="129" t="s">
        <v>114</v>
      </c>
      <c r="N17" s="129" t="s">
        <v>319</v>
      </c>
      <c r="O17" s="129" t="s">
        <v>320</v>
      </c>
      <c r="P17" s="129" t="s">
        <v>321</v>
      </c>
      <c r="Q17" s="129" t="s">
        <v>322</v>
      </c>
      <c r="R17" s="129" t="s">
        <v>465</v>
      </c>
      <c r="S17" s="129" t="s">
        <v>323</v>
      </c>
      <c r="T17" s="129" t="s">
        <v>324</v>
      </c>
      <c r="U17" s="132" t="s">
        <v>15</v>
      </c>
    </row>
    <row r="18" spans="1:35" ht="19.899999999999999" customHeight="1" x14ac:dyDescent="0.25">
      <c r="A18" s="627"/>
      <c r="B18" s="146">
        <v>1</v>
      </c>
      <c r="C18" s="133" t="s">
        <v>47</v>
      </c>
      <c r="D18" s="134" t="s">
        <v>325</v>
      </c>
      <c r="E18" s="135" t="s">
        <v>326</v>
      </c>
      <c r="F18" s="278" t="s">
        <v>327</v>
      </c>
      <c r="G18" s="134" t="s">
        <v>328</v>
      </c>
      <c r="H18" s="134" t="s">
        <v>297</v>
      </c>
      <c r="I18" s="134" t="s">
        <v>329</v>
      </c>
      <c r="J18" s="134" t="s">
        <v>330</v>
      </c>
      <c r="K18" s="134" t="s">
        <v>331</v>
      </c>
      <c r="L18" s="136" t="s">
        <v>332</v>
      </c>
      <c r="M18" s="134" t="s">
        <v>333</v>
      </c>
      <c r="N18" s="134" t="s">
        <v>103</v>
      </c>
      <c r="O18" s="137">
        <v>81</v>
      </c>
      <c r="P18" s="134" t="s">
        <v>334</v>
      </c>
      <c r="Q18" s="134" t="s">
        <v>335</v>
      </c>
      <c r="R18" s="134" t="s">
        <v>336</v>
      </c>
      <c r="S18" s="134" t="s">
        <v>231</v>
      </c>
      <c r="T18" s="134" t="s">
        <v>337</v>
      </c>
      <c r="U18" s="138" t="s">
        <v>338</v>
      </c>
    </row>
    <row r="19" spans="1:35" outlineLevel="1" x14ac:dyDescent="0.25">
      <c r="A19" s="627"/>
      <c r="B19" s="180">
        <v>1</v>
      </c>
      <c r="C19" s="140">
        <v>9</v>
      </c>
      <c r="D19" s="181">
        <v>6</v>
      </c>
      <c r="E19" s="140">
        <v>3</v>
      </c>
      <c r="F19" s="279">
        <v>3</v>
      </c>
      <c r="G19" s="140">
        <v>3</v>
      </c>
      <c r="H19" s="140">
        <v>2</v>
      </c>
      <c r="I19" s="140">
        <v>2</v>
      </c>
      <c r="J19" s="140">
        <v>40</v>
      </c>
      <c r="K19" s="140">
        <v>2</v>
      </c>
      <c r="L19" s="140">
        <v>6</v>
      </c>
      <c r="M19" s="140">
        <v>1</v>
      </c>
      <c r="N19" s="140">
        <v>2</v>
      </c>
      <c r="O19" s="140">
        <v>1</v>
      </c>
      <c r="P19" s="140">
        <v>6</v>
      </c>
      <c r="Q19" s="140">
        <v>1</v>
      </c>
      <c r="R19" s="140">
        <v>2</v>
      </c>
      <c r="S19" s="140">
        <v>3</v>
      </c>
      <c r="T19" s="140">
        <v>1</v>
      </c>
      <c r="U19" s="182">
        <v>34</v>
      </c>
    </row>
    <row r="20" spans="1:35" outlineLevel="1" x14ac:dyDescent="0.25">
      <c r="A20" s="627"/>
      <c r="B20" s="146" t="s">
        <v>1</v>
      </c>
      <c r="C20" s="137" t="s">
        <v>1</v>
      </c>
      <c r="D20" s="137" t="s">
        <v>69</v>
      </c>
      <c r="E20" s="139" t="s">
        <v>1</v>
      </c>
      <c r="F20" s="280" t="s">
        <v>1</v>
      </c>
      <c r="G20" s="137" t="s">
        <v>69</v>
      </c>
      <c r="H20" s="137" t="s">
        <v>69</v>
      </c>
      <c r="I20" s="137" t="s">
        <v>69</v>
      </c>
      <c r="J20" s="137" t="s">
        <v>69</v>
      </c>
      <c r="K20" s="142" t="s">
        <v>69</v>
      </c>
      <c r="L20" s="142" t="s">
        <v>1</v>
      </c>
      <c r="M20" s="137" t="s">
        <v>69</v>
      </c>
      <c r="N20" s="137" t="s">
        <v>69</v>
      </c>
      <c r="O20" s="137" t="s">
        <v>69</v>
      </c>
      <c r="P20" s="137" t="s">
        <v>1</v>
      </c>
      <c r="Q20" s="137" t="s">
        <v>69</v>
      </c>
      <c r="R20" s="137" t="s">
        <v>69</v>
      </c>
      <c r="S20" s="137" t="s">
        <v>69</v>
      </c>
      <c r="T20" s="137" t="s">
        <v>1</v>
      </c>
      <c r="U20" s="141" t="s">
        <v>69</v>
      </c>
    </row>
    <row r="21" spans="1:35" outlineLevel="1" x14ac:dyDescent="0.25">
      <c r="A21" s="627"/>
      <c r="B21" s="146" t="s">
        <v>0</v>
      </c>
      <c r="C21" s="137" t="s">
        <v>0</v>
      </c>
      <c r="D21" s="137" t="s">
        <v>4</v>
      </c>
      <c r="E21" s="139" t="s">
        <v>0</v>
      </c>
      <c r="F21" s="280" t="s">
        <v>0</v>
      </c>
      <c r="G21" s="137" t="s">
        <v>4</v>
      </c>
      <c r="H21" s="137" t="s">
        <v>4</v>
      </c>
      <c r="I21" s="137" t="s">
        <v>4</v>
      </c>
      <c r="J21" s="137" t="s">
        <v>0</v>
      </c>
      <c r="K21" s="142" t="s">
        <v>0</v>
      </c>
      <c r="L21" s="142" t="s">
        <v>0</v>
      </c>
      <c r="M21" s="137" t="s">
        <v>4</v>
      </c>
      <c r="N21" s="137" t="s">
        <v>0</v>
      </c>
      <c r="O21" s="137" t="s">
        <v>4</v>
      </c>
      <c r="P21" s="137" t="s">
        <v>0</v>
      </c>
      <c r="Q21" s="137" t="s">
        <v>4</v>
      </c>
      <c r="R21" s="137" t="s">
        <v>4</v>
      </c>
      <c r="S21" s="137" t="s">
        <v>4</v>
      </c>
      <c r="T21" s="137" t="s">
        <v>4</v>
      </c>
      <c r="U21" s="141" t="s">
        <v>15</v>
      </c>
    </row>
    <row r="22" spans="1:35" s="163" customFormat="1" ht="30" customHeight="1" thickBot="1" x14ac:dyDescent="0.3">
      <c r="A22" s="628"/>
      <c r="B22" s="178">
        <v>1</v>
      </c>
      <c r="C22" s="54" t="s">
        <v>544</v>
      </c>
      <c r="D22" s="161" t="s">
        <v>374</v>
      </c>
      <c r="E22" s="179" t="s">
        <v>274</v>
      </c>
      <c r="F22" s="281" t="s">
        <v>195</v>
      </c>
      <c r="G22" s="162" t="s">
        <v>9</v>
      </c>
      <c r="H22" s="162" t="s">
        <v>210</v>
      </c>
      <c r="I22" s="162" t="s">
        <v>210</v>
      </c>
      <c r="J22" s="162" t="s">
        <v>383</v>
      </c>
      <c r="K22" s="162" t="s">
        <v>379</v>
      </c>
      <c r="L22" s="55" t="s">
        <v>482</v>
      </c>
      <c r="M22" s="162" t="s">
        <v>8</v>
      </c>
      <c r="N22" s="162" t="s">
        <v>378</v>
      </c>
      <c r="O22" s="162" t="s">
        <v>8</v>
      </c>
      <c r="P22" s="161" t="s">
        <v>384</v>
      </c>
      <c r="Q22" s="162" t="s">
        <v>11</v>
      </c>
      <c r="R22" s="162" t="s">
        <v>210</v>
      </c>
      <c r="S22" s="162" t="s">
        <v>9</v>
      </c>
      <c r="T22" s="162" t="s">
        <v>8</v>
      </c>
      <c r="U22" s="177" t="s">
        <v>385</v>
      </c>
    </row>
    <row r="23" spans="1:35" ht="15.75" thickBot="1" x14ac:dyDescent="0.3">
      <c r="A23" s="2"/>
      <c r="B23" s="150" t="s">
        <v>586</v>
      </c>
      <c r="C23" s="150" t="s">
        <v>586</v>
      </c>
      <c r="D23" s="150" t="s">
        <v>586</v>
      </c>
      <c r="E23" s="150" t="s">
        <v>586</v>
      </c>
      <c r="F23" s="276" t="s">
        <v>586</v>
      </c>
      <c r="G23" s="150" t="s">
        <v>586</v>
      </c>
      <c r="H23" s="150" t="s">
        <v>586</v>
      </c>
      <c r="I23" s="150" t="s">
        <v>586</v>
      </c>
      <c r="J23" s="150" t="s">
        <v>586</v>
      </c>
      <c r="K23" s="150" t="s">
        <v>586</v>
      </c>
      <c r="L23" s="150" t="s">
        <v>586</v>
      </c>
      <c r="M23" s="150" t="s">
        <v>586</v>
      </c>
      <c r="N23" s="150" t="s">
        <v>586</v>
      </c>
      <c r="O23" s="150" t="s">
        <v>586</v>
      </c>
      <c r="P23" s="150" t="s">
        <v>586</v>
      </c>
      <c r="Q23" s="150" t="s">
        <v>586</v>
      </c>
      <c r="R23" s="150" t="s">
        <v>586</v>
      </c>
      <c r="S23" s="150" t="s">
        <v>586</v>
      </c>
      <c r="T23" s="150" t="s">
        <v>586</v>
      </c>
      <c r="U23" s="150" t="s">
        <v>586</v>
      </c>
    </row>
    <row r="24" spans="1:35" ht="100.15" customHeight="1" x14ac:dyDescent="0.25">
      <c r="A24" s="614" t="s">
        <v>359</v>
      </c>
      <c r="B24" s="147" t="s">
        <v>13</v>
      </c>
      <c r="C24" s="24" t="s">
        <v>14</v>
      </c>
      <c r="D24" s="24" t="s">
        <v>15</v>
      </c>
      <c r="E24" s="25" t="s">
        <v>16</v>
      </c>
      <c r="F24" s="282" t="s">
        <v>17</v>
      </c>
      <c r="G24" s="24" t="s">
        <v>18</v>
      </c>
      <c r="H24" s="24" t="s">
        <v>19</v>
      </c>
      <c r="I24" s="24" t="s">
        <v>20</v>
      </c>
      <c r="J24" s="24" t="s">
        <v>21</v>
      </c>
      <c r="K24" s="26" t="s">
        <v>22</v>
      </c>
      <c r="L24" s="26" t="s">
        <v>23</v>
      </c>
      <c r="M24" s="24" t="s">
        <v>24</v>
      </c>
      <c r="N24" s="24" t="s">
        <v>25</v>
      </c>
      <c r="O24" s="24" t="s">
        <v>26</v>
      </c>
      <c r="P24" s="24" t="s">
        <v>27</v>
      </c>
      <c r="Q24" s="24" t="s">
        <v>28</v>
      </c>
      <c r="R24" s="24" t="s">
        <v>29</v>
      </c>
      <c r="S24" s="24" t="s">
        <v>30</v>
      </c>
      <c r="T24" s="24" t="s">
        <v>31</v>
      </c>
      <c r="U24" s="24" t="s">
        <v>32</v>
      </c>
      <c r="V24" s="24" t="s">
        <v>33</v>
      </c>
      <c r="W24" s="24" t="s">
        <v>34</v>
      </c>
      <c r="X24" s="24" t="s">
        <v>35</v>
      </c>
      <c r="Y24" s="24" t="s">
        <v>36</v>
      </c>
      <c r="Z24" s="24" t="s">
        <v>37</v>
      </c>
      <c r="AA24" s="24" t="s">
        <v>38</v>
      </c>
      <c r="AB24" s="24" t="s">
        <v>39</v>
      </c>
      <c r="AC24" s="24" t="s">
        <v>40</v>
      </c>
      <c r="AD24" s="24" t="s">
        <v>41</v>
      </c>
      <c r="AE24" s="24" t="s">
        <v>42</v>
      </c>
      <c r="AF24" s="24" t="s">
        <v>43</v>
      </c>
      <c r="AG24" s="24" t="s">
        <v>44</v>
      </c>
      <c r="AH24" s="24" t="s">
        <v>45</v>
      </c>
      <c r="AI24" s="27" t="s">
        <v>46</v>
      </c>
    </row>
    <row r="25" spans="1:35" ht="19.899999999999999" customHeight="1" x14ac:dyDescent="0.25">
      <c r="A25" s="615"/>
      <c r="B25" s="148">
        <v>1</v>
      </c>
      <c r="C25" s="5" t="s">
        <v>47</v>
      </c>
      <c r="D25" s="4">
        <v>11</v>
      </c>
      <c r="E25" s="6" t="s">
        <v>48</v>
      </c>
      <c r="F25" s="283" t="s">
        <v>49</v>
      </c>
      <c r="G25" s="7" t="s">
        <v>50</v>
      </c>
      <c r="H25" s="7">
        <v>36</v>
      </c>
      <c r="I25" s="7">
        <v>37</v>
      </c>
      <c r="J25" s="7">
        <v>38</v>
      </c>
      <c r="K25" s="8" t="s">
        <v>51</v>
      </c>
      <c r="L25" s="8" t="s">
        <v>52</v>
      </c>
      <c r="M25" s="7">
        <v>46</v>
      </c>
      <c r="N25" s="7">
        <v>47</v>
      </c>
      <c r="O25" s="7">
        <v>48</v>
      </c>
      <c r="P25" s="7" t="s">
        <v>53</v>
      </c>
      <c r="Q25" s="7" t="s">
        <v>54</v>
      </c>
      <c r="R25" s="7" t="s">
        <v>55</v>
      </c>
      <c r="S25" s="7">
        <v>58</v>
      </c>
      <c r="T25" s="7" t="s">
        <v>56</v>
      </c>
      <c r="U25" s="7" t="s">
        <v>57</v>
      </c>
      <c r="V25" s="7" t="s">
        <v>58</v>
      </c>
      <c r="W25" s="7" t="s">
        <v>59</v>
      </c>
      <c r="X25" s="7">
        <v>79</v>
      </c>
      <c r="Y25" s="7" t="s">
        <v>60</v>
      </c>
      <c r="Z25" s="7" t="s">
        <v>61</v>
      </c>
      <c r="AA25" s="7">
        <v>95</v>
      </c>
      <c r="AB25" s="7" t="s">
        <v>62</v>
      </c>
      <c r="AC25" s="7">
        <v>102</v>
      </c>
      <c r="AD25" s="7" t="s">
        <v>63</v>
      </c>
      <c r="AE25" s="7" t="s">
        <v>64</v>
      </c>
      <c r="AF25" s="7" t="s">
        <v>65</v>
      </c>
      <c r="AG25" s="7" t="s">
        <v>66</v>
      </c>
      <c r="AH25" s="7" t="s">
        <v>67</v>
      </c>
      <c r="AI25" s="28" t="s">
        <v>68</v>
      </c>
    </row>
    <row r="26" spans="1:35" outlineLevel="1" x14ac:dyDescent="0.25">
      <c r="A26" s="615"/>
      <c r="B26" s="148">
        <v>1</v>
      </c>
      <c r="C26" s="4">
        <v>9</v>
      </c>
      <c r="D26" s="4">
        <v>1</v>
      </c>
      <c r="E26" s="9">
        <v>13</v>
      </c>
      <c r="F26" s="284">
        <v>2</v>
      </c>
      <c r="G26" s="4">
        <v>9</v>
      </c>
      <c r="H26" s="4">
        <v>1</v>
      </c>
      <c r="I26" s="4">
        <v>1</v>
      </c>
      <c r="J26" s="4">
        <v>1</v>
      </c>
      <c r="K26" s="10">
        <v>1</v>
      </c>
      <c r="L26" s="10">
        <v>6</v>
      </c>
      <c r="M26" s="4">
        <v>1</v>
      </c>
      <c r="N26" s="4">
        <v>1</v>
      </c>
      <c r="O26" s="4">
        <v>1</v>
      </c>
      <c r="P26" s="4">
        <v>2</v>
      </c>
      <c r="Q26" s="4">
        <v>3</v>
      </c>
      <c r="R26" s="4">
        <v>4</v>
      </c>
      <c r="S26" s="4">
        <v>1</v>
      </c>
      <c r="T26" s="4">
        <v>9</v>
      </c>
      <c r="U26" s="4">
        <v>6</v>
      </c>
      <c r="V26" s="4">
        <v>3</v>
      </c>
      <c r="W26" s="4">
        <v>2</v>
      </c>
      <c r="X26" s="4">
        <v>1</v>
      </c>
      <c r="Y26" s="4">
        <v>6</v>
      </c>
      <c r="Z26" s="4">
        <v>9</v>
      </c>
      <c r="AA26" s="4">
        <v>1</v>
      </c>
      <c r="AB26" s="4">
        <v>6</v>
      </c>
      <c r="AC26" s="4">
        <v>1</v>
      </c>
      <c r="AD26" s="4">
        <v>2</v>
      </c>
      <c r="AE26" s="4">
        <v>8</v>
      </c>
      <c r="AF26" s="4">
        <v>2</v>
      </c>
      <c r="AG26" s="4">
        <v>2</v>
      </c>
      <c r="AH26" s="4">
        <v>2</v>
      </c>
      <c r="AI26" s="29">
        <v>10</v>
      </c>
    </row>
    <row r="27" spans="1:35" outlineLevel="1" x14ac:dyDescent="0.25">
      <c r="A27" s="615"/>
      <c r="B27" s="148" t="s">
        <v>1</v>
      </c>
      <c r="C27" s="4" t="s">
        <v>1</v>
      </c>
      <c r="D27" s="4" t="s">
        <v>69</v>
      </c>
      <c r="E27" s="9" t="s">
        <v>69</v>
      </c>
      <c r="F27" s="284" t="s">
        <v>1</v>
      </c>
      <c r="G27" s="4" t="s">
        <v>1</v>
      </c>
      <c r="H27" s="4" t="s">
        <v>69</v>
      </c>
      <c r="I27" s="4" t="s">
        <v>69</v>
      </c>
      <c r="J27" s="4" t="s">
        <v>69</v>
      </c>
      <c r="K27" s="11" t="s">
        <v>1</v>
      </c>
      <c r="L27" s="12" t="s">
        <v>1</v>
      </c>
      <c r="M27" s="13" t="s">
        <v>69</v>
      </c>
      <c r="N27" s="4" t="s">
        <v>69</v>
      </c>
      <c r="O27" s="4" t="s">
        <v>69</v>
      </c>
      <c r="P27" s="13" t="s">
        <v>1</v>
      </c>
      <c r="Q27" s="13" t="s">
        <v>1</v>
      </c>
      <c r="R27" s="13" t="s">
        <v>1</v>
      </c>
      <c r="S27" s="4" t="s">
        <v>1</v>
      </c>
      <c r="T27" s="13" t="s">
        <v>1</v>
      </c>
      <c r="U27" s="4" t="s">
        <v>1</v>
      </c>
      <c r="V27" s="4" t="s">
        <v>69</v>
      </c>
      <c r="W27" s="13" t="s">
        <v>1</v>
      </c>
      <c r="X27" s="4" t="s">
        <v>69</v>
      </c>
      <c r="Y27" s="4" t="s">
        <v>1</v>
      </c>
      <c r="Z27" s="13" t="s">
        <v>1</v>
      </c>
      <c r="AA27" s="4" t="s">
        <v>69</v>
      </c>
      <c r="AB27" s="4" t="s">
        <v>1</v>
      </c>
      <c r="AC27" s="4" t="s">
        <v>1</v>
      </c>
      <c r="AD27" s="4" t="s">
        <v>69</v>
      </c>
      <c r="AE27" s="4" t="s">
        <v>69</v>
      </c>
      <c r="AF27" s="4" t="s">
        <v>1</v>
      </c>
      <c r="AG27" s="4" t="s">
        <v>1</v>
      </c>
      <c r="AH27" s="4" t="s">
        <v>1</v>
      </c>
      <c r="AI27" s="29" t="s">
        <v>69</v>
      </c>
    </row>
    <row r="28" spans="1:35" outlineLevel="1" x14ac:dyDescent="0.25">
      <c r="A28" s="615"/>
      <c r="B28" s="148" t="s">
        <v>0</v>
      </c>
      <c r="C28" s="4" t="s">
        <v>0</v>
      </c>
      <c r="D28" s="4" t="s">
        <v>4</v>
      </c>
      <c r="E28" s="9" t="s">
        <v>0</v>
      </c>
      <c r="F28" s="284" t="s">
        <v>0</v>
      </c>
      <c r="G28" s="4" t="s">
        <v>0</v>
      </c>
      <c r="H28" s="4" t="s">
        <v>4</v>
      </c>
      <c r="I28" s="4" t="s">
        <v>4</v>
      </c>
      <c r="J28" s="4" t="s">
        <v>4</v>
      </c>
      <c r="K28" s="12" t="s">
        <v>0</v>
      </c>
      <c r="L28" s="12" t="s">
        <v>0</v>
      </c>
      <c r="M28" s="4" t="s">
        <v>4</v>
      </c>
      <c r="N28" s="4" t="s">
        <v>4</v>
      </c>
      <c r="O28" s="4" t="s">
        <v>4</v>
      </c>
      <c r="P28" s="4" t="s">
        <v>0</v>
      </c>
      <c r="Q28" s="4" t="s">
        <v>0</v>
      </c>
      <c r="R28" s="4" t="s">
        <v>0</v>
      </c>
      <c r="S28" s="4" t="s">
        <v>0</v>
      </c>
      <c r="T28" s="4" t="s">
        <v>0</v>
      </c>
      <c r="U28" s="4" t="s">
        <v>0</v>
      </c>
      <c r="V28" s="4" t="s">
        <v>4</v>
      </c>
      <c r="W28" s="4" t="s">
        <v>4</v>
      </c>
      <c r="X28" s="4" t="s">
        <v>0</v>
      </c>
      <c r="Y28" s="4" t="s">
        <v>4</v>
      </c>
      <c r="Z28" s="4" t="s">
        <v>4</v>
      </c>
      <c r="AA28" s="4" t="s">
        <v>0</v>
      </c>
      <c r="AB28" s="4" t="s">
        <v>0</v>
      </c>
      <c r="AC28" s="4" t="s">
        <v>4</v>
      </c>
      <c r="AD28" s="4" t="s">
        <v>4</v>
      </c>
      <c r="AE28" s="4" t="s">
        <v>4</v>
      </c>
      <c r="AF28" s="4" t="s">
        <v>4</v>
      </c>
      <c r="AG28" s="4" t="s">
        <v>4</v>
      </c>
      <c r="AH28" s="4" t="s">
        <v>4</v>
      </c>
      <c r="AI28" s="29" t="s">
        <v>4</v>
      </c>
    </row>
    <row r="29" spans="1:35" s="76" customFormat="1" ht="30" customHeight="1" thickBot="1" x14ac:dyDescent="0.3">
      <c r="A29" s="616"/>
      <c r="B29" s="149">
        <v>2</v>
      </c>
      <c r="C29" s="54" t="s">
        <v>544</v>
      </c>
      <c r="D29" s="55" t="s">
        <v>8</v>
      </c>
      <c r="E29" s="55" t="s">
        <v>198</v>
      </c>
      <c r="F29" s="270">
        <v>77</v>
      </c>
      <c r="G29" s="55">
        <v>250000001</v>
      </c>
      <c r="H29" s="193" t="s">
        <v>69</v>
      </c>
      <c r="I29" s="79" t="s">
        <v>8</v>
      </c>
      <c r="J29" s="80" t="s">
        <v>8</v>
      </c>
      <c r="K29" s="81" t="s">
        <v>200</v>
      </c>
      <c r="L29" s="55" t="s">
        <v>482</v>
      </c>
      <c r="M29" s="54" t="s">
        <v>8</v>
      </c>
      <c r="N29" s="54" t="s">
        <v>8</v>
      </c>
      <c r="O29" s="54" t="s">
        <v>8</v>
      </c>
      <c r="P29" s="55" t="s">
        <v>202</v>
      </c>
      <c r="Q29" s="55" t="s">
        <v>274</v>
      </c>
      <c r="R29" s="55" t="s">
        <v>203</v>
      </c>
      <c r="S29" s="55" t="s">
        <v>204</v>
      </c>
      <c r="T29" s="55" t="s">
        <v>546</v>
      </c>
      <c r="U29" s="55" t="s">
        <v>269</v>
      </c>
      <c r="V29" s="79" t="s">
        <v>9</v>
      </c>
      <c r="W29" s="54" t="s">
        <v>587</v>
      </c>
      <c r="X29" s="199" t="s">
        <v>206</v>
      </c>
      <c r="Y29" s="55" t="s">
        <v>208</v>
      </c>
      <c r="Z29" s="55" t="s">
        <v>209</v>
      </c>
      <c r="AA29" s="55" t="s">
        <v>8</v>
      </c>
      <c r="AB29" s="55" t="s">
        <v>491</v>
      </c>
      <c r="AC29" s="55">
        <v>1</v>
      </c>
      <c r="AD29" s="79" t="s">
        <v>210</v>
      </c>
      <c r="AE29" s="79" t="s">
        <v>211</v>
      </c>
      <c r="AF29" s="55" t="s">
        <v>202</v>
      </c>
      <c r="AG29" s="54" t="s">
        <v>5</v>
      </c>
      <c r="AH29" s="54" t="s">
        <v>5</v>
      </c>
      <c r="AI29" s="82" t="s">
        <v>380</v>
      </c>
    </row>
    <row r="30" spans="1:35" s="75" customFormat="1" ht="15.75" thickBot="1" x14ac:dyDescent="0.3">
      <c r="B30" s="150" t="s">
        <v>586</v>
      </c>
      <c r="C30" s="75" t="s">
        <v>586</v>
      </c>
      <c r="D30" s="75" t="s">
        <v>586</v>
      </c>
      <c r="E30" s="75" t="s">
        <v>586</v>
      </c>
      <c r="F30" s="276" t="s">
        <v>586</v>
      </c>
      <c r="G30" s="75" t="s">
        <v>586</v>
      </c>
      <c r="H30" s="75" t="s">
        <v>586</v>
      </c>
      <c r="I30" s="75" t="s">
        <v>586</v>
      </c>
      <c r="J30" s="75" t="s">
        <v>586</v>
      </c>
      <c r="K30" s="75" t="s">
        <v>586</v>
      </c>
      <c r="L30" s="75" t="s">
        <v>586</v>
      </c>
      <c r="M30" s="75" t="s">
        <v>586</v>
      </c>
      <c r="N30" s="75" t="s">
        <v>586</v>
      </c>
      <c r="O30" s="75" t="s">
        <v>586</v>
      </c>
      <c r="P30" s="75" t="s">
        <v>586</v>
      </c>
      <c r="Q30" s="75" t="s">
        <v>586</v>
      </c>
      <c r="R30" s="75" t="s">
        <v>586</v>
      </c>
      <c r="S30" s="75" t="s">
        <v>586</v>
      </c>
      <c r="T30" s="75" t="s">
        <v>586</v>
      </c>
      <c r="U30" s="75" t="s">
        <v>586</v>
      </c>
      <c r="V30" s="75" t="s">
        <v>586</v>
      </c>
      <c r="W30" s="75" t="s">
        <v>586</v>
      </c>
      <c r="X30" s="75" t="s">
        <v>586</v>
      </c>
      <c r="Y30" s="75" t="s">
        <v>586</v>
      </c>
      <c r="Z30" s="75" t="s">
        <v>586</v>
      </c>
      <c r="AA30" s="75" t="s">
        <v>586</v>
      </c>
      <c r="AB30" s="75" t="s">
        <v>586</v>
      </c>
      <c r="AC30" s="75" t="s">
        <v>586</v>
      </c>
      <c r="AD30" s="75" t="s">
        <v>586</v>
      </c>
      <c r="AE30" s="75" t="s">
        <v>586</v>
      </c>
      <c r="AF30" s="75" t="s">
        <v>586</v>
      </c>
      <c r="AG30" s="75" t="s">
        <v>586</v>
      </c>
      <c r="AH30" s="75" t="s">
        <v>586</v>
      </c>
      <c r="AI30" s="75" t="s">
        <v>586</v>
      </c>
    </row>
    <row r="31" spans="1:35" s="75" customFormat="1" ht="100.15" customHeight="1" x14ac:dyDescent="0.25">
      <c r="A31" s="617" t="s">
        <v>447</v>
      </c>
      <c r="B31" s="238" t="s">
        <v>13</v>
      </c>
      <c r="C31" s="239" t="s">
        <v>14</v>
      </c>
      <c r="D31" s="239" t="s">
        <v>15</v>
      </c>
      <c r="E31" s="240" t="s">
        <v>16</v>
      </c>
      <c r="F31" s="285" t="s">
        <v>17</v>
      </c>
      <c r="G31" s="239" t="s">
        <v>70</v>
      </c>
      <c r="H31" s="239" t="s">
        <v>71</v>
      </c>
      <c r="I31" s="239" t="s">
        <v>429</v>
      </c>
      <c r="J31" s="241" t="s">
        <v>430</v>
      </c>
      <c r="K31" s="252" t="s">
        <v>15</v>
      </c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</row>
    <row r="32" spans="1:35" ht="19.899999999999999" customHeight="1" x14ac:dyDescent="0.25">
      <c r="A32" s="618"/>
      <c r="B32" s="242">
        <v>1</v>
      </c>
      <c r="C32" s="243" t="s">
        <v>47</v>
      </c>
      <c r="D32" s="244">
        <v>11</v>
      </c>
      <c r="E32" s="245" t="s">
        <v>48</v>
      </c>
      <c r="F32" s="286" t="s">
        <v>49</v>
      </c>
      <c r="G32" s="246" t="s">
        <v>50</v>
      </c>
      <c r="H32" s="246">
        <v>36</v>
      </c>
      <c r="I32" s="247" t="s">
        <v>443</v>
      </c>
      <c r="J32" s="248" t="s">
        <v>444</v>
      </c>
      <c r="K32" s="253" t="s">
        <v>445</v>
      </c>
    </row>
    <row r="33" spans="1:35" ht="16.149999999999999" customHeight="1" outlineLevel="1" x14ac:dyDescent="0.25">
      <c r="A33" s="618"/>
      <c r="B33" s="242">
        <v>1</v>
      </c>
      <c r="C33" s="244">
        <v>9</v>
      </c>
      <c r="D33" s="244">
        <v>1</v>
      </c>
      <c r="E33" s="249">
        <v>13</v>
      </c>
      <c r="F33" s="287">
        <v>2</v>
      </c>
      <c r="G33" s="244">
        <v>9</v>
      </c>
      <c r="H33" s="244">
        <v>1</v>
      </c>
      <c r="I33" s="244">
        <v>11</v>
      </c>
      <c r="J33" s="250">
        <v>14</v>
      </c>
      <c r="K33" s="254">
        <v>67</v>
      </c>
    </row>
    <row r="34" spans="1:35" ht="20.45" customHeight="1" outlineLevel="1" x14ac:dyDescent="0.25">
      <c r="A34" s="618"/>
      <c r="B34" s="242" t="s">
        <v>1</v>
      </c>
      <c r="C34" s="244" t="s">
        <v>1</v>
      </c>
      <c r="D34" s="244" t="s">
        <v>69</v>
      </c>
      <c r="E34" s="249" t="s">
        <v>69</v>
      </c>
      <c r="F34" s="287" t="s">
        <v>1</v>
      </c>
      <c r="G34" s="244" t="s">
        <v>1</v>
      </c>
      <c r="H34" s="244" t="s">
        <v>69</v>
      </c>
      <c r="I34" s="244" t="s">
        <v>1</v>
      </c>
      <c r="J34" s="251" t="s">
        <v>1</v>
      </c>
      <c r="K34" s="255" t="s">
        <v>69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5" ht="15.6" customHeight="1" outlineLevel="1" x14ac:dyDescent="0.25">
      <c r="A35" s="618"/>
      <c r="B35" s="242" t="s">
        <v>0</v>
      </c>
      <c r="C35" s="244" t="s">
        <v>0</v>
      </c>
      <c r="D35" s="244" t="s">
        <v>4</v>
      </c>
      <c r="E35" s="249" t="s">
        <v>0</v>
      </c>
      <c r="F35" s="287" t="s">
        <v>0</v>
      </c>
      <c r="G35" s="244" t="s">
        <v>0</v>
      </c>
      <c r="H35" s="244" t="s">
        <v>4</v>
      </c>
      <c r="I35" s="244" t="s">
        <v>4</v>
      </c>
      <c r="J35" s="251" t="s">
        <v>4</v>
      </c>
      <c r="K35" s="255" t="s">
        <v>4</v>
      </c>
    </row>
    <row r="36" spans="1:35" ht="30" customHeight="1" thickBot="1" x14ac:dyDescent="0.3">
      <c r="A36" s="619"/>
      <c r="B36" s="256" t="s">
        <v>204</v>
      </c>
      <c r="C36" s="54" t="s">
        <v>544</v>
      </c>
      <c r="D36" s="55" t="s">
        <v>8</v>
      </c>
      <c r="E36" s="54" t="s">
        <v>198</v>
      </c>
      <c r="F36" s="288">
        <v>77</v>
      </c>
      <c r="G36" s="54">
        <v>250000001</v>
      </c>
      <c r="H36" s="193" t="s">
        <v>431</v>
      </c>
      <c r="I36" s="33" t="s">
        <v>588</v>
      </c>
      <c r="J36" s="193" t="s">
        <v>432</v>
      </c>
      <c r="K36" s="226" t="s">
        <v>446</v>
      </c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 t="s">
        <v>589</v>
      </c>
      <c r="AH36" s="76"/>
      <c r="AI36" s="76"/>
    </row>
    <row r="37" spans="1:35" s="75" customFormat="1" ht="15.75" thickBot="1" x14ac:dyDescent="0.3">
      <c r="A37" s="503"/>
      <c r="B37" s="150"/>
      <c r="F37" s="276"/>
    </row>
    <row r="38" spans="1:35" s="75" customFormat="1" ht="100.15" customHeight="1" x14ac:dyDescent="0.25">
      <c r="A38" s="620" t="s">
        <v>394</v>
      </c>
      <c r="B38" s="151" t="s">
        <v>13</v>
      </c>
      <c r="C38" s="40" t="s">
        <v>14</v>
      </c>
      <c r="D38" s="40" t="s">
        <v>15</v>
      </c>
      <c r="E38" s="41" t="s">
        <v>16</v>
      </c>
      <c r="F38" s="289" t="s">
        <v>17</v>
      </c>
      <c r="G38" s="40" t="s">
        <v>70</v>
      </c>
      <c r="H38" s="40" t="s">
        <v>71</v>
      </c>
      <c r="I38" s="40" t="s">
        <v>72</v>
      </c>
      <c r="J38" s="40" t="s">
        <v>2</v>
      </c>
      <c r="K38" s="40" t="s">
        <v>73</v>
      </c>
      <c r="L38" s="42" t="s">
        <v>466</v>
      </c>
      <c r="M38" s="42" t="s">
        <v>75</v>
      </c>
      <c r="N38" s="40" t="s">
        <v>76</v>
      </c>
      <c r="O38" s="40" t="s">
        <v>77</v>
      </c>
      <c r="P38" s="40" t="s">
        <v>467</v>
      </c>
      <c r="Q38" s="499" t="s">
        <v>913</v>
      </c>
      <c r="R38" s="40" t="s">
        <v>80</v>
      </c>
      <c r="S38" s="40" t="s">
        <v>81</v>
      </c>
      <c r="T38" s="40" t="s">
        <v>82</v>
      </c>
      <c r="U38" s="40" t="s">
        <v>83</v>
      </c>
      <c r="V38" s="40" t="s">
        <v>84</v>
      </c>
      <c r="W38" s="40" t="s">
        <v>3</v>
      </c>
      <c r="X38" s="40" t="s">
        <v>85</v>
      </c>
      <c r="Y38" s="40" t="s">
        <v>86</v>
      </c>
      <c r="Z38" s="40" t="s">
        <v>87</v>
      </c>
      <c r="AA38" s="40" t="s">
        <v>88</v>
      </c>
      <c r="AB38" s="40" t="s">
        <v>89</v>
      </c>
      <c r="AC38" s="40" t="s">
        <v>90</v>
      </c>
      <c r="AD38" s="40" t="s">
        <v>91</v>
      </c>
      <c r="AE38" s="40" t="s">
        <v>92</v>
      </c>
      <c r="AF38" s="43" t="s">
        <v>93</v>
      </c>
      <c r="AG38" s="77"/>
      <c r="AH38" s="77"/>
      <c r="AI38" s="77"/>
    </row>
    <row r="39" spans="1:35" s="75" customFormat="1" ht="19.899999999999999" customHeight="1" x14ac:dyDescent="0.25">
      <c r="A39" s="615"/>
      <c r="B39" s="152">
        <v>1</v>
      </c>
      <c r="C39" s="44" t="s">
        <v>47</v>
      </c>
      <c r="D39" s="45">
        <v>11</v>
      </c>
      <c r="E39" s="46" t="s">
        <v>48</v>
      </c>
      <c r="F39" s="290" t="s">
        <v>49</v>
      </c>
      <c r="G39" s="47" t="s">
        <v>50</v>
      </c>
      <c r="H39" s="47">
        <v>36</v>
      </c>
      <c r="I39" s="47" t="s">
        <v>94</v>
      </c>
      <c r="J39" s="47" t="s">
        <v>95</v>
      </c>
      <c r="K39" s="47" t="s">
        <v>96</v>
      </c>
      <c r="L39" s="48" t="s">
        <v>97</v>
      </c>
      <c r="M39" s="48" t="s">
        <v>98</v>
      </c>
      <c r="N39" s="47" t="s">
        <v>99</v>
      </c>
      <c r="O39" s="47">
        <v>53</v>
      </c>
      <c r="P39" s="47">
        <v>54</v>
      </c>
      <c r="Q39" s="47" t="s">
        <v>913</v>
      </c>
      <c r="R39" s="47" t="s">
        <v>100</v>
      </c>
      <c r="S39" s="47" t="s">
        <v>101</v>
      </c>
      <c r="T39" s="47" t="s">
        <v>57</v>
      </c>
      <c r="U39" s="47" t="s">
        <v>102</v>
      </c>
      <c r="V39" s="47" t="s">
        <v>103</v>
      </c>
      <c r="W39" s="47" t="s">
        <v>104</v>
      </c>
      <c r="X39" s="47" t="s">
        <v>105</v>
      </c>
      <c r="Y39" s="47" t="s">
        <v>106</v>
      </c>
      <c r="Z39" s="47" t="s">
        <v>107</v>
      </c>
      <c r="AA39" s="47" t="s">
        <v>108</v>
      </c>
      <c r="AB39" s="45" t="s">
        <v>109</v>
      </c>
      <c r="AC39" s="47" t="s">
        <v>110</v>
      </c>
      <c r="AD39" s="45">
        <v>120</v>
      </c>
      <c r="AE39" s="45">
        <v>121</v>
      </c>
      <c r="AF39" s="49" t="s">
        <v>111</v>
      </c>
      <c r="AG39" s="77"/>
      <c r="AH39" s="77"/>
      <c r="AI39" s="77"/>
    </row>
    <row r="40" spans="1:35" s="75" customFormat="1" outlineLevel="1" x14ac:dyDescent="0.25">
      <c r="A40" s="615"/>
      <c r="B40" s="152">
        <v>1</v>
      </c>
      <c r="C40" s="45">
        <v>9</v>
      </c>
      <c r="D40" s="45">
        <v>1</v>
      </c>
      <c r="E40" s="50">
        <v>13</v>
      </c>
      <c r="F40" s="291">
        <v>2</v>
      </c>
      <c r="G40" s="45">
        <v>9</v>
      </c>
      <c r="H40" s="45">
        <v>1</v>
      </c>
      <c r="I40" s="45">
        <v>2</v>
      </c>
      <c r="J40" s="45">
        <v>2</v>
      </c>
      <c r="K40" s="45">
        <v>3</v>
      </c>
      <c r="L40" s="51">
        <v>6</v>
      </c>
      <c r="M40" s="51">
        <v>1</v>
      </c>
      <c r="N40" s="45">
        <v>2</v>
      </c>
      <c r="O40" s="45">
        <v>1</v>
      </c>
      <c r="P40" s="45">
        <v>1</v>
      </c>
      <c r="Q40" s="45">
        <v>9</v>
      </c>
      <c r="R40" s="45">
        <v>2</v>
      </c>
      <c r="S40" s="45">
        <v>2</v>
      </c>
      <c r="T40" s="45">
        <v>6</v>
      </c>
      <c r="U40" s="45">
        <v>5</v>
      </c>
      <c r="V40" s="45">
        <v>2</v>
      </c>
      <c r="W40" s="45">
        <v>6</v>
      </c>
      <c r="X40" s="45">
        <v>2</v>
      </c>
      <c r="Y40" s="45">
        <v>7</v>
      </c>
      <c r="Z40" s="45">
        <v>7</v>
      </c>
      <c r="AA40" s="45">
        <v>3</v>
      </c>
      <c r="AB40" s="45">
        <v>7</v>
      </c>
      <c r="AC40" s="45">
        <v>7</v>
      </c>
      <c r="AD40" s="45">
        <v>1</v>
      </c>
      <c r="AE40" s="45">
        <v>1</v>
      </c>
      <c r="AF40" s="49">
        <v>7</v>
      </c>
      <c r="AG40" s="77"/>
      <c r="AH40" s="77"/>
      <c r="AI40" s="77"/>
    </row>
    <row r="41" spans="1:35" s="75" customFormat="1" outlineLevel="1" x14ac:dyDescent="0.25">
      <c r="A41" s="615"/>
      <c r="B41" s="152" t="s">
        <v>1</v>
      </c>
      <c r="C41" s="45" t="s">
        <v>1</v>
      </c>
      <c r="D41" s="45" t="s">
        <v>69</v>
      </c>
      <c r="E41" s="50" t="s">
        <v>69</v>
      </c>
      <c r="F41" s="291" t="s">
        <v>1</v>
      </c>
      <c r="G41" s="45" t="s">
        <v>1</v>
      </c>
      <c r="H41" s="45" t="s">
        <v>69</v>
      </c>
      <c r="I41" s="45" t="s">
        <v>1</v>
      </c>
      <c r="J41" s="45" t="s">
        <v>1</v>
      </c>
      <c r="K41" s="45" t="s">
        <v>1</v>
      </c>
      <c r="L41" s="52" t="s">
        <v>1</v>
      </c>
      <c r="M41" s="52" t="s">
        <v>1</v>
      </c>
      <c r="N41" s="45" t="s">
        <v>69</v>
      </c>
      <c r="O41" s="45" t="s">
        <v>69</v>
      </c>
      <c r="P41" s="53" t="s">
        <v>69</v>
      </c>
      <c r="Q41" s="45" t="s">
        <v>1</v>
      </c>
      <c r="R41" s="45" t="s">
        <v>1</v>
      </c>
      <c r="S41" s="45" t="s">
        <v>1</v>
      </c>
      <c r="T41" s="45" t="s">
        <v>1</v>
      </c>
      <c r="U41" s="45" t="s">
        <v>69</v>
      </c>
      <c r="V41" s="45" t="s">
        <v>1</v>
      </c>
      <c r="W41" s="45" t="s">
        <v>1</v>
      </c>
      <c r="X41" s="45" t="s">
        <v>1</v>
      </c>
      <c r="Y41" s="45" t="s">
        <v>1</v>
      </c>
      <c r="Z41" s="45" t="s">
        <v>1</v>
      </c>
      <c r="AA41" s="45" t="s">
        <v>1</v>
      </c>
      <c r="AB41" s="45" t="s">
        <v>1</v>
      </c>
      <c r="AC41" s="45" t="s">
        <v>1</v>
      </c>
      <c r="AD41" s="45" t="s">
        <v>69</v>
      </c>
      <c r="AE41" s="45" t="s">
        <v>1</v>
      </c>
      <c r="AF41" s="49" t="s">
        <v>1</v>
      </c>
      <c r="AG41" s="2"/>
      <c r="AH41" s="77"/>
      <c r="AI41" s="77"/>
    </row>
    <row r="42" spans="1:35" s="75" customFormat="1" outlineLevel="1" x14ac:dyDescent="0.25">
      <c r="A42" s="615"/>
      <c r="B42" s="152" t="s">
        <v>0</v>
      </c>
      <c r="C42" s="45" t="s">
        <v>0</v>
      </c>
      <c r="D42" s="45" t="s">
        <v>4</v>
      </c>
      <c r="E42" s="50" t="s">
        <v>0</v>
      </c>
      <c r="F42" s="291" t="s">
        <v>0</v>
      </c>
      <c r="G42" s="45" t="s">
        <v>0</v>
      </c>
      <c r="H42" s="45" t="s">
        <v>4</v>
      </c>
      <c r="I42" s="45" t="s">
        <v>4</v>
      </c>
      <c r="J42" s="45" t="s">
        <v>4</v>
      </c>
      <c r="K42" s="45" t="s">
        <v>4</v>
      </c>
      <c r="L42" s="52" t="s">
        <v>4</v>
      </c>
      <c r="M42" s="52" t="s">
        <v>0</v>
      </c>
      <c r="N42" s="45" t="s">
        <v>4</v>
      </c>
      <c r="O42" s="45" t="s">
        <v>4</v>
      </c>
      <c r="P42" s="45" t="s">
        <v>4</v>
      </c>
      <c r="Q42" s="45" t="s">
        <v>4</v>
      </c>
      <c r="R42" s="45" t="s">
        <v>4</v>
      </c>
      <c r="S42" s="45" t="s">
        <v>112</v>
      </c>
      <c r="T42" s="45" t="s">
        <v>0</v>
      </c>
      <c r="U42" s="45" t="s">
        <v>0</v>
      </c>
      <c r="V42" s="45" t="s">
        <v>0</v>
      </c>
      <c r="W42" s="45" t="s">
        <v>0</v>
      </c>
      <c r="X42" s="45" t="s">
        <v>0</v>
      </c>
      <c r="Y42" s="45" t="s">
        <v>0</v>
      </c>
      <c r="Z42" s="45" t="s">
        <v>0</v>
      </c>
      <c r="AA42" s="45" t="s">
        <v>0</v>
      </c>
      <c r="AB42" s="45" t="s">
        <v>0</v>
      </c>
      <c r="AC42" s="45" t="s">
        <v>0</v>
      </c>
      <c r="AD42" s="45" t="s">
        <v>4</v>
      </c>
      <c r="AE42" s="45" t="s">
        <v>4</v>
      </c>
      <c r="AF42" s="49" t="s">
        <v>4</v>
      </c>
      <c r="AG42" s="77"/>
      <c r="AH42" s="77"/>
      <c r="AI42" s="77"/>
    </row>
    <row r="43" spans="1:35" s="75" customFormat="1" ht="30" customHeight="1" thickBot="1" x14ac:dyDescent="0.3">
      <c r="A43" s="616"/>
      <c r="B43" s="149" t="s">
        <v>10</v>
      </c>
      <c r="C43" s="54" t="s">
        <v>544</v>
      </c>
      <c r="D43" s="55" t="s">
        <v>8</v>
      </c>
      <c r="E43" s="54" t="s">
        <v>198</v>
      </c>
      <c r="F43" s="288">
        <v>77</v>
      </c>
      <c r="G43" s="54">
        <v>250000001</v>
      </c>
      <c r="H43" s="55" t="s">
        <v>69</v>
      </c>
      <c r="I43" s="193" t="s">
        <v>5</v>
      </c>
      <c r="J43" s="55" t="s">
        <v>5</v>
      </c>
      <c r="K43" s="55" t="s">
        <v>6</v>
      </c>
      <c r="L43" s="55" t="s">
        <v>208</v>
      </c>
      <c r="M43" s="193" t="s">
        <v>397</v>
      </c>
      <c r="N43" s="55" t="s">
        <v>210</v>
      </c>
      <c r="O43" s="55" t="s">
        <v>8</v>
      </c>
      <c r="P43" s="55" t="s">
        <v>8</v>
      </c>
      <c r="Q43" s="54" t="s">
        <v>544</v>
      </c>
      <c r="R43" s="55" t="s">
        <v>5</v>
      </c>
      <c r="S43" s="55" t="s">
        <v>5</v>
      </c>
      <c r="T43" s="193" t="s">
        <v>756</v>
      </c>
      <c r="U43" s="228" t="s">
        <v>278</v>
      </c>
      <c r="V43" s="193" t="s">
        <v>202</v>
      </c>
      <c r="W43" s="33" t="s">
        <v>590</v>
      </c>
      <c r="X43" s="33" t="s">
        <v>649</v>
      </c>
      <c r="Y43" s="194" t="s">
        <v>800</v>
      </c>
      <c r="Z43" s="194" t="s">
        <v>800</v>
      </c>
      <c r="AA43" s="194" t="s">
        <v>592</v>
      </c>
      <c r="AB43" s="194" t="s">
        <v>801</v>
      </c>
      <c r="AC43" s="194" t="s">
        <v>800</v>
      </c>
      <c r="AD43" s="193" t="s">
        <v>8</v>
      </c>
      <c r="AE43" s="193" t="s">
        <v>200</v>
      </c>
      <c r="AF43" s="195" t="s">
        <v>212</v>
      </c>
      <c r="AG43" s="188" t="s">
        <v>589</v>
      </c>
      <c r="AH43" s="76"/>
      <c r="AI43" s="76"/>
    </row>
    <row r="44" spans="1:35" s="75" customFormat="1" ht="15.75" thickBot="1" x14ac:dyDescent="0.3">
      <c r="B44" s="150" t="s">
        <v>586</v>
      </c>
      <c r="C44" s="75" t="s">
        <v>586</v>
      </c>
      <c r="D44" s="75" t="s">
        <v>586</v>
      </c>
      <c r="E44" s="75" t="s">
        <v>586</v>
      </c>
      <c r="F44" s="276" t="s">
        <v>586</v>
      </c>
      <c r="G44" s="75" t="s">
        <v>586</v>
      </c>
      <c r="H44" s="75" t="s">
        <v>586</v>
      </c>
      <c r="I44" s="75" t="s">
        <v>586</v>
      </c>
      <c r="J44" s="75" t="s">
        <v>586</v>
      </c>
      <c r="K44" s="75" t="s">
        <v>586</v>
      </c>
      <c r="L44" s="75" t="s">
        <v>586</v>
      </c>
      <c r="M44" s="75" t="s">
        <v>586</v>
      </c>
      <c r="N44" s="75" t="s">
        <v>586</v>
      </c>
      <c r="O44" s="75" t="s">
        <v>586</v>
      </c>
      <c r="P44" s="75" t="s">
        <v>586</v>
      </c>
      <c r="Q44" s="75" t="s">
        <v>586</v>
      </c>
      <c r="R44" s="75" t="s">
        <v>586</v>
      </c>
      <c r="S44" s="75" t="s">
        <v>586</v>
      </c>
      <c r="T44" s="75" t="s">
        <v>586</v>
      </c>
      <c r="U44" s="75" t="s">
        <v>586</v>
      </c>
      <c r="V44" s="75" t="s">
        <v>586</v>
      </c>
      <c r="W44" s="75" t="s">
        <v>586</v>
      </c>
      <c r="X44" s="75" t="s">
        <v>586</v>
      </c>
      <c r="Y44" s="75" t="s">
        <v>586</v>
      </c>
      <c r="Z44" s="75" t="s">
        <v>586</v>
      </c>
      <c r="AA44" s="75" t="s">
        <v>586</v>
      </c>
      <c r="AB44" s="75" t="s">
        <v>586</v>
      </c>
      <c r="AC44" s="75" t="s">
        <v>586</v>
      </c>
      <c r="AD44" s="75" t="s">
        <v>586</v>
      </c>
      <c r="AE44" s="75" t="s">
        <v>586</v>
      </c>
      <c r="AF44" s="75" t="s">
        <v>586</v>
      </c>
    </row>
    <row r="45" spans="1:35" ht="100.15" customHeight="1" x14ac:dyDescent="0.25">
      <c r="A45" s="621" t="s">
        <v>190</v>
      </c>
      <c r="B45" s="153" t="s">
        <v>13</v>
      </c>
      <c r="C45" s="17" t="s">
        <v>14</v>
      </c>
      <c r="D45" s="17" t="s">
        <v>15</v>
      </c>
      <c r="E45" s="18" t="s">
        <v>16</v>
      </c>
      <c r="F45" s="292" t="s">
        <v>17</v>
      </c>
      <c r="G45" s="17" t="s">
        <v>70</v>
      </c>
      <c r="H45" s="17" t="s">
        <v>113</v>
      </c>
      <c r="I45" s="17" t="s">
        <v>72</v>
      </c>
      <c r="J45" s="17" t="s">
        <v>114</v>
      </c>
      <c r="K45" s="17" t="s">
        <v>115</v>
      </c>
      <c r="L45" s="17" t="s">
        <v>116</v>
      </c>
      <c r="M45" s="17" t="s">
        <v>117</v>
      </c>
      <c r="N45" s="17" t="s">
        <v>114</v>
      </c>
      <c r="O45" s="17" t="s">
        <v>118</v>
      </c>
      <c r="P45" s="17" t="s">
        <v>119</v>
      </c>
      <c r="Q45" s="17" t="s">
        <v>120</v>
      </c>
      <c r="R45" s="17" t="s">
        <v>121</v>
      </c>
      <c r="S45" s="17" t="s">
        <v>122</v>
      </c>
      <c r="T45" s="17" t="s">
        <v>123</v>
      </c>
      <c r="U45" s="17" t="s">
        <v>124</v>
      </c>
      <c r="V45" s="17" t="s">
        <v>125</v>
      </c>
      <c r="W45" s="17" t="s">
        <v>126</v>
      </c>
      <c r="X45" s="17" t="s">
        <v>125</v>
      </c>
      <c r="Y45" s="17" t="s">
        <v>127</v>
      </c>
      <c r="Z45" s="17" t="s">
        <v>125</v>
      </c>
      <c r="AA45" s="17" t="s">
        <v>128</v>
      </c>
      <c r="AB45" s="17" t="s">
        <v>7</v>
      </c>
      <c r="AC45" s="17" t="s">
        <v>129</v>
      </c>
      <c r="AD45" s="17" t="s">
        <v>130</v>
      </c>
      <c r="AE45" s="17" t="s">
        <v>129</v>
      </c>
      <c r="AF45" s="17" t="s">
        <v>131</v>
      </c>
      <c r="AG45" s="17" t="s">
        <v>132</v>
      </c>
      <c r="AH45" s="19" t="s">
        <v>114</v>
      </c>
    </row>
    <row r="46" spans="1:35" ht="19.899999999999999" customHeight="1" x14ac:dyDescent="0.25">
      <c r="A46" s="615"/>
      <c r="B46" s="154">
        <v>1</v>
      </c>
      <c r="C46" s="83" t="s">
        <v>47</v>
      </c>
      <c r="D46" s="14" t="s">
        <v>133</v>
      </c>
      <c r="E46" s="84" t="s">
        <v>48</v>
      </c>
      <c r="F46" s="293" t="s">
        <v>49</v>
      </c>
      <c r="G46" s="14" t="s">
        <v>50</v>
      </c>
      <c r="H46" s="14">
        <v>36</v>
      </c>
      <c r="I46" s="14" t="s">
        <v>94</v>
      </c>
      <c r="J46" s="14" t="s">
        <v>134</v>
      </c>
      <c r="K46" s="14">
        <v>46</v>
      </c>
      <c r="L46" s="14">
        <v>47</v>
      </c>
      <c r="M46" s="14">
        <v>48</v>
      </c>
      <c r="N46" s="14" t="s">
        <v>135</v>
      </c>
      <c r="O46" s="14">
        <v>50</v>
      </c>
      <c r="P46" s="14" t="s">
        <v>136</v>
      </c>
      <c r="Q46" s="14" t="s">
        <v>137</v>
      </c>
      <c r="R46" s="14" t="s">
        <v>138</v>
      </c>
      <c r="S46" s="14" t="s">
        <v>139</v>
      </c>
      <c r="T46" s="14" t="s">
        <v>140</v>
      </c>
      <c r="U46" s="14" t="s">
        <v>141</v>
      </c>
      <c r="V46" s="14" t="s">
        <v>142</v>
      </c>
      <c r="W46" s="14" t="s">
        <v>143</v>
      </c>
      <c r="X46" s="14" t="s">
        <v>144</v>
      </c>
      <c r="Y46" s="14" t="s">
        <v>145</v>
      </c>
      <c r="Z46" s="14" t="s">
        <v>146</v>
      </c>
      <c r="AA46" s="14">
        <v>93</v>
      </c>
      <c r="AB46" s="14" t="s">
        <v>147</v>
      </c>
      <c r="AC46" s="14" t="s">
        <v>62</v>
      </c>
      <c r="AD46" s="14" t="s">
        <v>148</v>
      </c>
      <c r="AE46" s="14" t="s">
        <v>149</v>
      </c>
      <c r="AF46" s="14" t="s">
        <v>150</v>
      </c>
      <c r="AG46" s="14" t="s">
        <v>151</v>
      </c>
      <c r="AH46" s="85" t="s">
        <v>152</v>
      </c>
    </row>
    <row r="47" spans="1:35" ht="30" customHeight="1" outlineLevel="1" x14ac:dyDescent="0.25">
      <c r="A47" s="615"/>
      <c r="B47" s="154">
        <v>1</v>
      </c>
      <c r="C47" s="15">
        <v>9</v>
      </c>
      <c r="D47" s="15">
        <v>1</v>
      </c>
      <c r="E47" s="86">
        <v>13</v>
      </c>
      <c r="F47" s="294">
        <v>2</v>
      </c>
      <c r="G47" s="15">
        <v>9</v>
      </c>
      <c r="H47" s="15">
        <v>1</v>
      </c>
      <c r="I47" s="15">
        <v>2</v>
      </c>
      <c r="J47" s="15">
        <v>7</v>
      </c>
      <c r="K47" s="15">
        <v>1</v>
      </c>
      <c r="L47" s="15">
        <v>1</v>
      </c>
      <c r="M47" s="15">
        <v>1</v>
      </c>
      <c r="N47" s="15">
        <v>1</v>
      </c>
      <c r="O47" s="15">
        <v>1</v>
      </c>
      <c r="P47" s="15">
        <v>6</v>
      </c>
      <c r="Q47" s="15">
        <v>2</v>
      </c>
      <c r="R47" s="15">
        <v>2</v>
      </c>
      <c r="S47" s="15">
        <v>2</v>
      </c>
      <c r="T47" s="15">
        <v>6</v>
      </c>
      <c r="U47" s="15">
        <v>4</v>
      </c>
      <c r="V47" s="15">
        <v>4</v>
      </c>
      <c r="W47" s="15">
        <v>4</v>
      </c>
      <c r="X47" s="15">
        <v>4</v>
      </c>
      <c r="Y47" s="15">
        <v>4</v>
      </c>
      <c r="Z47" s="15">
        <v>4</v>
      </c>
      <c r="AA47" s="15">
        <v>1</v>
      </c>
      <c r="AB47" s="15">
        <v>2</v>
      </c>
      <c r="AC47" s="15">
        <v>6</v>
      </c>
      <c r="AD47" s="15">
        <v>2</v>
      </c>
      <c r="AE47" s="15">
        <v>6</v>
      </c>
      <c r="AF47" s="15">
        <v>7</v>
      </c>
      <c r="AG47" s="15">
        <v>7</v>
      </c>
      <c r="AH47" s="87">
        <v>5</v>
      </c>
    </row>
    <row r="48" spans="1:35" ht="30" customHeight="1" outlineLevel="1" x14ac:dyDescent="0.25">
      <c r="A48" s="615"/>
      <c r="B48" s="154" t="s">
        <v>1</v>
      </c>
      <c r="C48" s="15" t="s">
        <v>1</v>
      </c>
      <c r="D48" s="15" t="s">
        <v>69</v>
      </c>
      <c r="E48" s="86" t="s">
        <v>69</v>
      </c>
      <c r="F48" s="294" t="s">
        <v>1</v>
      </c>
      <c r="G48" s="15" t="s">
        <v>1</v>
      </c>
      <c r="H48" s="15" t="s">
        <v>69</v>
      </c>
      <c r="I48" s="15" t="s">
        <v>1</v>
      </c>
      <c r="J48" s="15" t="s">
        <v>69</v>
      </c>
      <c r="K48" s="15" t="s">
        <v>1</v>
      </c>
      <c r="L48" s="15" t="s">
        <v>1</v>
      </c>
      <c r="M48" s="15" t="s">
        <v>1</v>
      </c>
      <c r="N48" s="15" t="s">
        <v>69</v>
      </c>
      <c r="O48" s="15" t="s">
        <v>1</v>
      </c>
      <c r="P48" s="15" t="s">
        <v>1</v>
      </c>
      <c r="Q48" s="15" t="s">
        <v>1</v>
      </c>
      <c r="R48" s="15" t="s">
        <v>1</v>
      </c>
      <c r="S48" s="15" t="s">
        <v>1</v>
      </c>
      <c r="T48" s="15" t="s">
        <v>1</v>
      </c>
      <c r="U48" s="15" t="s">
        <v>1</v>
      </c>
      <c r="V48" s="15" t="s">
        <v>1</v>
      </c>
      <c r="W48" s="15" t="s">
        <v>1</v>
      </c>
      <c r="X48" s="15" t="s">
        <v>1</v>
      </c>
      <c r="Y48" s="15" t="s">
        <v>1</v>
      </c>
      <c r="Z48" s="15" t="s">
        <v>1</v>
      </c>
      <c r="AA48" s="15" t="s">
        <v>1</v>
      </c>
      <c r="AB48" s="15" t="s">
        <v>1</v>
      </c>
      <c r="AC48" s="15" t="s">
        <v>1</v>
      </c>
      <c r="AD48" s="15" t="s">
        <v>1</v>
      </c>
      <c r="AE48" s="15" t="s">
        <v>1</v>
      </c>
      <c r="AF48" s="15" t="s">
        <v>1</v>
      </c>
      <c r="AG48" s="15" t="s">
        <v>1</v>
      </c>
      <c r="AH48" s="225" t="s">
        <v>69</v>
      </c>
    </row>
    <row r="49" spans="1:34" ht="30" customHeight="1" outlineLevel="1" x14ac:dyDescent="0.25">
      <c r="A49" s="615"/>
      <c r="B49" s="154" t="s">
        <v>0</v>
      </c>
      <c r="C49" s="15" t="s">
        <v>0</v>
      </c>
      <c r="D49" s="15" t="s">
        <v>4</v>
      </c>
      <c r="E49" s="86" t="s">
        <v>0</v>
      </c>
      <c r="F49" s="294" t="s">
        <v>0</v>
      </c>
      <c r="G49" s="15" t="s">
        <v>0</v>
      </c>
      <c r="H49" s="15" t="s">
        <v>0</v>
      </c>
      <c r="I49" s="15" t="s">
        <v>4</v>
      </c>
      <c r="J49" s="15" t="s">
        <v>4</v>
      </c>
      <c r="K49" s="15" t="s">
        <v>0</v>
      </c>
      <c r="L49" s="15" t="s">
        <v>0</v>
      </c>
      <c r="M49" s="15" t="s">
        <v>0</v>
      </c>
      <c r="N49" s="15" t="s">
        <v>4</v>
      </c>
      <c r="O49" s="15" t="s">
        <v>0</v>
      </c>
      <c r="P49" s="15" t="s">
        <v>4</v>
      </c>
      <c r="Q49" s="15" t="s">
        <v>4</v>
      </c>
      <c r="R49" s="15" t="s">
        <v>4</v>
      </c>
      <c r="S49" s="15" t="s">
        <v>4</v>
      </c>
      <c r="T49" s="15" t="s">
        <v>4</v>
      </c>
      <c r="U49" s="15" t="s">
        <v>4</v>
      </c>
      <c r="V49" s="15" t="s">
        <v>4</v>
      </c>
      <c r="W49" s="15" t="s">
        <v>4</v>
      </c>
      <c r="X49" s="15" t="s">
        <v>4</v>
      </c>
      <c r="Y49" s="88" t="s">
        <v>4</v>
      </c>
      <c r="Z49" s="15" t="s">
        <v>4</v>
      </c>
      <c r="AA49" s="15" t="s">
        <v>4</v>
      </c>
      <c r="AB49" s="15" t="s">
        <v>4</v>
      </c>
      <c r="AC49" s="15" t="s">
        <v>4</v>
      </c>
      <c r="AD49" s="15" t="s">
        <v>4</v>
      </c>
      <c r="AE49" s="15" t="s">
        <v>4</v>
      </c>
      <c r="AF49" s="15" t="s">
        <v>4</v>
      </c>
      <c r="AG49" s="15" t="s">
        <v>4</v>
      </c>
      <c r="AH49" s="225" t="s">
        <v>4</v>
      </c>
    </row>
    <row r="50" spans="1:34" s="76" customFormat="1" ht="30" customHeight="1" thickBot="1" x14ac:dyDescent="0.3">
      <c r="A50" s="616"/>
      <c r="B50" s="149" t="s">
        <v>10</v>
      </c>
      <c r="C50" s="54" t="s">
        <v>544</v>
      </c>
      <c r="D50" s="55" t="s">
        <v>8</v>
      </c>
      <c r="E50" s="54" t="s">
        <v>198</v>
      </c>
      <c r="F50" s="288">
        <v>77</v>
      </c>
      <c r="G50" s="54">
        <v>250000001</v>
      </c>
      <c r="H50" s="55" t="s">
        <v>201</v>
      </c>
      <c r="I50" s="54" t="s">
        <v>202</v>
      </c>
      <c r="J50" s="55" t="s">
        <v>213</v>
      </c>
      <c r="K50" s="55" t="s">
        <v>206</v>
      </c>
      <c r="L50" s="55" t="s">
        <v>206</v>
      </c>
      <c r="M50" s="55" t="s">
        <v>206</v>
      </c>
      <c r="N50" s="55" t="s">
        <v>8</v>
      </c>
      <c r="O50" s="55" t="s">
        <v>206</v>
      </c>
      <c r="P50" s="55" t="s">
        <v>208</v>
      </c>
      <c r="Q50" s="55" t="s">
        <v>5</v>
      </c>
      <c r="R50" s="55" t="s">
        <v>5</v>
      </c>
      <c r="S50" s="55" t="s">
        <v>5</v>
      </c>
      <c r="T50" s="55" t="s">
        <v>208</v>
      </c>
      <c r="U50" s="55" t="s">
        <v>203</v>
      </c>
      <c r="V50" s="55" t="s">
        <v>203</v>
      </c>
      <c r="W50" s="55" t="s">
        <v>203</v>
      </c>
      <c r="X50" s="55" t="s">
        <v>203</v>
      </c>
      <c r="Y50" s="55" t="s">
        <v>203</v>
      </c>
      <c r="Z50" s="55" t="s">
        <v>203</v>
      </c>
      <c r="AA50" s="55" t="s">
        <v>206</v>
      </c>
      <c r="AB50" s="55" t="s">
        <v>5</v>
      </c>
      <c r="AC50" s="55" t="s">
        <v>208</v>
      </c>
      <c r="AD50" s="55" t="s">
        <v>5</v>
      </c>
      <c r="AE50" s="55" t="s">
        <v>208</v>
      </c>
      <c r="AF50" s="55" t="s">
        <v>212</v>
      </c>
      <c r="AG50" s="55" t="s">
        <v>212</v>
      </c>
      <c r="AH50" s="226" t="s">
        <v>428</v>
      </c>
    </row>
    <row r="51" spans="1:34" s="75" customFormat="1" ht="15.75" outlineLevel="1" thickBot="1" x14ac:dyDescent="0.3">
      <c r="B51" s="150" t="s">
        <v>586</v>
      </c>
      <c r="C51" s="75" t="s">
        <v>586</v>
      </c>
      <c r="D51" s="75" t="s">
        <v>586</v>
      </c>
      <c r="E51" s="75" t="s">
        <v>586</v>
      </c>
      <c r="F51" s="276" t="s">
        <v>586</v>
      </c>
      <c r="G51" s="75" t="s">
        <v>586</v>
      </c>
      <c r="H51" s="75" t="s">
        <v>586</v>
      </c>
      <c r="I51" s="75" t="s">
        <v>586</v>
      </c>
      <c r="J51" s="75" t="s">
        <v>586</v>
      </c>
      <c r="K51" s="75" t="s">
        <v>586</v>
      </c>
      <c r="L51" s="75" t="s">
        <v>586</v>
      </c>
      <c r="M51" s="75" t="s">
        <v>586</v>
      </c>
      <c r="N51" s="75" t="s">
        <v>586</v>
      </c>
      <c r="O51" s="75" t="s">
        <v>586</v>
      </c>
      <c r="P51" s="75" t="s">
        <v>586</v>
      </c>
      <c r="Q51" s="75" t="s">
        <v>586</v>
      </c>
      <c r="R51" s="75" t="s">
        <v>586</v>
      </c>
      <c r="S51" s="75" t="s">
        <v>586</v>
      </c>
      <c r="T51" s="75" t="s">
        <v>586</v>
      </c>
      <c r="U51" s="75" t="s">
        <v>586</v>
      </c>
      <c r="V51" s="75" t="s">
        <v>586</v>
      </c>
      <c r="W51" s="75" t="s">
        <v>586</v>
      </c>
      <c r="X51" s="75" t="s">
        <v>586</v>
      </c>
      <c r="Y51" s="75" t="s">
        <v>586</v>
      </c>
      <c r="Z51" s="75" t="s">
        <v>586</v>
      </c>
      <c r="AA51" s="75" t="s">
        <v>586</v>
      </c>
      <c r="AB51" s="75" t="s">
        <v>586</v>
      </c>
      <c r="AC51" s="75" t="s">
        <v>586</v>
      </c>
      <c r="AD51" s="75" t="s">
        <v>586</v>
      </c>
      <c r="AE51" s="75" t="s">
        <v>586</v>
      </c>
      <c r="AF51" s="75" t="s">
        <v>586</v>
      </c>
      <c r="AG51" s="75" t="s">
        <v>586</v>
      </c>
      <c r="AH51" s="75" t="s">
        <v>586</v>
      </c>
    </row>
    <row r="52" spans="1:34" ht="99.95" customHeight="1" x14ac:dyDescent="0.25">
      <c r="A52" s="622" t="s">
        <v>191</v>
      </c>
      <c r="B52" s="155" t="s">
        <v>13</v>
      </c>
      <c r="C52" s="20" t="s">
        <v>14</v>
      </c>
      <c r="D52" s="20" t="s">
        <v>15</v>
      </c>
      <c r="E52" s="21" t="s">
        <v>16</v>
      </c>
      <c r="F52" s="295" t="s">
        <v>17</v>
      </c>
      <c r="G52" s="20" t="s">
        <v>70</v>
      </c>
      <c r="H52" s="20" t="s">
        <v>113</v>
      </c>
      <c r="I52" s="20" t="s">
        <v>72</v>
      </c>
      <c r="J52" s="20" t="s">
        <v>153</v>
      </c>
      <c r="K52" s="20" t="s">
        <v>154</v>
      </c>
      <c r="L52" s="20" t="s">
        <v>155</v>
      </c>
      <c r="M52" s="20" t="s">
        <v>156</v>
      </c>
      <c r="N52" s="20" t="s">
        <v>157</v>
      </c>
      <c r="O52" s="20" t="s">
        <v>158</v>
      </c>
      <c r="P52" s="20" t="s">
        <v>159</v>
      </c>
      <c r="Q52" s="20" t="s">
        <v>160</v>
      </c>
      <c r="R52" s="20" t="s">
        <v>161</v>
      </c>
      <c r="S52" s="20" t="s">
        <v>162</v>
      </c>
      <c r="T52" s="20" t="s">
        <v>163</v>
      </c>
      <c r="U52" s="20" t="s">
        <v>164</v>
      </c>
      <c r="V52" s="20" t="s">
        <v>165</v>
      </c>
      <c r="W52" s="20" t="s">
        <v>166</v>
      </c>
      <c r="X52" s="20" t="s">
        <v>167</v>
      </c>
      <c r="Y52" s="20" t="s">
        <v>168</v>
      </c>
      <c r="Z52" s="20" t="s">
        <v>169</v>
      </c>
      <c r="AA52" s="20" t="s">
        <v>170</v>
      </c>
      <c r="AB52" s="20" t="s">
        <v>171</v>
      </c>
      <c r="AC52" s="20" t="s">
        <v>172</v>
      </c>
      <c r="AD52" s="22" t="s">
        <v>114</v>
      </c>
      <c r="AE52" s="189"/>
      <c r="AF52" s="189"/>
    </row>
    <row r="53" spans="1:34" ht="19.899999999999999" customHeight="1" x14ac:dyDescent="0.25">
      <c r="A53" s="615"/>
      <c r="B53" s="156">
        <v>1</v>
      </c>
      <c r="C53" s="90" t="s">
        <v>47</v>
      </c>
      <c r="D53" s="16">
        <v>11</v>
      </c>
      <c r="E53" s="91" t="s">
        <v>48</v>
      </c>
      <c r="F53" s="296" t="s">
        <v>49</v>
      </c>
      <c r="G53" s="92" t="s">
        <v>50</v>
      </c>
      <c r="H53" s="92">
        <v>36</v>
      </c>
      <c r="I53" s="92" t="s">
        <v>94</v>
      </c>
      <c r="J53" s="92" t="s">
        <v>173</v>
      </c>
      <c r="K53" s="92" t="s">
        <v>174</v>
      </c>
      <c r="L53" s="92" t="s">
        <v>175</v>
      </c>
      <c r="M53" s="92" t="s">
        <v>176</v>
      </c>
      <c r="N53" s="92" t="s">
        <v>177</v>
      </c>
      <c r="O53" s="92" t="s">
        <v>178</v>
      </c>
      <c r="P53" s="92" t="s">
        <v>179</v>
      </c>
      <c r="Q53" s="92" t="s">
        <v>180</v>
      </c>
      <c r="R53" s="92" t="s">
        <v>181</v>
      </c>
      <c r="S53" s="92" t="s">
        <v>939</v>
      </c>
      <c r="T53" s="92" t="s">
        <v>182</v>
      </c>
      <c r="U53" s="92">
        <v>100</v>
      </c>
      <c r="V53" s="92" t="s">
        <v>183</v>
      </c>
      <c r="W53" s="92" t="s">
        <v>184</v>
      </c>
      <c r="X53" s="92" t="s">
        <v>185</v>
      </c>
      <c r="Y53" s="92" t="s">
        <v>186</v>
      </c>
      <c r="Z53" s="92">
        <v>117</v>
      </c>
      <c r="AA53" s="92">
        <v>118</v>
      </c>
      <c r="AB53" s="92" t="s">
        <v>187</v>
      </c>
      <c r="AC53" s="92">
        <v>125</v>
      </c>
      <c r="AD53" s="93" t="s">
        <v>188</v>
      </c>
      <c r="AE53" s="189"/>
      <c r="AF53" s="189"/>
    </row>
    <row r="54" spans="1:34" ht="30" customHeight="1" outlineLevel="1" x14ac:dyDescent="0.25">
      <c r="A54" s="615"/>
      <c r="B54" s="156">
        <v>1</v>
      </c>
      <c r="C54" s="16">
        <v>9</v>
      </c>
      <c r="D54" s="16">
        <v>1</v>
      </c>
      <c r="E54" s="94">
        <v>13</v>
      </c>
      <c r="F54" s="297">
        <v>2</v>
      </c>
      <c r="G54" s="16">
        <v>9</v>
      </c>
      <c r="H54" s="16">
        <v>1</v>
      </c>
      <c r="I54" s="16">
        <v>2</v>
      </c>
      <c r="J54" s="16">
        <v>6</v>
      </c>
      <c r="K54" s="16">
        <v>4</v>
      </c>
      <c r="L54" s="16">
        <v>5</v>
      </c>
      <c r="M54" s="16">
        <v>9</v>
      </c>
      <c r="N54" s="16">
        <v>8</v>
      </c>
      <c r="O54" s="16">
        <v>3</v>
      </c>
      <c r="P54" s="16">
        <v>8</v>
      </c>
      <c r="Q54" s="16">
        <v>3</v>
      </c>
      <c r="R54" s="16">
        <v>6</v>
      </c>
      <c r="S54" s="16">
        <v>4</v>
      </c>
      <c r="T54" s="16">
        <v>5</v>
      </c>
      <c r="U54" s="16">
        <v>1</v>
      </c>
      <c r="V54" s="16">
        <v>2</v>
      </c>
      <c r="W54" s="16">
        <v>6</v>
      </c>
      <c r="X54" s="16">
        <v>4</v>
      </c>
      <c r="Y54" s="16">
        <v>4</v>
      </c>
      <c r="Z54" s="16">
        <v>1</v>
      </c>
      <c r="AA54" s="16">
        <v>1</v>
      </c>
      <c r="AB54" s="16">
        <v>6</v>
      </c>
      <c r="AC54" s="16">
        <v>1</v>
      </c>
      <c r="AD54" s="23">
        <v>3</v>
      </c>
      <c r="AE54" s="189"/>
      <c r="AF54" s="189"/>
    </row>
    <row r="55" spans="1:34" ht="30" customHeight="1" outlineLevel="1" x14ac:dyDescent="0.25">
      <c r="A55" s="615"/>
      <c r="B55" s="156" t="s">
        <v>1</v>
      </c>
      <c r="C55" s="16" t="s">
        <v>1</v>
      </c>
      <c r="D55" s="16" t="s">
        <v>69</v>
      </c>
      <c r="E55" s="94" t="s">
        <v>69</v>
      </c>
      <c r="F55" s="297" t="s">
        <v>1</v>
      </c>
      <c r="G55" s="16" t="s">
        <v>1</v>
      </c>
      <c r="H55" s="16" t="s">
        <v>69</v>
      </c>
      <c r="I55" s="16" t="s">
        <v>1</v>
      </c>
      <c r="J55" s="16" t="s">
        <v>1</v>
      </c>
      <c r="K55" s="16" t="s">
        <v>1</v>
      </c>
      <c r="L55" s="16" t="s">
        <v>1</v>
      </c>
      <c r="M55" s="143" t="s">
        <v>69</v>
      </c>
      <c r="N55" s="16" t="s">
        <v>69</v>
      </c>
      <c r="O55" s="16" t="s">
        <v>69</v>
      </c>
      <c r="P55" s="16" t="s">
        <v>69</v>
      </c>
      <c r="Q55" s="16" t="s">
        <v>69</v>
      </c>
      <c r="R55" s="16" t="s">
        <v>1</v>
      </c>
      <c r="S55" s="16" t="s">
        <v>1</v>
      </c>
      <c r="T55" s="16" t="s">
        <v>1</v>
      </c>
      <c r="U55" s="16" t="s">
        <v>1</v>
      </c>
      <c r="V55" s="16" t="s">
        <v>1</v>
      </c>
      <c r="W55" s="16" t="s">
        <v>1</v>
      </c>
      <c r="X55" s="16" t="s">
        <v>1</v>
      </c>
      <c r="Y55" s="16" t="s">
        <v>1</v>
      </c>
      <c r="Z55" s="16" t="s">
        <v>69</v>
      </c>
      <c r="AA55" s="16" t="s">
        <v>69</v>
      </c>
      <c r="AB55" s="16" t="s">
        <v>1</v>
      </c>
      <c r="AC55" s="16" t="s">
        <v>69</v>
      </c>
      <c r="AD55" s="227" t="s">
        <v>69</v>
      </c>
      <c r="AE55" s="189"/>
      <c r="AF55" s="189"/>
    </row>
    <row r="56" spans="1:34" ht="30" customHeight="1" outlineLevel="1" x14ac:dyDescent="0.25">
      <c r="A56" s="615"/>
      <c r="B56" s="156" t="s">
        <v>0</v>
      </c>
      <c r="C56" s="16" t="s">
        <v>0</v>
      </c>
      <c r="D56" s="16" t="s">
        <v>4</v>
      </c>
      <c r="E56" s="94" t="s">
        <v>0</v>
      </c>
      <c r="F56" s="29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189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4</v>
      </c>
      <c r="Q56" s="16" t="s">
        <v>4</v>
      </c>
      <c r="R56" s="16" t="s">
        <v>0</v>
      </c>
      <c r="S56" s="16" t="s">
        <v>0</v>
      </c>
      <c r="T56" s="16" t="s">
        <v>0</v>
      </c>
      <c r="U56" s="16" t="s">
        <v>0</v>
      </c>
      <c r="V56" s="16" t="s">
        <v>4</v>
      </c>
      <c r="W56" s="16" t="s">
        <v>4</v>
      </c>
      <c r="X56" s="16" t="s">
        <v>4</v>
      </c>
      <c r="Y56" s="16" t="s">
        <v>0</v>
      </c>
      <c r="Z56" s="16" t="s">
        <v>4</v>
      </c>
      <c r="AA56" s="16" t="s">
        <v>4</v>
      </c>
      <c r="AB56" s="16" t="s">
        <v>4</v>
      </c>
      <c r="AC56" s="16" t="s">
        <v>4</v>
      </c>
      <c r="AD56" s="23" t="s">
        <v>4</v>
      </c>
      <c r="AE56" s="189"/>
      <c r="AF56" s="189"/>
    </row>
    <row r="57" spans="1:34" s="76" customFormat="1" ht="30" customHeight="1" thickBot="1" x14ac:dyDescent="0.3">
      <c r="A57" s="616"/>
      <c r="B57" s="149" t="s">
        <v>10</v>
      </c>
      <c r="C57" s="54" t="s">
        <v>544</v>
      </c>
      <c r="D57" s="55" t="s">
        <v>8</v>
      </c>
      <c r="E57" s="54" t="s">
        <v>198</v>
      </c>
      <c r="F57" s="288">
        <v>77</v>
      </c>
      <c r="G57" s="54">
        <v>250000001</v>
      </c>
      <c r="H57" s="55" t="s">
        <v>11</v>
      </c>
      <c r="I57" s="33" t="s">
        <v>202</v>
      </c>
      <c r="J57" s="54" t="s">
        <v>756</v>
      </c>
      <c r="K57" s="54" t="s">
        <v>661</v>
      </c>
      <c r="L57" s="54" t="s">
        <v>214</v>
      </c>
      <c r="M57" s="54" t="s">
        <v>543</v>
      </c>
      <c r="N57" s="54" t="s">
        <v>417</v>
      </c>
      <c r="O57" s="54" t="s">
        <v>483</v>
      </c>
      <c r="P57" s="54" t="s">
        <v>211</v>
      </c>
      <c r="Q57" s="54" t="s">
        <v>9</v>
      </c>
      <c r="R57" s="54" t="s">
        <v>756</v>
      </c>
      <c r="S57" s="54" t="s">
        <v>763</v>
      </c>
      <c r="T57" s="54" t="s">
        <v>263</v>
      </c>
      <c r="U57" s="54">
        <v>1</v>
      </c>
      <c r="V57" s="55" t="s">
        <v>5</v>
      </c>
      <c r="W57" s="55" t="s">
        <v>208</v>
      </c>
      <c r="X57" s="229" t="s">
        <v>203</v>
      </c>
      <c r="Y57" s="54" t="s">
        <v>610</v>
      </c>
      <c r="Z57" s="55" t="s">
        <v>8</v>
      </c>
      <c r="AA57" s="55" t="s">
        <v>8</v>
      </c>
      <c r="AB57" s="55" t="s">
        <v>208</v>
      </c>
      <c r="AC57" s="33" t="s">
        <v>8</v>
      </c>
      <c r="AD57" s="89" t="s">
        <v>9</v>
      </c>
      <c r="AE57" s="188" t="s">
        <v>589</v>
      </c>
      <c r="AF57" s="190"/>
    </row>
    <row r="58" spans="1:34" s="75" customFormat="1" ht="15.75" outlineLevel="1" thickBot="1" x14ac:dyDescent="0.3">
      <c r="A58" s="503"/>
      <c r="B58" s="150" t="s">
        <v>586</v>
      </c>
      <c r="C58" s="75" t="s">
        <v>586</v>
      </c>
      <c r="D58" s="75" t="s">
        <v>586</v>
      </c>
      <c r="E58" s="75" t="s">
        <v>586</v>
      </c>
      <c r="F58" s="276" t="s">
        <v>586</v>
      </c>
      <c r="G58" s="75" t="s">
        <v>586</v>
      </c>
      <c r="H58" s="75" t="s">
        <v>586</v>
      </c>
      <c r="I58" s="75" t="s">
        <v>586</v>
      </c>
      <c r="J58" s="75" t="s">
        <v>586</v>
      </c>
      <c r="K58" s="75" t="s">
        <v>586</v>
      </c>
      <c r="L58" s="75" t="s">
        <v>586</v>
      </c>
      <c r="M58" s="75" t="s">
        <v>586</v>
      </c>
      <c r="N58" s="75" t="s">
        <v>586</v>
      </c>
      <c r="O58" s="75" t="s">
        <v>586</v>
      </c>
      <c r="P58" s="75" t="s">
        <v>586</v>
      </c>
      <c r="Q58" s="75" t="s">
        <v>586</v>
      </c>
      <c r="R58" s="75" t="s">
        <v>586</v>
      </c>
      <c r="S58" s="75" t="s">
        <v>586</v>
      </c>
      <c r="T58" s="75" t="s">
        <v>586</v>
      </c>
      <c r="U58" s="75" t="s">
        <v>586</v>
      </c>
      <c r="V58" s="75" t="s">
        <v>586</v>
      </c>
      <c r="W58" s="75" t="s">
        <v>586</v>
      </c>
      <c r="X58" s="75" t="s">
        <v>586</v>
      </c>
      <c r="Y58" s="75" t="s">
        <v>586</v>
      </c>
      <c r="Z58" s="75" t="s">
        <v>586</v>
      </c>
      <c r="AA58" s="75" t="s">
        <v>586</v>
      </c>
      <c r="AB58" s="75" t="s">
        <v>586</v>
      </c>
      <c r="AC58" s="75" t="s">
        <v>586</v>
      </c>
      <c r="AD58" s="75" t="s">
        <v>586</v>
      </c>
      <c r="AE58" s="189"/>
      <c r="AF58" s="189"/>
    </row>
    <row r="59" spans="1:34" ht="99.95" customHeight="1" x14ac:dyDescent="0.25">
      <c r="A59" s="622" t="s">
        <v>191</v>
      </c>
      <c r="B59" s="155" t="s">
        <v>13</v>
      </c>
      <c r="C59" s="20" t="s">
        <v>14</v>
      </c>
      <c r="D59" s="20" t="s">
        <v>15</v>
      </c>
      <c r="E59" s="21" t="s">
        <v>16</v>
      </c>
      <c r="F59" s="295" t="s">
        <v>17</v>
      </c>
      <c r="G59" s="20" t="s">
        <v>70</v>
      </c>
      <c r="H59" s="20" t="s">
        <v>113</v>
      </c>
      <c r="I59" s="20" t="s">
        <v>72</v>
      </c>
      <c r="J59" s="20" t="s">
        <v>153</v>
      </c>
      <c r="K59" s="20" t="s">
        <v>154</v>
      </c>
      <c r="L59" s="20" t="s">
        <v>155</v>
      </c>
      <c r="M59" s="20" t="s">
        <v>156</v>
      </c>
      <c r="N59" s="20" t="s">
        <v>157</v>
      </c>
      <c r="O59" s="20" t="s">
        <v>158</v>
      </c>
      <c r="P59" s="20" t="s">
        <v>159</v>
      </c>
      <c r="Q59" s="20" t="s">
        <v>160</v>
      </c>
      <c r="R59" s="20" t="s">
        <v>161</v>
      </c>
      <c r="S59" s="20" t="s">
        <v>162</v>
      </c>
      <c r="T59" s="20" t="s">
        <v>163</v>
      </c>
      <c r="U59" s="20" t="s">
        <v>164</v>
      </c>
      <c r="V59" s="20" t="s">
        <v>165</v>
      </c>
      <c r="W59" s="20" t="s">
        <v>166</v>
      </c>
      <c r="X59" s="20" t="s">
        <v>167</v>
      </c>
      <c r="Y59" s="20" t="s">
        <v>168</v>
      </c>
      <c r="Z59" s="20" t="s">
        <v>169</v>
      </c>
      <c r="AA59" s="20" t="s">
        <v>170</v>
      </c>
      <c r="AB59" s="20" t="s">
        <v>171</v>
      </c>
      <c r="AC59" s="20" t="s">
        <v>172</v>
      </c>
      <c r="AD59" s="22" t="s">
        <v>114</v>
      </c>
      <c r="AE59" s="189"/>
      <c r="AF59" s="189"/>
    </row>
    <row r="60" spans="1:34" ht="19.899999999999999" customHeight="1" x14ac:dyDescent="0.25">
      <c r="A60" s="615"/>
      <c r="B60" s="156">
        <v>1</v>
      </c>
      <c r="C60" s="90" t="s">
        <v>47</v>
      </c>
      <c r="D60" s="16">
        <v>11</v>
      </c>
      <c r="E60" s="91" t="s">
        <v>48</v>
      </c>
      <c r="F60" s="296" t="s">
        <v>49</v>
      </c>
      <c r="G60" s="92" t="s">
        <v>50</v>
      </c>
      <c r="H60" s="92">
        <v>36</v>
      </c>
      <c r="I60" s="92" t="s">
        <v>94</v>
      </c>
      <c r="J60" s="92" t="s">
        <v>173</v>
      </c>
      <c r="K60" s="92" t="s">
        <v>174</v>
      </c>
      <c r="L60" s="92" t="s">
        <v>175</v>
      </c>
      <c r="M60" s="92" t="s">
        <v>176</v>
      </c>
      <c r="N60" s="92" t="s">
        <v>177</v>
      </c>
      <c r="O60" s="92" t="s">
        <v>178</v>
      </c>
      <c r="P60" s="92" t="s">
        <v>179</v>
      </c>
      <c r="Q60" s="92" t="s">
        <v>180</v>
      </c>
      <c r="R60" s="92" t="s">
        <v>181</v>
      </c>
      <c r="S60" s="92" t="s">
        <v>939</v>
      </c>
      <c r="T60" s="92" t="s">
        <v>182</v>
      </c>
      <c r="U60" s="92">
        <v>100</v>
      </c>
      <c r="V60" s="92" t="s">
        <v>183</v>
      </c>
      <c r="W60" s="92" t="s">
        <v>184</v>
      </c>
      <c r="X60" s="92" t="s">
        <v>185</v>
      </c>
      <c r="Y60" s="92" t="s">
        <v>186</v>
      </c>
      <c r="Z60" s="92">
        <v>117</v>
      </c>
      <c r="AA60" s="92">
        <v>118</v>
      </c>
      <c r="AB60" s="92" t="s">
        <v>187</v>
      </c>
      <c r="AC60" s="92">
        <v>125</v>
      </c>
      <c r="AD60" s="93" t="s">
        <v>188</v>
      </c>
      <c r="AE60" s="189"/>
      <c r="AF60" s="189"/>
    </row>
    <row r="61" spans="1:34" ht="30" customHeight="1" outlineLevel="1" x14ac:dyDescent="0.25">
      <c r="A61" s="615"/>
      <c r="B61" s="156">
        <v>1</v>
      </c>
      <c r="C61" s="16">
        <v>9</v>
      </c>
      <c r="D61" s="16">
        <v>1</v>
      </c>
      <c r="E61" s="94">
        <v>13</v>
      </c>
      <c r="F61" s="297">
        <v>2</v>
      </c>
      <c r="G61" s="16">
        <v>9</v>
      </c>
      <c r="H61" s="16">
        <v>1</v>
      </c>
      <c r="I61" s="16">
        <v>2</v>
      </c>
      <c r="J61" s="16">
        <v>6</v>
      </c>
      <c r="K61" s="16">
        <v>4</v>
      </c>
      <c r="L61" s="16">
        <v>5</v>
      </c>
      <c r="M61" s="16">
        <v>9</v>
      </c>
      <c r="N61" s="16">
        <v>8</v>
      </c>
      <c r="O61" s="16">
        <v>3</v>
      </c>
      <c r="P61" s="16">
        <v>8</v>
      </c>
      <c r="Q61" s="16">
        <v>3</v>
      </c>
      <c r="R61" s="16">
        <v>6</v>
      </c>
      <c r="S61" s="16">
        <v>4</v>
      </c>
      <c r="T61" s="16">
        <v>5</v>
      </c>
      <c r="U61" s="16">
        <v>1</v>
      </c>
      <c r="V61" s="16">
        <v>2</v>
      </c>
      <c r="W61" s="16">
        <v>6</v>
      </c>
      <c r="X61" s="16">
        <v>4</v>
      </c>
      <c r="Y61" s="16">
        <v>4</v>
      </c>
      <c r="Z61" s="16">
        <v>1</v>
      </c>
      <c r="AA61" s="16">
        <v>1</v>
      </c>
      <c r="AB61" s="16">
        <v>6</v>
      </c>
      <c r="AC61" s="16">
        <v>1</v>
      </c>
      <c r="AD61" s="23">
        <v>3</v>
      </c>
      <c r="AE61" s="189"/>
      <c r="AF61" s="189"/>
    </row>
    <row r="62" spans="1:34" ht="30" customHeight="1" outlineLevel="1" x14ac:dyDescent="0.25">
      <c r="A62" s="615"/>
      <c r="B62" s="156" t="s">
        <v>1</v>
      </c>
      <c r="C62" s="16" t="s">
        <v>1</v>
      </c>
      <c r="D62" s="16" t="s">
        <v>69</v>
      </c>
      <c r="E62" s="94" t="s">
        <v>69</v>
      </c>
      <c r="F62" s="297" t="s">
        <v>1</v>
      </c>
      <c r="G62" s="16" t="s">
        <v>1</v>
      </c>
      <c r="H62" s="16" t="s">
        <v>69</v>
      </c>
      <c r="I62" s="16" t="s">
        <v>1</v>
      </c>
      <c r="J62" s="16" t="s">
        <v>1</v>
      </c>
      <c r="K62" s="16" t="s">
        <v>1</v>
      </c>
      <c r="L62" s="16" t="s">
        <v>1</v>
      </c>
      <c r="M62" s="143" t="s">
        <v>69</v>
      </c>
      <c r="N62" s="16" t="s">
        <v>69</v>
      </c>
      <c r="O62" s="16" t="s">
        <v>69</v>
      </c>
      <c r="P62" s="16" t="s">
        <v>69</v>
      </c>
      <c r="Q62" s="16" t="s">
        <v>69</v>
      </c>
      <c r="R62" s="16" t="s">
        <v>1</v>
      </c>
      <c r="S62" s="16" t="s">
        <v>1</v>
      </c>
      <c r="T62" s="16" t="s">
        <v>1</v>
      </c>
      <c r="U62" s="16" t="s">
        <v>1</v>
      </c>
      <c r="V62" s="16" t="s">
        <v>1</v>
      </c>
      <c r="W62" s="16" t="s">
        <v>1</v>
      </c>
      <c r="X62" s="16" t="s">
        <v>1</v>
      </c>
      <c r="Y62" s="16" t="s">
        <v>1</v>
      </c>
      <c r="Z62" s="16" t="s">
        <v>69</v>
      </c>
      <c r="AA62" s="16" t="s">
        <v>69</v>
      </c>
      <c r="AB62" s="16" t="s">
        <v>1</v>
      </c>
      <c r="AC62" s="16" t="s">
        <v>69</v>
      </c>
      <c r="AD62" s="227" t="s">
        <v>69</v>
      </c>
      <c r="AE62" s="189"/>
      <c r="AF62" s="189"/>
    </row>
    <row r="63" spans="1:34" ht="30" customHeight="1" outlineLevel="1" x14ac:dyDescent="0.25">
      <c r="A63" s="615"/>
      <c r="B63" s="156" t="s">
        <v>0</v>
      </c>
      <c r="C63" s="16" t="s">
        <v>0</v>
      </c>
      <c r="D63" s="16" t="s">
        <v>4</v>
      </c>
      <c r="E63" s="94" t="s">
        <v>0</v>
      </c>
      <c r="F63" s="29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189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4</v>
      </c>
      <c r="Q63" s="16" t="s">
        <v>4</v>
      </c>
      <c r="R63" s="16" t="s">
        <v>0</v>
      </c>
      <c r="S63" s="16" t="s">
        <v>0</v>
      </c>
      <c r="T63" s="16" t="s">
        <v>0</v>
      </c>
      <c r="U63" s="16" t="s">
        <v>0</v>
      </c>
      <c r="V63" s="16" t="s">
        <v>4</v>
      </c>
      <c r="W63" s="16" t="s">
        <v>4</v>
      </c>
      <c r="X63" s="16" t="s">
        <v>4</v>
      </c>
      <c r="Y63" s="16" t="s">
        <v>0</v>
      </c>
      <c r="Z63" s="16" t="s">
        <v>4</v>
      </c>
      <c r="AA63" s="16" t="s">
        <v>4</v>
      </c>
      <c r="AB63" s="16" t="s">
        <v>4</v>
      </c>
      <c r="AC63" s="16" t="s">
        <v>4</v>
      </c>
      <c r="AD63" s="23" t="s">
        <v>4</v>
      </c>
      <c r="AE63" s="189"/>
      <c r="AF63" s="189"/>
    </row>
    <row r="64" spans="1:34" s="76" customFormat="1" ht="30" customHeight="1" thickBot="1" x14ac:dyDescent="0.3">
      <c r="A64" s="616"/>
      <c r="B64" s="149" t="s">
        <v>10</v>
      </c>
      <c r="C64" s="54" t="s">
        <v>544</v>
      </c>
      <c r="D64" s="55" t="s">
        <v>8</v>
      </c>
      <c r="E64" s="54" t="s">
        <v>198</v>
      </c>
      <c r="F64" s="288">
        <v>77</v>
      </c>
      <c r="G64" s="54">
        <v>250000001</v>
      </c>
      <c r="H64" s="55" t="s">
        <v>11</v>
      </c>
      <c r="I64" s="33" t="s">
        <v>649</v>
      </c>
      <c r="J64" s="54" t="s">
        <v>676</v>
      </c>
      <c r="K64" s="54" t="s">
        <v>798</v>
      </c>
      <c r="L64" s="54" t="s">
        <v>214</v>
      </c>
      <c r="M64" s="54" t="s">
        <v>543</v>
      </c>
      <c r="N64" s="54" t="s">
        <v>484</v>
      </c>
      <c r="O64" s="54" t="s">
        <v>485</v>
      </c>
      <c r="P64" s="54" t="s">
        <v>211</v>
      </c>
      <c r="Q64" s="54" t="s">
        <v>9</v>
      </c>
      <c r="R64" s="54" t="s">
        <v>676</v>
      </c>
      <c r="S64" s="54" t="s">
        <v>799</v>
      </c>
      <c r="T64" s="54" t="s">
        <v>263</v>
      </c>
      <c r="U64" s="54">
        <v>1</v>
      </c>
      <c r="V64" s="55" t="s">
        <v>5</v>
      </c>
      <c r="W64" s="55" t="s">
        <v>208</v>
      </c>
      <c r="X64" s="229" t="s">
        <v>203</v>
      </c>
      <c r="Y64" s="54" t="s">
        <v>610</v>
      </c>
      <c r="Z64" s="55" t="s">
        <v>8</v>
      </c>
      <c r="AA64" s="55" t="s">
        <v>8</v>
      </c>
      <c r="AB64" s="55" t="s">
        <v>208</v>
      </c>
      <c r="AC64" s="33" t="s">
        <v>8</v>
      </c>
      <c r="AD64" s="89" t="s">
        <v>9</v>
      </c>
      <c r="AE64" s="188" t="s">
        <v>589</v>
      </c>
      <c r="AF64" s="191"/>
    </row>
    <row r="65" spans="1:35" s="75" customFormat="1" ht="15.75" outlineLevel="1" thickBot="1" x14ac:dyDescent="0.3">
      <c r="B65" s="150" t="s">
        <v>586</v>
      </c>
      <c r="C65" s="75" t="s">
        <v>586</v>
      </c>
      <c r="D65" s="75" t="s">
        <v>586</v>
      </c>
      <c r="E65" s="75" t="s">
        <v>586</v>
      </c>
      <c r="F65" s="276" t="s">
        <v>586</v>
      </c>
      <c r="G65" s="75" t="s">
        <v>586</v>
      </c>
      <c r="H65" s="75" t="s">
        <v>586</v>
      </c>
      <c r="I65" s="75" t="s">
        <v>586</v>
      </c>
      <c r="J65" s="75" t="s">
        <v>586</v>
      </c>
      <c r="K65" s="75" t="s">
        <v>586</v>
      </c>
      <c r="L65" s="75" t="s">
        <v>586</v>
      </c>
      <c r="M65" s="75" t="s">
        <v>586</v>
      </c>
      <c r="N65" s="75" t="s">
        <v>586</v>
      </c>
      <c r="O65" s="75" t="s">
        <v>586</v>
      </c>
      <c r="P65" s="75" t="s">
        <v>586</v>
      </c>
      <c r="Q65" s="75" t="s">
        <v>586</v>
      </c>
      <c r="R65" s="75" t="s">
        <v>586</v>
      </c>
      <c r="S65" s="75" t="s">
        <v>586</v>
      </c>
      <c r="T65" s="75" t="s">
        <v>586</v>
      </c>
      <c r="U65" s="75" t="s">
        <v>586</v>
      </c>
      <c r="V65" s="75" t="s">
        <v>586</v>
      </c>
      <c r="W65" s="75" t="s">
        <v>586</v>
      </c>
      <c r="X65" s="75" t="s">
        <v>586</v>
      </c>
      <c r="Y65" s="75" t="s">
        <v>586</v>
      </c>
      <c r="Z65" s="75" t="s">
        <v>586</v>
      </c>
      <c r="AA65" s="75" t="s">
        <v>586</v>
      </c>
      <c r="AB65" s="75" t="s">
        <v>586</v>
      </c>
      <c r="AC65" s="75" t="s">
        <v>586</v>
      </c>
      <c r="AD65" s="75" t="s">
        <v>586</v>
      </c>
      <c r="AE65" s="189"/>
      <c r="AF65" s="189"/>
    </row>
    <row r="66" spans="1:35" ht="100.15" customHeight="1" x14ac:dyDescent="0.25">
      <c r="A66" s="620" t="s">
        <v>914</v>
      </c>
      <c r="B66" s="151" t="s">
        <v>13</v>
      </c>
      <c r="C66" s="40" t="s">
        <v>14</v>
      </c>
      <c r="D66" s="40" t="s">
        <v>15</v>
      </c>
      <c r="E66" s="41" t="s">
        <v>16</v>
      </c>
      <c r="F66" s="289" t="s">
        <v>17</v>
      </c>
      <c r="G66" s="40" t="s">
        <v>70</v>
      </c>
      <c r="H66" s="40" t="s">
        <v>71</v>
      </c>
      <c r="I66" s="40" t="s">
        <v>72</v>
      </c>
      <c r="J66" s="40" t="s">
        <v>2</v>
      </c>
      <c r="K66" s="40" t="s">
        <v>73</v>
      </c>
      <c r="L66" s="42" t="s">
        <v>74</v>
      </c>
      <c r="M66" s="42" t="s">
        <v>75</v>
      </c>
      <c r="N66" s="40" t="s">
        <v>76</v>
      </c>
      <c r="O66" s="40" t="s">
        <v>77</v>
      </c>
      <c r="P66" s="40" t="s">
        <v>78</v>
      </c>
      <c r="Q66" s="40" t="s">
        <v>79</v>
      </c>
      <c r="R66" s="40" t="s">
        <v>80</v>
      </c>
      <c r="S66" s="40" t="s">
        <v>81</v>
      </c>
      <c r="T66" s="40" t="s">
        <v>82</v>
      </c>
      <c r="U66" s="40" t="s">
        <v>83</v>
      </c>
      <c r="V66" s="40" t="s">
        <v>84</v>
      </c>
      <c r="W66" s="40" t="s">
        <v>3</v>
      </c>
      <c r="X66" s="40" t="s">
        <v>85</v>
      </c>
      <c r="Y66" s="40" t="s">
        <v>86</v>
      </c>
      <c r="Z66" s="40" t="s">
        <v>87</v>
      </c>
      <c r="AA66" s="40" t="s">
        <v>88</v>
      </c>
      <c r="AB66" s="40" t="s">
        <v>89</v>
      </c>
      <c r="AC66" s="40" t="s">
        <v>90</v>
      </c>
      <c r="AD66" s="40" t="s">
        <v>91</v>
      </c>
      <c r="AE66" s="40" t="s">
        <v>92</v>
      </c>
      <c r="AF66" s="43" t="s">
        <v>93</v>
      </c>
    </row>
    <row r="67" spans="1:35" ht="19.899999999999999" customHeight="1" x14ac:dyDescent="0.25">
      <c r="A67" s="615"/>
      <c r="B67" s="152">
        <v>1</v>
      </c>
      <c r="C67" s="44" t="s">
        <v>47</v>
      </c>
      <c r="D67" s="45">
        <v>11</v>
      </c>
      <c r="E67" s="46" t="s">
        <v>48</v>
      </c>
      <c r="F67" s="290" t="s">
        <v>49</v>
      </c>
      <c r="G67" s="47" t="s">
        <v>50</v>
      </c>
      <c r="H67" s="47">
        <v>36</v>
      </c>
      <c r="I67" s="47" t="s">
        <v>94</v>
      </c>
      <c r="J67" s="47" t="s">
        <v>95</v>
      </c>
      <c r="K67" s="47" t="s">
        <v>96</v>
      </c>
      <c r="L67" s="48" t="s">
        <v>97</v>
      </c>
      <c r="M67" s="48" t="s">
        <v>98</v>
      </c>
      <c r="N67" s="47" t="s">
        <v>99</v>
      </c>
      <c r="O67" s="47">
        <v>53</v>
      </c>
      <c r="P67" s="47">
        <v>54</v>
      </c>
      <c r="Q67" s="47" t="s">
        <v>913</v>
      </c>
      <c r="R67" s="47" t="s">
        <v>100</v>
      </c>
      <c r="S67" s="47" t="s">
        <v>101</v>
      </c>
      <c r="T67" s="47" t="s">
        <v>57</v>
      </c>
      <c r="U67" s="47" t="s">
        <v>102</v>
      </c>
      <c r="V67" s="47" t="s">
        <v>103</v>
      </c>
      <c r="W67" s="47" t="s">
        <v>104</v>
      </c>
      <c r="X67" s="47" t="s">
        <v>105</v>
      </c>
      <c r="Y67" s="47" t="s">
        <v>106</v>
      </c>
      <c r="Z67" s="47" t="s">
        <v>107</v>
      </c>
      <c r="AA67" s="47" t="s">
        <v>108</v>
      </c>
      <c r="AB67" s="45" t="s">
        <v>109</v>
      </c>
      <c r="AC67" s="47" t="s">
        <v>110</v>
      </c>
      <c r="AD67" s="45">
        <v>120</v>
      </c>
      <c r="AE67" s="45">
        <v>121</v>
      </c>
      <c r="AF67" s="49" t="s">
        <v>111</v>
      </c>
    </row>
    <row r="68" spans="1:35" ht="30" customHeight="1" outlineLevel="1" x14ac:dyDescent="0.25">
      <c r="A68" s="615"/>
      <c r="B68" s="152">
        <v>1</v>
      </c>
      <c r="C68" s="45">
        <v>9</v>
      </c>
      <c r="D68" s="45">
        <v>1</v>
      </c>
      <c r="E68" s="50">
        <v>13</v>
      </c>
      <c r="F68" s="291">
        <v>2</v>
      </c>
      <c r="G68" s="45">
        <v>9</v>
      </c>
      <c r="H68" s="45">
        <v>1</v>
      </c>
      <c r="I68" s="45">
        <v>2</v>
      </c>
      <c r="J68" s="45">
        <v>2</v>
      </c>
      <c r="K68" s="45">
        <v>3</v>
      </c>
      <c r="L68" s="51">
        <v>6</v>
      </c>
      <c r="M68" s="51">
        <v>1</v>
      </c>
      <c r="N68" s="45">
        <v>2</v>
      </c>
      <c r="O68" s="45">
        <v>1</v>
      </c>
      <c r="P68" s="45">
        <v>1</v>
      </c>
      <c r="Q68" s="45">
        <v>9</v>
      </c>
      <c r="R68" s="45">
        <v>2</v>
      </c>
      <c r="S68" s="45">
        <v>2</v>
      </c>
      <c r="T68" s="45">
        <v>6</v>
      </c>
      <c r="U68" s="45">
        <v>5</v>
      </c>
      <c r="V68" s="45">
        <v>2</v>
      </c>
      <c r="W68" s="45">
        <v>6</v>
      </c>
      <c r="X68" s="45">
        <v>2</v>
      </c>
      <c r="Y68" s="45">
        <v>7</v>
      </c>
      <c r="Z68" s="45">
        <v>7</v>
      </c>
      <c r="AA68" s="45">
        <v>3</v>
      </c>
      <c r="AB68" s="45">
        <v>7</v>
      </c>
      <c r="AC68" s="45">
        <v>7</v>
      </c>
      <c r="AD68" s="45">
        <v>1</v>
      </c>
      <c r="AE68" s="45">
        <v>1</v>
      </c>
      <c r="AF68" s="49">
        <v>7</v>
      </c>
    </row>
    <row r="69" spans="1:35" ht="30" customHeight="1" outlineLevel="1" x14ac:dyDescent="0.25">
      <c r="A69" s="615"/>
      <c r="B69" s="152" t="s">
        <v>1</v>
      </c>
      <c r="C69" s="45" t="s">
        <v>1</v>
      </c>
      <c r="D69" s="45" t="s">
        <v>69</v>
      </c>
      <c r="E69" s="50" t="s">
        <v>69</v>
      </c>
      <c r="F69" s="291" t="s">
        <v>1</v>
      </c>
      <c r="G69" s="45" t="s">
        <v>1</v>
      </c>
      <c r="H69" s="45" t="s">
        <v>69</v>
      </c>
      <c r="I69" s="45" t="s">
        <v>1</v>
      </c>
      <c r="J69" s="45" t="s">
        <v>1</v>
      </c>
      <c r="K69" s="45" t="s">
        <v>1</v>
      </c>
      <c r="L69" s="52" t="s">
        <v>1</v>
      </c>
      <c r="M69" s="52" t="s">
        <v>1</v>
      </c>
      <c r="N69" s="45" t="s">
        <v>69</v>
      </c>
      <c r="O69" s="45" t="s">
        <v>69</v>
      </c>
      <c r="P69" s="53" t="s">
        <v>69</v>
      </c>
      <c r="Q69" s="45" t="s">
        <v>1</v>
      </c>
      <c r="R69" s="45" t="s">
        <v>1</v>
      </c>
      <c r="S69" s="45" t="s">
        <v>1</v>
      </c>
      <c r="T69" s="45" t="s">
        <v>1</v>
      </c>
      <c r="U69" s="45" t="s">
        <v>69</v>
      </c>
      <c r="V69" s="45" t="s">
        <v>1</v>
      </c>
      <c r="W69" s="45" t="s">
        <v>1</v>
      </c>
      <c r="X69" s="45" t="s">
        <v>1</v>
      </c>
      <c r="Y69" s="45" t="s">
        <v>1</v>
      </c>
      <c r="Z69" s="45" t="s">
        <v>1</v>
      </c>
      <c r="AA69" s="45" t="s">
        <v>1</v>
      </c>
      <c r="AB69" s="45" t="s">
        <v>1</v>
      </c>
      <c r="AC69" s="45" t="s">
        <v>1</v>
      </c>
      <c r="AD69" s="45" t="s">
        <v>69</v>
      </c>
      <c r="AE69" s="45" t="s">
        <v>1</v>
      </c>
      <c r="AF69" s="49" t="s">
        <v>1</v>
      </c>
      <c r="AG69" s="2"/>
    </row>
    <row r="70" spans="1:35" ht="30" customHeight="1" outlineLevel="1" x14ac:dyDescent="0.25">
      <c r="A70" s="615"/>
      <c r="B70" s="152" t="s">
        <v>0</v>
      </c>
      <c r="C70" s="45" t="s">
        <v>0</v>
      </c>
      <c r="D70" s="45" t="s">
        <v>4</v>
      </c>
      <c r="E70" s="50" t="s">
        <v>0</v>
      </c>
      <c r="F70" s="291" t="s">
        <v>0</v>
      </c>
      <c r="G70" s="45" t="s">
        <v>0</v>
      </c>
      <c r="H70" s="45" t="s">
        <v>4</v>
      </c>
      <c r="I70" s="45" t="s">
        <v>4</v>
      </c>
      <c r="J70" s="45" t="s">
        <v>4</v>
      </c>
      <c r="K70" s="45" t="s">
        <v>4</v>
      </c>
      <c r="L70" s="52" t="s">
        <v>4</v>
      </c>
      <c r="M70" s="52" t="s">
        <v>0</v>
      </c>
      <c r="N70" s="45" t="s">
        <v>4</v>
      </c>
      <c r="O70" s="45" t="s">
        <v>4</v>
      </c>
      <c r="P70" s="45" t="s">
        <v>4</v>
      </c>
      <c r="Q70" s="45" t="s">
        <v>4</v>
      </c>
      <c r="R70" s="45" t="s">
        <v>4</v>
      </c>
      <c r="S70" s="45" t="s">
        <v>112</v>
      </c>
      <c r="T70" s="45" t="s">
        <v>0</v>
      </c>
      <c r="U70" s="45" t="s">
        <v>0</v>
      </c>
      <c r="V70" s="45" t="s">
        <v>0</v>
      </c>
      <c r="W70" s="45" t="s">
        <v>0</v>
      </c>
      <c r="X70" s="45" t="s">
        <v>0</v>
      </c>
      <c r="Y70" s="45" t="s">
        <v>0</v>
      </c>
      <c r="Z70" s="45" t="s">
        <v>0</v>
      </c>
      <c r="AA70" s="45" t="s">
        <v>0</v>
      </c>
      <c r="AB70" s="45" t="s">
        <v>0</v>
      </c>
      <c r="AC70" s="45" t="s">
        <v>0</v>
      </c>
      <c r="AD70" s="45" t="s">
        <v>4</v>
      </c>
      <c r="AE70" s="45" t="s">
        <v>4</v>
      </c>
      <c r="AF70" s="49" t="s">
        <v>4</v>
      </c>
    </row>
    <row r="71" spans="1:35" s="76" customFormat="1" ht="30" customHeight="1" thickBot="1" x14ac:dyDescent="0.3">
      <c r="A71" s="616"/>
      <c r="B71" s="149" t="s">
        <v>10</v>
      </c>
      <c r="C71" s="54" t="s">
        <v>544</v>
      </c>
      <c r="D71" s="55" t="s">
        <v>8</v>
      </c>
      <c r="E71" s="54" t="s">
        <v>198</v>
      </c>
      <c r="F71" s="288">
        <v>77</v>
      </c>
      <c r="G71" s="54">
        <v>250000001</v>
      </c>
      <c r="H71" s="193" t="s">
        <v>8</v>
      </c>
      <c r="I71" s="193" t="s">
        <v>5</v>
      </c>
      <c r="J71" s="55" t="s">
        <v>5</v>
      </c>
      <c r="K71" s="55" t="s">
        <v>6</v>
      </c>
      <c r="L71" s="55" t="s">
        <v>208</v>
      </c>
      <c r="M71" s="193" t="s">
        <v>397</v>
      </c>
      <c r="N71" s="55" t="s">
        <v>210</v>
      </c>
      <c r="O71" s="55" t="s">
        <v>8</v>
      </c>
      <c r="P71" s="55" t="s">
        <v>8</v>
      </c>
      <c r="Q71" s="54" t="s">
        <v>544</v>
      </c>
      <c r="R71" s="55" t="s">
        <v>5</v>
      </c>
      <c r="S71" s="55" t="s">
        <v>5</v>
      </c>
      <c r="T71" s="55" t="s">
        <v>756</v>
      </c>
      <c r="U71" s="228" t="s">
        <v>395</v>
      </c>
      <c r="V71" s="95" t="s">
        <v>202</v>
      </c>
      <c r="W71" s="54" t="s">
        <v>590</v>
      </c>
      <c r="X71" s="33" t="s">
        <v>649</v>
      </c>
      <c r="Y71" s="96" t="s">
        <v>802</v>
      </c>
      <c r="Z71" s="96" t="s">
        <v>802</v>
      </c>
      <c r="AA71" s="97" t="s">
        <v>592</v>
      </c>
      <c r="AB71" s="96" t="s">
        <v>803</v>
      </c>
      <c r="AC71" s="96" t="s">
        <v>802</v>
      </c>
      <c r="AD71" s="55" t="s">
        <v>8</v>
      </c>
      <c r="AE71" s="193" t="s">
        <v>200</v>
      </c>
      <c r="AF71" s="82" t="s">
        <v>212</v>
      </c>
      <c r="AG71" s="188" t="s">
        <v>589</v>
      </c>
    </row>
    <row r="72" spans="1:35" s="75" customFormat="1" ht="15.75" thickBot="1" x14ac:dyDescent="0.3">
      <c r="B72" s="150" t="s">
        <v>586</v>
      </c>
      <c r="C72" s="75" t="s">
        <v>586</v>
      </c>
      <c r="D72" s="75" t="s">
        <v>586</v>
      </c>
      <c r="E72" s="75" t="s">
        <v>586</v>
      </c>
      <c r="F72" s="276" t="s">
        <v>586</v>
      </c>
      <c r="G72" s="75" t="s">
        <v>586</v>
      </c>
      <c r="H72" s="75" t="s">
        <v>586</v>
      </c>
      <c r="I72" s="75" t="s">
        <v>586</v>
      </c>
      <c r="J72" s="75" t="s">
        <v>586</v>
      </c>
      <c r="K72" s="75" t="s">
        <v>586</v>
      </c>
      <c r="L72" s="75" t="s">
        <v>586</v>
      </c>
      <c r="M72" s="75" t="s">
        <v>586</v>
      </c>
      <c r="N72" s="75" t="s">
        <v>586</v>
      </c>
      <c r="O72" s="75" t="s">
        <v>586</v>
      </c>
      <c r="P72" s="75" t="s">
        <v>586</v>
      </c>
      <c r="Q72" s="75" t="s">
        <v>586</v>
      </c>
      <c r="R72" s="75" t="s">
        <v>586</v>
      </c>
      <c r="S72" s="75" t="s">
        <v>586</v>
      </c>
      <c r="T72" s="75" t="s">
        <v>586</v>
      </c>
      <c r="U72" s="75" t="s">
        <v>586</v>
      </c>
      <c r="V72" s="75" t="s">
        <v>586</v>
      </c>
      <c r="W72" s="75" t="s">
        <v>586</v>
      </c>
      <c r="X72" s="75" t="s">
        <v>586</v>
      </c>
      <c r="Y72" s="75" t="s">
        <v>586</v>
      </c>
      <c r="Z72" s="75" t="s">
        <v>586</v>
      </c>
      <c r="AA72" s="75" t="s">
        <v>586</v>
      </c>
      <c r="AB72" s="75" t="s">
        <v>586</v>
      </c>
      <c r="AC72" s="75" t="s">
        <v>586</v>
      </c>
      <c r="AD72" s="75" t="s">
        <v>586</v>
      </c>
      <c r="AE72" s="75" t="s">
        <v>586</v>
      </c>
      <c r="AF72" s="75" t="s">
        <v>586</v>
      </c>
    </row>
    <row r="73" spans="1:35" ht="100.15" customHeight="1" x14ac:dyDescent="0.25">
      <c r="A73" s="620" t="s">
        <v>915</v>
      </c>
      <c r="B73" s="151" t="s">
        <v>13</v>
      </c>
      <c r="C73" s="40" t="s">
        <v>14</v>
      </c>
      <c r="D73" s="40" t="s">
        <v>15</v>
      </c>
      <c r="E73" s="41" t="s">
        <v>16</v>
      </c>
      <c r="F73" s="289" t="s">
        <v>17</v>
      </c>
      <c r="G73" s="40" t="s">
        <v>70</v>
      </c>
      <c r="H73" s="40" t="s">
        <v>71</v>
      </c>
      <c r="I73" s="40" t="s">
        <v>72</v>
      </c>
      <c r="J73" s="40" t="s">
        <v>2</v>
      </c>
      <c r="K73" s="40" t="s">
        <v>73</v>
      </c>
      <c r="L73" s="42" t="s">
        <v>74</v>
      </c>
      <c r="M73" s="42" t="s">
        <v>75</v>
      </c>
      <c r="N73" s="40" t="s">
        <v>76</v>
      </c>
      <c r="O73" s="40" t="s">
        <v>77</v>
      </c>
      <c r="P73" s="40" t="s">
        <v>78</v>
      </c>
      <c r="Q73" s="40" t="s">
        <v>79</v>
      </c>
      <c r="R73" s="40" t="s">
        <v>80</v>
      </c>
      <c r="S73" s="40" t="s">
        <v>81</v>
      </c>
      <c r="T73" s="40" t="s">
        <v>82</v>
      </c>
      <c r="U73" s="40" t="s">
        <v>83</v>
      </c>
      <c r="V73" s="40" t="s">
        <v>84</v>
      </c>
      <c r="W73" s="40" t="s">
        <v>3</v>
      </c>
      <c r="X73" s="40" t="s">
        <v>85</v>
      </c>
      <c r="Y73" s="40" t="s">
        <v>86</v>
      </c>
      <c r="Z73" s="40" t="s">
        <v>87</v>
      </c>
      <c r="AA73" s="40" t="s">
        <v>88</v>
      </c>
      <c r="AB73" s="40" t="s">
        <v>89</v>
      </c>
      <c r="AC73" s="40" t="s">
        <v>90</v>
      </c>
      <c r="AD73" s="40" t="s">
        <v>91</v>
      </c>
      <c r="AE73" s="40" t="s">
        <v>92</v>
      </c>
      <c r="AF73" s="43" t="s">
        <v>93</v>
      </c>
    </row>
    <row r="74" spans="1:35" ht="19.899999999999999" customHeight="1" x14ac:dyDescent="0.25">
      <c r="A74" s="615"/>
      <c r="B74" s="152">
        <v>1</v>
      </c>
      <c r="C74" s="44" t="s">
        <v>47</v>
      </c>
      <c r="D74" s="45">
        <v>11</v>
      </c>
      <c r="E74" s="46" t="s">
        <v>48</v>
      </c>
      <c r="F74" s="290" t="s">
        <v>49</v>
      </c>
      <c r="G74" s="47" t="s">
        <v>50</v>
      </c>
      <c r="H74" s="47">
        <v>36</v>
      </c>
      <c r="I74" s="47" t="s">
        <v>94</v>
      </c>
      <c r="J74" s="47" t="s">
        <v>95</v>
      </c>
      <c r="K74" s="47" t="s">
        <v>96</v>
      </c>
      <c r="L74" s="48" t="s">
        <v>97</v>
      </c>
      <c r="M74" s="48" t="s">
        <v>98</v>
      </c>
      <c r="N74" s="47" t="s">
        <v>99</v>
      </c>
      <c r="O74" s="47">
        <v>53</v>
      </c>
      <c r="P74" s="47">
        <v>54</v>
      </c>
      <c r="Q74" s="47" t="s">
        <v>913</v>
      </c>
      <c r="R74" s="47" t="s">
        <v>100</v>
      </c>
      <c r="S74" s="47" t="s">
        <v>101</v>
      </c>
      <c r="T74" s="47" t="s">
        <v>57</v>
      </c>
      <c r="U74" s="47" t="s">
        <v>102</v>
      </c>
      <c r="V74" s="47" t="s">
        <v>103</v>
      </c>
      <c r="W74" s="47" t="s">
        <v>104</v>
      </c>
      <c r="X74" s="47" t="s">
        <v>105</v>
      </c>
      <c r="Y74" s="47" t="s">
        <v>106</v>
      </c>
      <c r="Z74" s="47" t="s">
        <v>107</v>
      </c>
      <c r="AA74" s="47" t="s">
        <v>108</v>
      </c>
      <c r="AB74" s="45" t="s">
        <v>109</v>
      </c>
      <c r="AC74" s="47" t="s">
        <v>110</v>
      </c>
      <c r="AD74" s="45">
        <v>120</v>
      </c>
      <c r="AE74" s="45">
        <v>121</v>
      </c>
      <c r="AF74" s="49" t="s">
        <v>111</v>
      </c>
    </row>
    <row r="75" spans="1:35" outlineLevel="1" x14ac:dyDescent="0.25">
      <c r="A75" s="615"/>
      <c r="B75" s="152">
        <v>1</v>
      </c>
      <c r="C75" s="45">
        <v>9</v>
      </c>
      <c r="D75" s="45">
        <v>1</v>
      </c>
      <c r="E75" s="50">
        <v>13</v>
      </c>
      <c r="F75" s="291">
        <v>2</v>
      </c>
      <c r="G75" s="45">
        <v>9</v>
      </c>
      <c r="H75" s="45">
        <v>1</v>
      </c>
      <c r="I75" s="45">
        <v>2</v>
      </c>
      <c r="J75" s="45">
        <v>2</v>
      </c>
      <c r="K75" s="45">
        <v>3</v>
      </c>
      <c r="L75" s="51">
        <v>6</v>
      </c>
      <c r="M75" s="51">
        <v>1</v>
      </c>
      <c r="N75" s="45">
        <v>2</v>
      </c>
      <c r="O75" s="45">
        <v>1</v>
      </c>
      <c r="P75" s="45">
        <v>1</v>
      </c>
      <c r="Q75" s="45">
        <v>9</v>
      </c>
      <c r="R75" s="45">
        <v>2</v>
      </c>
      <c r="S75" s="45">
        <v>2</v>
      </c>
      <c r="T75" s="45">
        <v>6</v>
      </c>
      <c r="U75" s="45">
        <v>5</v>
      </c>
      <c r="V75" s="45">
        <v>2</v>
      </c>
      <c r="W75" s="45">
        <v>6</v>
      </c>
      <c r="X75" s="45">
        <v>2</v>
      </c>
      <c r="Y75" s="45">
        <v>7</v>
      </c>
      <c r="Z75" s="45">
        <v>7</v>
      </c>
      <c r="AA75" s="45">
        <v>3</v>
      </c>
      <c r="AB75" s="45">
        <v>7</v>
      </c>
      <c r="AC75" s="45">
        <v>7</v>
      </c>
      <c r="AD75" s="45">
        <v>1</v>
      </c>
      <c r="AE75" s="45">
        <v>1</v>
      </c>
      <c r="AF75" s="49">
        <v>7</v>
      </c>
    </row>
    <row r="76" spans="1:35" outlineLevel="1" x14ac:dyDescent="0.25">
      <c r="A76" s="615"/>
      <c r="B76" s="152" t="s">
        <v>1</v>
      </c>
      <c r="C76" s="45" t="s">
        <v>1</v>
      </c>
      <c r="D76" s="45" t="s">
        <v>69</v>
      </c>
      <c r="E76" s="50" t="s">
        <v>69</v>
      </c>
      <c r="F76" s="291" t="s">
        <v>1</v>
      </c>
      <c r="G76" s="45" t="s">
        <v>1</v>
      </c>
      <c r="H76" s="45" t="s">
        <v>69</v>
      </c>
      <c r="I76" s="45" t="s">
        <v>1</v>
      </c>
      <c r="J76" s="45" t="s">
        <v>1</v>
      </c>
      <c r="K76" s="45" t="s">
        <v>1</v>
      </c>
      <c r="L76" s="52" t="s">
        <v>1</v>
      </c>
      <c r="M76" s="52" t="s">
        <v>1</v>
      </c>
      <c r="N76" s="45" t="s">
        <v>69</v>
      </c>
      <c r="O76" s="45" t="s">
        <v>69</v>
      </c>
      <c r="P76" s="53" t="s">
        <v>69</v>
      </c>
      <c r="Q76" s="45" t="s">
        <v>1</v>
      </c>
      <c r="R76" s="45" t="s">
        <v>1</v>
      </c>
      <c r="S76" s="45" t="s">
        <v>1</v>
      </c>
      <c r="T76" s="45" t="s">
        <v>1</v>
      </c>
      <c r="U76" s="45" t="s">
        <v>69</v>
      </c>
      <c r="V76" s="45" t="s">
        <v>1</v>
      </c>
      <c r="W76" s="45" t="s">
        <v>1</v>
      </c>
      <c r="X76" s="45" t="s">
        <v>1</v>
      </c>
      <c r="Y76" s="45" t="s">
        <v>1</v>
      </c>
      <c r="Z76" s="45" t="s">
        <v>1</v>
      </c>
      <c r="AA76" s="45" t="s">
        <v>1</v>
      </c>
      <c r="AB76" s="45" t="s">
        <v>1</v>
      </c>
      <c r="AC76" s="45" t="s">
        <v>1</v>
      </c>
      <c r="AD76" s="45" t="s">
        <v>69</v>
      </c>
      <c r="AE76" s="45" t="s">
        <v>1</v>
      </c>
      <c r="AF76" s="49" t="s">
        <v>1</v>
      </c>
      <c r="AG76" s="2"/>
    </row>
    <row r="77" spans="1:35" outlineLevel="1" x14ac:dyDescent="0.25">
      <c r="A77" s="615"/>
      <c r="B77" s="152" t="s">
        <v>0</v>
      </c>
      <c r="C77" s="45" t="s">
        <v>0</v>
      </c>
      <c r="D77" s="45" t="s">
        <v>4</v>
      </c>
      <c r="E77" s="50" t="s">
        <v>0</v>
      </c>
      <c r="F77" s="291" t="s">
        <v>0</v>
      </c>
      <c r="G77" s="45" t="s">
        <v>0</v>
      </c>
      <c r="H77" s="45" t="s">
        <v>4</v>
      </c>
      <c r="I77" s="45" t="s">
        <v>4</v>
      </c>
      <c r="J77" s="45" t="s">
        <v>4</v>
      </c>
      <c r="K77" s="45" t="s">
        <v>4</v>
      </c>
      <c r="L77" s="52" t="s">
        <v>4</v>
      </c>
      <c r="M77" s="52" t="s">
        <v>0</v>
      </c>
      <c r="N77" s="45" t="s">
        <v>4</v>
      </c>
      <c r="O77" s="45" t="s">
        <v>4</v>
      </c>
      <c r="P77" s="45" t="s">
        <v>4</v>
      </c>
      <c r="Q77" s="45" t="s">
        <v>4</v>
      </c>
      <c r="R77" s="45" t="s">
        <v>4</v>
      </c>
      <c r="S77" s="45" t="s">
        <v>112</v>
      </c>
      <c r="T77" s="45" t="s">
        <v>0</v>
      </c>
      <c r="U77" s="45" t="s">
        <v>0</v>
      </c>
      <c r="V77" s="45" t="s">
        <v>0</v>
      </c>
      <c r="W77" s="45" t="s">
        <v>0</v>
      </c>
      <c r="X77" s="45" t="s">
        <v>0</v>
      </c>
      <c r="Y77" s="45" t="s">
        <v>0</v>
      </c>
      <c r="Z77" s="45" t="s">
        <v>0</v>
      </c>
      <c r="AA77" s="45" t="s">
        <v>0</v>
      </c>
      <c r="AB77" s="45" t="s">
        <v>0</v>
      </c>
      <c r="AC77" s="45" t="s">
        <v>0</v>
      </c>
      <c r="AD77" s="45" t="s">
        <v>4</v>
      </c>
      <c r="AE77" s="45" t="s">
        <v>4</v>
      </c>
      <c r="AF77" s="49" t="s">
        <v>4</v>
      </c>
    </row>
    <row r="78" spans="1:35" ht="30" customHeight="1" thickBot="1" x14ac:dyDescent="0.3">
      <c r="A78" s="616"/>
      <c r="B78" s="149" t="s">
        <v>10</v>
      </c>
      <c r="C78" s="54" t="s">
        <v>544</v>
      </c>
      <c r="D78" s="55" t="s">
        <v>8</v>
      </c>
      <c r="E78" s="54" t="s">
        <v>198</v>
      </c>
      <c r="F78" s="288">
        <v>77</v>
      </c>
      <c r="G78" s="54">
        <v>250000001</v>
      </c>
      <c r="H78" s="193" t="s">
        <v>8</v>
      </c>
      <c r="I78" s="193" t="s">
        <v>5</v>
      </c>
      <c r="J78" s="55" t="s">
        <v>5</v>
      </c>
      <c r="K78" s="55" t="s">
        <v>6</v>
      </c>
      <c r="L78" s="55" t="s">
        <v>208</v>
      </c>
      <c r="M78" s="193" t="s">
        <v>397</v>
      </c>
      <c r="N78" s="55" t="s">
        <v>210</v>
      </c>
      <c r="O78" s="55" t="s">
        <v>8</v>
      </c>
      <c r="P78" s="55" t="s">
        <v>8</v>
      </c>
      <c r="Q78" s="54" t="s">
        <v>544</v>
      </c>
      <c r="R78" s="55" t="s">
        <v>5</v>
      </c>
      <c r="S78" s="55" t="s">
        <v>5</v>
      </c>
      <c r="T78" s="33" t="s">
        <v>756</v>
      </c>
      <c r="U78" s="228" t="s">
        <v>243</v>
      </c>
      <c r="V78" s="55" t="s">
        <v>202</v>
      </c>
      <c r="W78" s="54" t="s">
        <v>590</v>
      </c>
      <c r="X78" s="33" t="s">
        <v>649</v>
      </c>
      <c r="Y78" s="54" t="s">
        <v>804</v>
      </c>
      <c r="Z78" s="96" t="s">
        <v>804</v>
      </c>
      <c r="AA78" s="54" t="s">
        <v>592</v>
      </c>
      <c r="AB78" s="54" t="s">
        <v>805</v>
      </c>
      <c r="AC78" s="54" t="s">
        <v>804</v>
      </c>
      <c r="AD78" s="55" t="s">
        <v>8</v>
      </c>
      <c r="AE78" s="193" t="s">
        <v>200</v>
      </c>
      <c r="AF78" s="82" t="s">
        <v>212</v>
      </c>
      <c r="AG78" s="188" t="s">
        <v>589</v>
      </c>
      <c r="AH78" s="76"/>
      <c r="AI78" s="76"/>
    </row>
    <row r="79" spans="1:35" s="75" customFormat="1" ht="15.75" thickBot="1" x14ac:dyDescent="0.3">
      <c r="B79" s="150" t="s">
        <v>586</v>
      </c>
      <c r="C79" s="75" t="s">
        <v>586</v>
      </c>
      <c r="D79" s="75" t="s">
        <v>586</v>
      </c>
      <c r="E79" s="75" t="s">
        <v>586</v>
      </c>
      <c r="F79" s="276" t="s">
        <v>586</v>
      </c>
      <c r="G79" s="75" t="s">
        <v>586</v>
      </c>
      <c r="H79" s="75" t="s">
        <v>586</v>
      </c>
      <c r="I79" s="75" t="s">
        <v>586</v>
      </c>
      <c r="J79" s="75" t="s">
        <v>586</v>
      </c>
      <c r="K79" s="75" t="s">
        <v>586</v>
      </c>
      <c r="L79" s="75" t="s">
        <v>586</v>
      </c>
      <c r="M79" s="75" t="s">
        <v>586</v>
      </c>
      <c r="N79" s="75" t="s">
        <v>586</v>
      </c>
      <c r="O79" s="75" t="s">
        <v>586</v>
      </c>
      <c r="P79" s="75" t="s">
        <v>586</v>
      </c>
      <c r="Q79" s="75" t="s">
        <v>586</v>
      </c>
      <c r="R79" s="75" t="s">
        <v>586</v>
      </c>
      <c r="S79" s="75" t="s">
        <v>586</v>
      </c>
      <c r="T79" s="75" t="s">
        <v>586</v>
      </c>
      <c r="U79" s="75" t="s">
        <v>586</v>
      </c>
      <c r="V79" s="75" t="s">
        <v>586</v>
      </c>
      <c r="W79" s="75" t="s">
        <v>586</v>
      </c>
      <c r="X79" s="75" t="s">
        <v>586</v>
      </c>
      <c r="Y79" s="75" t="s">
        <v>586</v>
      </c>
      <c r="Z79" s="75" t="s">
        <v>586</v>
      </c>
      <c r="AA79" s="75" t="s">
        <v>586</v>
      </c>
      <c r="AB79" s="75" t="s">
        <v>586</v>
      </c>
      <c r="AC79" s="75" t="s">
        <v>586</v>
      </c>
      <c r="AD79" s="75" t="s">
        <v>586</v>
      </c>
      <c r="AE79" s="75" t="s">
        <v>586</v>
      </c>
      <c r="AF79" s="75" t="s">
        <v>586</v>
      </c>
    </row>
    <row r="80" spans="1:35" ht="100.15" customHeight="1" x14ac:dyDescent="0.25">
      <c r="A80" s="620" t="s">
        <v>916</v>
      </c>
      <c r="B80" s="151" t="s">
        <v>13</v>
      </c>
      <c r="C80" s="40" t="s">
        <v>14</v>
      </c>
      <c r="D80" s="40" t="s">
        <v>15</v>
      </c>
      <c r="E80" s="41" t="s">
        <v>16</v>
      </c>
      <c r="F80" s="289" t="s">
        <v>17</v>
      </c>
      <c r="G80" s="40" t="s">
        <v>70</v>
      </c>
      <c r="H80" s="40" t="s">
        <v>71</v>
      </c>
      <c r="I80" s="40" t="s">
        <v>72</v>
      </c>
      <c r="J80" s="40" t="s">
        <v>2</v>
      </c>
      <c r="K80" s="40" t="s">
        <v>73</v>
      </c>
      <c r="L80" s="42" t="s">
        <v>74</v>
      </c>
      <c r="M80" s="42" t="s">
        <v>75</v>
      </c>
      <c r="N80" s="40" t="s">
        <v>76</v>
      </c>
      <c r="O80" s="40" t="s">
        <v>77</v>
      </c>
      <c r="P80" s="40" t="s">
        <v>78</v>
      </c>
      <c r="Q80" s="40" t="s">
        <v>79</v>
      </c>
      <c r="R80" s="40" t="s">
        <v>80</v>
      </c>
      <c r="S80" s="40" t="s">
        <v>81</v>
      </c>
      <c r="T80" s="40" t="s">
        <v>82</v>
      </c>
      <c r="U80" s="40" t="s">
        <v>83</v>
      </c>
      <c r="V80" s="40" t="s">
        <v>84</v>
      </c>
      <c r="W80" s="40" t="s">
        <v>3</v>
      </c>
      <c r="X80" s="40" t="s">
        <v>85</v>
      </c>
      <c r="Y80" s="40" t="s">
        <v>86</v>
      </c>
      <c r="Z80" s="40" t="s">
        <v>87</v>
      </c>
      <c r="AA80" s="40" t="s">
        <v>88</v>
      </c>
      <c r="AB80" s="40" t="s">
        <v>89</v>
      </c>
      <c r="AC80" s="40" t="s">
        <v>90</v>
      </c>
      <c r="AD80" s="40" t="s">
        <v>91</v>
      </c>
      <c r="AE80" s="40" t="s">
        <v>92</v>
      </c>
      <c r="AF80" s="43" t="s">
        <v>93</v>
      </c>
    </row>
    <row r="81" spans="1:35" ht="19.899999999999999" customHeight="1" x14ac:dyDescent="0.25">
      <c r="A81" s="615"/>
      <c r="B81" s="152">
        <v>1</v>
      </c>
      <c r="C81" s="44" t="s">
        <v>47</v>
      </c>
      <c r="D81" s="45">
        <v>11</v>
      </c>
      <c r="E81" s="46" t="s">
        <v>48</v>
      </c>
      <c r="F81" s="290" t="s">
        <v>49</v>
      </c>
      <c r="G81" s="47" t="s">
        <v>50</v>
      </c>
      <c r="H81" s="47">
        <v>36</v>
      </c>
      <c r="I81" s="47" t="s">
        <v>94</v>
      </c>
      <c r="J81" s="47" t="s">
        <v>95</v>
      </c>
      <c r="K81" s="47" t="s">
        <v>96</v>
      </c>
      <c r="L81" s="48" t="s">
        <v>97</v>
      </c>
      <c r="M81" s="48" t="s">
        <v>98</v>
      </c>
      <c r="N81" s="47" t="s">
        <v>99</v>
      </c>
      <c r="O81" s="47">
        <v>53</v>
      </c>
      <c r="P81" s="47">
        <v>54</v>
      </c>
      <c r="Q81" s="47" t="s">
        <v>913</v>
      </c>
      <c r="R81" s="47" t="s">
        <v>100</v>
      </c>
      <c r="S81" s="47" t="s">
        <v>101</v>
      </c>
      <c r="T81" s="47" t="s">
        <v>57</v>
      </c>
      <c r="U81" s="47" t="s">
        <v>102</v>
      </c>
      <c r="V81" s="47" t="s">
        <v>103</v>
      </c>
      <c r="W81" s="47" t="s">
        <v>104</v>
      </c>
      <c r="X81" s="47" t="s">
        <v>105</v>
      </c>
      <c r="Y81" s="47" t="s">
        <v>106</v>
      </c>
      <c r="Z81" s="47" t="s">
        <v>107</v>
      </c>
      <c r="AA81" s="47" t="s">
        <v>108</v>
      </c>
      <c r="AB81" s="45" t="s">
        <v>109</v>
      </c>
      <c r="AC81" s="47" t="s">
        <v>110</v>
      </c>
      <c r="AD81" s="45">
        <v>120</v>
      </c>
      <c r="AE81" s="45">
        <v>121</v>
      </c>
      <c r="AF81" s="49" t="s">
        <v>111</v>
      </c>
    </row>
    <row r="82" spans="1:35" outlineLevel="1" x14ac:dyDescent="0.25">
      <c r="A82" s="615"/>
      <c r="B82" s="152">
        <v>1</v>
      </c>
      <c r="C82" s="45">
        <v>9</v>
      </c>
      <c r="D82" s="45">
        <v>1</v>
      </c>
      <c r="E82" s="50">
        <v>13</v>
      </c>
      <c r="F82" s="291">
        <v>2</v>
      </c>
      <c r="G82" s="45">
        <v>9</v>
      </c>
      <c r="H82" s="45">
        <v>1</v>
      </c>
      <c r="I82" s="45">
        <v>2</v>
      </c>
      <c r="J82" s="45">
        <v>2</v>
      </c>
      <c r="K82" s="45">
        <v>3</v>
      </c>
      <c r="L82" s="51">
        <v>6</v>
      </c>
      <c r="M82" s="51">
        <v>1</v>
      </c>
      <c r="N82" s="45">
        <v>2</v>
      </c>
      <c r="O82" s="45">
        <v>1</v>
      </c>
      <c r="P82" s="45">
        <v>1</v>
      </c>
      <c r="Q82" s="45">
        <v>9</v>
      </c>
      <c r="R82" s="45">
        <v>2</v>
      </c>
      <c r="S82" s="45">
        <v>2</v>
      </c>
      <c r="T82" s="45">
        <v>6</v>
      </c>
      <c r="U82" s="45">
        <v>5</v>
      </c>
      <c r="V82" s="45">
        <v>2</v>
      </c>
      <c r="W82" s="45">
        <v>6</v>
      </c>
      <c r="X82" s="45">
        <v>2</v>
      </c>
      <c r="Y82" s="45">
        <v>7</v>
      </c>
      <c r="Z82" s="45">
        <v>7</v>
      </c>
      <c r="AA82" s="45">
        <v>3</v>
      </c>
      <c r="AB82" s="45">
        <v>7</v>
      </c>
      <c r="AC82" s="45">
        <v>7</v>
      </c>
      <c r="AD82" s="45">
        <v>1</v>
      </c>
      <c r="AE82" s="45">
        <v>1</v>
      </c>
      <c r="AF82" s="49">
        <v>7</v>
      </c>
      <c r="AG82" s="2"/>
    </row>
    <row r="83" spans="1:35" outlineLevel="1" x14ac:dyDescent="0.25">
      <c r="A83" s="615"/>
      <c r="B83" s="152" t="s">
        <v>1</v>
      </c>
      <c r="C83" s="45" t="s">
        <v>1</v>
      </c>
      <c r="D83" s="45" t="s">
        <v>69</v>
      </c>
      <c r="E83" s="50" t="s">
        <v>69</v>
      </c>
      <c r="F83" s="291" t="s">
        <v>1</v>
      </c>
      <c r="G83" s="45" t="s">
        <v>1</v>
      </c>
      <c r="H83" s="45" t="s">
        <v>69</v>
      </c>
      <c r="I83" s="45" t="s">
        <v>1</v>
      </c>
      <c r="J83" s="45" t="s">
        <v>1</v>
      </c>
      <c r="K83" s="45" t="s">
        <v>1</v>
      </c>
      <c r="L83" s="52" t="s">
        <v>1</v>
      </c>
      <c r="M83" s="52" t="s">
        <v>1</v>
      </c>
      <c r="N83" s="45" t="s">
        <v>69</v>
      </c>
      <c r="O83" s="45" t="s">
        <v>69</v>
      </c>
      <c r="P83" s="53" t="s">
        <v>69</v>
      </c>
      <c r="Q83" s="45" t="s">
        <v>1</v>
      </c>
      <c r="R83" s="45" t="s">
        <v>1</v>
      </c>
      <c r="S83" s="45" t="s">
        <v>1</v>
      </c>
      <c r="T83" s="45" t="s">
        <v>1</v>
      </c>
      <c r="U83" s="45" t="s">
        <v>69</v>
      </c>
      <c r="V83" s="45" t="s">
        <v>1</v>
      </c>
      <c r="W83" s="45" t="s">
        <v>1</v>
      </c>
      <c r="X83" s="45" t="s">
        <v>1</v>
      </c>
      <c r="Y83" s="45" t="s">
        <v>1</v>
      </c>
      <c r="Z83" s="45" t="s">
        <v>1</v>
      </c>
      <c r="AA83" s="45" t="s">
        <v>1</v>
      </c>
      <c r="AB83" s="45" t="s">
        <v>1</v>
      </c>
      <c r="AC83" s="45" t="s">
        <v>1</v>
      </c>
      <c r="AD83" s="45" t="s">
        <v>69</v>
      </c>
      <c r="AE83" s="45" t="s">
        <v>1</v>
      </c>
      <c r="AF83" s="49" t="s">
        <v>1</v>
      </c>
    </row>
    <row r="84" spans="1:35" outlineLevel="1" x14ac:dyDescent="0.25">
      <c r="A84" s="615"/>
      <c r="B84" s="152" t="s">
        <v>0</v>
      </c>
      <c r="C84" s="45" t="s">
        <v>0</v>
      </c>
      <c r="D84" s="45" t="s">
        <v>4</v>
      </c>
      <c r="E84" s="50" t="s">
        <v>0</v>
      </c>
      <c r="F84" s="291" t="s">
        <v>0</v>
      </c>
      <c r="G84" s="45" t="s">
        <v>0</v>
      </c>
      <c r="H84" s="45" t="s">
        <v>4</v>
      </c>
      <c r="I84" s="45" t="s">
        <v>4</v>
      </c>
      <c r="J84" s="45" t="s">
        <v>4</v>
      </c>
      <c r="K84" s="45" t="s">
        <v>4</v>
      </c>
      <c r="L84" s="52" t="s">
        <v>4</v>
      </c>
      <c r="M84" s="52" t="s">
        <v>0</v>
      </c>
      <c r="N84" s="45" t="s">
        <v>4</v>
      </c>
      <c r="O84" s="45" t="s">
        <v>4</v>
      </c>
      <c r="P84" s="45" t="s">
        <v>4</v>
      </c>
      <c r="Q84" s="45" t="s">
        <v>4</v>
      </c>
      <c r="R84" s="45" t="s">
        <v>4</v>
      </c>
      <c r="S84" s="45" t="s">
        <v>112</v>
      </c>
      <c r="T84" s="45" t="s">
        <v>0</v>
      </c>
      <c r="U84" s="45" t="s">
        <v>0</v>
      </c>
      <c r="V84" s="45" t="s">
        <v>0</v>
      </c>
      <c r="W84" s="45" t="s">
        <v>0</v>
      </c>
      <c r="X84" s="45" t="s">
        <v>0</v>
      </c>
      <c r="Y84" s="45" t="s">
        <v>0</v>
      </c>
      <c r="Z84" s="45" t="s">
        <v>0</v>
      </c>
      <c r="AA84" s="45" t="s">
        <v>0</v>
      </c>
      <c r="AB84" s="45" t="s">
        <v>0</v>
      </c>
      <c r="AC84" s="45" t="s">
        <v>0</v>
      </c>
      <c r="AD84" s="45" t="s">
        <v>4</v>
      </c>
      <c r="AE84" s="45" t="s">
        <v>4</v>
      </c>
      <c r="AF84" s="49" t="s">
        <v>4</v>
      </c>
    </row>
    <row r="85" spans="1:35" ht="30" customHeight="1" thickBot="1" x14ac:dyDescent="0.3">
      <c r="A85" s="616"/>
      <c r="B85" s="149" t="s">
        <v>10</v>
      </c>
      <c r="C85" s="54" t="s">
        <v>544</v>
      </c>
      <c r="D85" s="55" t="s">
        <v>8</v>
      </c>
      <c r="E85" s="54" t="s">
        <v>198</v>
      </c>
      <c r="F85" s="288">
        <v>77</v>
      </c>
      <c r="G85" s="54">
        <v>250000001</v>
      </c>
      <c r="H85" s="193" t="s">
        <v>8</v>
      </c>
      <c r="I85" s="193" t="s">
        <v>5</v>
      </c>
      <c r="J85" s="55" t="s">
        <v>5</v>
      </c>
      <c r="K85" s="55" t="s">
        <v>6</v>
      </c>
      <c r="L85" s="55" t="s">
        <v>208</v>
      </c>
      <c r="M85" s="193" t="s">
        <v>397</v>
      </c>
      <c r="N85" s="55" t="s">
        <v>210</v>
      </c>
      <c r="O85" s="55" t="s">
        <v>8</v>
      </c>
      <c r="P85" s="55" t="s">
        <v>8</v>
      </c>
      <c r="Q85" s="54" t="s">
        <v>544</v>
      </c>
      <c r="R85" s="55" t="s">
        <v>5</v>
      </c>
      <c r="S85" s="55" t="s">
        <v>5</v>
      </c>
      <c r="T85" s="33" t="s">
        <v>756</v>
      </c>
      <c r="U85" s="228" t="s">
        <v>279</v>
      </c>
      <c r="V85" s="33" t="s">
        <v>649</v>
      </c>
      <c r="W85" s="54" t="s">
        <v>590</v>
      </c>
      <c r="X85" s="33" t="s">
        <v>649</v>
      </c>
      <c r="Y85" s="54" t="s">
        <v>594</v>
      </c>
      <c r="Z85" s="96" t="s">
        <v>654</v>
      </c>
      <c r="AA85" s="54" t="s">
        <v>592</v>
      </c>
      <c r="AB85" s="54" t="s">
        <v>655</v>
      </c>
      <c r="AC85" s="54" t="s">
        <v>654</v>
      </c>
      <c r="AD85" s="55" t="s">
        <v>8</v>
      </c>
      <c r="AE85" s="193" t="s">
        <v>200</v>
      </c>
      <c r="AF85" s="82" t="s">
        <v>212</v>
      </c>
      <c r="AG85" s="188" t="s">
        <v>589</v>
      </c>
      <c r="AH85" s="76"/>
      <c r="AI85" s="76"/>
    </row>
    <row r="86" spans="1:35" s="75" customFormat="1" ht="15.75" thickBot="1" x14ac:dyDescent="0.3">
      <c r="B86" s="150" t="s">
        <v>586</v>
      </c>
      <c r="C86" s="75" t="s">
        <v>586</v>
      </c>
      <c r="D86" s="75" t="s">
        <v>586</v>
      </c>
      <c r="E86" s="75" t="s">
        <v>586</v>
      </c>
      <c r="F86" s="276" t="s">
        <v>586</v>
      </c>
      <c r="G86" s="75" t="s">
        <v>586</v>
      </c>
      <c r="H86" s="75" t="s">
        <v>586</v>
      </c>
      <c r="I86" s="75" t="s">
        <v>586</v>
      </c>
      <c r="J86" s="75" t="s">
        <v>586</v>
      </c>
      <c r="K86" s="75" t="s">
        <v>586</v>
      </c>
      <c r="L86" s="75" t="s">
        <v>586</v>
      </c>
      <c r="M86" s="75" t="s">
        <v>586</v>
      </c>
      <c r="N86" s="75" t="s">
        <v>586</v>
      </c>
      <c r="O86" s="75" t="s">
        <v>586</v>
      </c>
      <c r="P86" s="75" t="s">
        <v>586</v>
      </c>
      <c r="Q86" s="75" t="s">
        <v>586</v>
      </c>
      <c r="R86" s="75" t="s">
        <v>586</v>
      </c>
      <c r="S86" s="75" t="s">
        <v>586</v>
      </c>
      <c r="T86" s="75" t="s">
        <v>586</v>
      </c>
      <c r="U86" s="75" t="s">
        <v>586</v>
      </c>
      <c r="V86" s="75" t="s">
        <v>586</v>
      </c>
      <c r="W86" s="75" t="s">
        <v>586</v>
      </c>
      <c r="X86" s="75" t="s">
        <v>586</v>
      </c>
      <c r="Y86" s="75" t="s">
        <v>586</v>
      </c>
      <c r="Z86" s="75" t="s">
        <v>586</v>
      </c>
      <c r="AA86" s="75" t="s">
        <v>586</v>
      </c>
      <c r="AB86" s="75" t="s">
        <v>586</v>
      </c>
      <c r="AC86" s="75" t="s">
        <v>586</v>
      </c>
      <c r="AD86" s="75" t="s">
        <v>586</v>
      </c>
      <c r="AE86" s="75" t="s">
        <v>586</v>
      </c>
      <c r="AF86" s="75" t="s">
        <v>586</v>
      </c>
    </row>
    <row r="87" spans="1:35" ht="100.15" customHeight="1" x14ac:dyDescent="0.25">
      <c r="A87" s="620" t="s">
        <v>917</v>
      </c>
      <c r="B87" s="151" t="s">
        <v>13</v>
      </c>
      <c r="C87" s="40" t="s">
        <v>14</v>
      </c>
      <c r="D87" s="40" t="s">
        <v>15</v>
      </c>
      <c r="E87" s="41" t="s">
        <v>16</v>
      </c>
      <c r="F87" s="289" t="s">
        <v>17</v>
      </c>
      <c r="G87" s="40" t="s">
        <v>70</v>
      </c>
      <c r="H87" s="40" t="s">
        <v>71</v>
      </c>
      <c r="I87" s="40" t="s">
        <v>72</v>
      </c>
      <c r="J87" s="40" t="s">
        <v>2</v>
      </c>
      <c r="K87" s="40" t="s">
        <v>73</v>
      </c>
      <c r="L87" s="42" t="s">
        <v>74</v>
      </c>
      <c r="M87" s="42" t="s">
        <v>75</v>
      </c>
      <c r="N87" s="40" t="s">
        <v>76</v>
      </c>
      <c r="O87" s="40" t="s">
        <v>77</v>
      </c>
      <c r="P87" s="40" t="s">
        <v>78</v>
      </c>
      <c r="Q87" s="40" t="s">
        <v>79</v>
      </c>
      <c r="R87" s="40" t="s">
        <v>80</v>
      </c>
      <c r="S87" s="40" t="s">
        <v>81</v>
      </c>
      <c r="T87" s="40" t="s">
        <v>82</v>
      </c>
      <c r="U87" s="40" t="s">
        <v>83</v>
      </c>
      <c r="V87" s="40" t="s">
        <v>84</v>
      </c>
      <c r="W87" s="40" t="s">
        <v>3</v>
      </c>
      <c r="X87" s="40" t="s">
        <v>85</v>
      </c>
      <c r="Y87" s="40" t="s">
        <v>86</v>
      </c>
      <c r="Z87" s="40" t="s">
        <v>87</v>
      </c>
      <c r="AA87" s="40" t="s">
        <v>88</v>
      </c>
      <c r="AB87" s="40" t="s">
        <v>89</v>
      </c>
      <c r="AC87" s="40" t="s">
        <v>90</v>
      </c>
      <c r="AD87" s="40" t="s">
        <v>91</v>
      </c>
      <c r="AE87" s="40" t="s">
        <v>92</v>
      </c>
      <c r="AF87" s="43" t="s">
        <v>93</v>
      </c>
      <c r="AG87" s="2"/>
    </row>
    <row r="88" spans="1:35" ht="19.899999999999999" customHeight="1" x14ac:dyDescent="0.25">
      <c r="A88" s="615"/>
      <c r="B88" s="152">
        <v>1</v>
      </c>
      <c r="C88" s="44" t="s">
        <v>47</v>
      </c>
      <c r="D88" s="45">
        <v>11</v>
      </c>
      <c r="E88" s="46" t="s">
        <v>48</v>
      </c>
      <c r="F88" s="290" t="s">
        <v>49</v>
      </c>
      <c r="G88" s="47" t="s">
        <v>50</v>
      </c>
      <c r="H88" s="47">
        <v>36</v>
      </c>
      <c r="I88" s="47" t="s">
        <v>94</v>
      </c>
      <c r="J88" s="47" t="s">
        <v>95</v>
      </c>
      <c r="K88" s="47" t="s">
        <v>96</v>
      </c>
      <c r="L88" s="48" t="s">
        <v>97</v>
      </c>
      <c r="M88" s="48" t="s">
        <v>98</v>
      </c>
      <c r="N88" s="47" t="s">
        <v>99</v>
      </c>
      <c r="O88" s="47">
        <v>53</v>
      </c>
      <c r="P88" s="47">
        <v>54</v>
      </c>
      <c r="Q88" s="47" t="s">
        <v>913</v>
      </c>
      <c r="R88" s="47" t="s">
        <v>100</v>
      </c>
      <c r="S88" s="47" t="s">
        <v>101</v>
      </c>
      <c r="T88" s="47" t="s">
        <v>57</v>
      </c>
      <c r="U88" s="47" t="s">
        <v>102</v>
      </c>
      <c r="V88" s="47" t="s">
        <v>103</v>
      </c>
      <c r="W88" s="47" t="s">
        <v>104</v>
      </c>
      <c r="X88" s="47" t="s">
        <v>105</v>
      </c>
      <c r="Y88" s="47" t="s">
        <v>106</v>
      </c>
      <c r="Z88" s="47" t="s">
        <v>107</v>
      </c>
      <c r="AA88" s="47" t="s">
        <v>108</v>
      </c>
      <c r="AB88" s="45" t="s">
        <v>109</v>
      </c>
      <c r="AC88" s="47" t="s">
        <v>110</v>
      </c>
      <c r="AD88" s="45">
        <v>120</v>
      </c>
      <c r="AE88" s="45">
        <v>121</v>
      </c>
      <c r="AF88" s="49" t="s">
        <v>111</v>
      </c>
    </row>
    <row r="89" spans="1:35" outlineLevel="1" x14ac:dyDescent="0.25">
      <c r="A89" s="615"/>
      <c r="B89" s="152">
        <v>1</v>
      </c>
      <c r="C89" s="45">
        <v>9</v>
      </c>
      <c r="D89" s="45">
        <v>1</v>
      </c>
      <c r="E89" s="50">
        <v>13</v>
      </c>
      <c r="F89" s="291">
        <v>2</v>
      </c>
      <c r="G89" s="45">
        <v>9</v>
      </c>
      <c r="H89" s="45">
        <v>1</v>
      </c>
      <c r="I89" s="45">
        <v>2</v>
      </c>
      <c r="J89" s="45">
        <v>2</v>
      </c>
      <c r="K89" s="45">
        <v>3</v>
      </c>
      <c r="L89" s="51">
        <v>6</v>
      </c>
      <c r="M89" s="51">
        <v>1</v>
      </c>
      <c r="N89" s="45">
        <v>2</v>
      </c>
      <c r="O89" s="45">
        <v>1</v>
      </c>
      <c r="P89" s="45">
        <v>1</v>
      </c>
      <c r="Q89" s="45">
        <v>9</v>
      </c>
      <c r="R89" s="45">
        <v>2</v>
      </c>
      <c r="S89" s="45">
        <v>2</v>
      </c>
      <c r="T89" s="45">
        <v>6</v>
      </c>
      <c r="U89" s="45">
        <v>5</v>
      </c>
      <c r="V89" s="45">
        <v>2</v>
      </c>
      <c r="W89" s="45">
        <v>6</v>
      </c>
      <c r="X89" s="45">
        <v>2</v>
      </c>
      <c r="Y89" s="45">
        <v>7</v>
      </c>
      <c r="Z89" s="45">
        <v>7</v>
      </c>
      <c r="AA89" s="45">
        <v>3</v>
      </c>
      <c r="AB89" s="45">
        <v>7</v>
      </c>
      <c r="AC89" s="45">
        <v>7</v>
      </c>
      <c r="AD89" s="45">
        <v>1</v>
      </c>
      <c r="AE89" s="45">
        <v>1</v>
      </c>
      <c r="AF89" s="49">
        <v>7</v>
      </c>
    </row>
    <row r="90" spans="1:35" outlineLevel="1" x14ac:dyDescent="0.25">
      <c r="A90" s="615"/>
      <c r="B90" s="152" t="s">
        <v>1</v>
      </c>
      <c r="C90" s="45" t="s">
        <v>1</v>
      </c>
      <c r="D90" s="45" t="s">
        <v>69</v>
      </c>
      <c r="E90" s="50" t="s">
        <v>69</v>
      </c>
      <c r="F90" s="291" t="s">
        <v>1</v>
      </c>
      <c r="G90" s="45" t="s">
        <v>1</v>
      </c>
      <c r="H90" s="45" t="s">
        <v>69</v>
      </c>
      <c r="I90" s="45" t="s">
        <v>1</v>
      </c>
      <c r="J90" s="45" t="s">
        <v>1</v>
      </c>
      <c r="K90" s="45" t="s">
        <v>1</v>
      </c>
      <c r="L90" s="52" t="s">
        <v>1</v>
      </c>
      <c r="M90" s="52" t="s">
        <v>1</v>
      </c>
      <c r="N90" s="45" t="s">
        <v>69</v>
      </c>
      <c r="O90" s="45" t="s">
        <v>69</v>
      </c>
      <c r="P90" s="53" t="s">
        <v>69</v>
      </c>
      <c r="Q90" s="45" t="s">
        <v>1</v>
      </c>
      <c r="R90" s="45" t="s">
        <v>1</v>
      </c>
      <c r="S90" s="45" t="s">
        <v>1</v>
      </c>
      <c r="T90" s="45" t="s">
        <v>1</v>
      </c>
      <c r="U90" s="45" t="s">
        <v>69</v>
      </c>
      <c r="V90" s="45" t="s">
        <v>1</v>
      </c>
      <c r="W90" s="45" t="s">
        <v>1</v>
      </c>
      <c r="X90" s="45" t="s">
        <v>1</v>
      </c>
      <c r="Y90" s="45" t="s">
        <v>1</v>
      </c>
      <c r="Z90" s="45" t="s">
        <v>1</v>
      </c>
      <c r="AA90" s="45" t="s">
        <v>1</v>
      </c>
      <c r="AB90" s="45" t="s">
        <v>1</v>
      </c>
      <c r="AC90" s="45" t="s">
        <v>1</v>
      </c>
      <c r="AD90" s="45" t="s">
        <v>69</v>
      </c>
      <c r="AE90" s="45" t="s">
        <v>1</v>
      </c>
      <c r="AF90" s="49" t="s">
        <v>1</v>
      </c>
    </row>
    <row r="91" spans="1:35" outlineLevel="1" x14ac:dyDescent="0.25">
      <c r="A91" s="615"/>
      <c r="B91" s="152" t="s">
        <v>0</v>
      </c>
      <c r="C91" s="45" t="s">
        <v>0</v>
      </c>
      <c r="D91" s="45" t="s">
        <v>4</v>
      </c>
      <c r="E91" s="50" t="s">
        <v>0</v>
      </c>
      <c r="F91" s="291" t="s">
        <v>0</v>
      </c>
      <c r="G91" s="45" t="s">
        <v>0</v>
      </c>
      <c r="H91" s="45" t="s">
        <v>4</v>
      </c>
      <c r="I91" s="45" t="s">
        <v>4</v>
      </c>
      <c r="J91" s="45" t="s">
        <v>4</v>
      </c>
      <c r="K91" s="45" t="s">
        <v>4</v>
      </c>
      <c r="L91" s="52" t="s">
        <v>4</v>
      </c>
      <c r="M91" s="52" t="s">
        <v>0</v>
      </c>
      <c r="N91" s="45" t="s">
        <v>4</v>
      </c>
      <c r="O91" s="45" t="s">
        <v>4</v>
      </c>
      <c r="P91" s="45" t="s">
        <v>4</v>
      </c>
      <c r="Q91" s="45" t="s">
        <v>4</v>
      </c>
      <c r="R91" s="45" t="s">
        <v>4</v>
      </c>
      <c r="S91" s="45" t="s">
        <v>112</v>
      </c>
      <c r="T91" s="45" t="s">
        <v>0</v>
      </c>
      <c r="U91" s="45" t="s">
        <v>0</v>
      </c>
      <c r="V91" s="45" t="s">
        <v>0</v>
      </c>
      <c r="W91" s="45" t="s">
        <v>0</v>
      </c>
      <c r="X91" s="45" t="s">
        <v>0</v>
      </c>
      <c r="Y91" s="45" t="s">
        <v>0</v>
      </c>
      <c r="Z91" s="45" t="s">
        <v>0</v>
      </c>
      <c r="AA91" s="45" t="s">
        <v>0</v>
      </c>
      <c r="AB91" s="45" t="s">
        <v>0</v>
      </c>
      <c r="AC91" s="45" t="s">
        <v>0</v>
      </c>
      <c r="AD91" s="45" t="s">
        <v>4</v>
      </c>
      <c r="AE91" s="45" t="s">
        <v>4</v>
      </c>
      <c r="AF91" s="49" t="s">
        <v>4</v>
      </c>
    </row>
    <row r="92" spans="1:35" ht="30" customHeight="1" thickBot="1" x14ac:dyDescent="0.3">
      <c r="A92" s="616"/>
      <c r="B92" s="149" t="s">
        <v>10</v>
      </c>
      <c r="C92" s="54" t="s">
        <v>544</v>
      </c>
      <c r="D92" s="55" t="s">
        <v>8</v>
      </c>
      <c r="E92" s="54" t="s">
        <v>198</v>
      </c>
      <c r="F92" s="288">
        <v>77</v>
      </c>
      <c r="G92" s="54">
        <v>250000001</v>
      </c>
      <c r="H92" s="193" t="s">
        <v>8</v>
      </c>
      <c r="I92" s="193" t="s">
        <v>5</v>
      </c>
      <c r="J92" s="55" t="s">
        <v>5</v>
      </c>
      <c r="K92" s="55" t="s">
        <v>6</v>
      </c>
      <c r="L92" s="55" t="s">
        <v>208</v>
      </c>
      <c r="M92" s="193" t="s">
        <v>397</v>
      </c>
      <c r="N92" s="55" t="s">
        <v>210</v>
      </c>
      <c r="O92" s="55" t="s">
        <v>8</v>
      </c>
      <c r="P92" s="55" t="s">
        <v>8</v>
      </c>
      <c r="Q92" s="54" t="s">
        <v>544</v>
      </c>
      <c r="R92" s="55" t="s">
        <v>5</v>
      </c>
      <c r="S92" s="55" t="s">
        <v>5</v>
      </c>
      <c r="T92" s="33" t="s">
        <v>756</v>
      </c>
      <c r="U92" s="228" t="s">
        <v>244</v>
      </c>
      <c r="V92" s="33" t="s">
        <v>202</v>
      </c>
      <c r="W92" s="54" t="s">
        <v>590</v>
      </c>
      <c r="X92" s="33" t="s">
        <v>649</v>
      </c>
      <c r="Y92" s="54" t="s">
        <v>595</v>
      </c>
      <c r="Z92" s="96" t="s">
        <v>595</v>
      </c>
      <c r="AA92" s="54" t="s">
        <v>6</v>
      </c>
      <c r="AB92" s="54" t="s">
        <v>212</v>
      </c>
      <c r="AC92" s="54" t="s">
        <v>212</v>
      </c>
      <c r="AD92" s="193" t="s">
        <v>498</v>
      </c>
      <c r="AE92" s="193" t="s">
        <v>200</v>
      </c>
      <c r="AF92" s="54" t="s">
        <v>212</v>
      </c>
      <c r="AG92" s="188" t="s">
        <v>589</v>
      </c>
      <c r="AH92" s="76"/>
      <c r="AI92" s="76"/>
    </row>
    <row r="93" spans="1:35" s="75" customFormat="1" ht="15.75" thickBot="1" x14ac:dyDescent="0.3">
      <c r="B93" s="150" t="s">
        <v>586</v>
      </c>
      <c r="C93" s="75" t="s">
        <v>586</v>
      </c>
      <c r="D93" s="75" t="s">
        <v>586</v>
      </c>
      <c r="E93" s="75" t="s">
        <v>586</v>
      </c>
      <c r="F93" s="276" t="s">
        <v>586</v>
      </c>
      <c r="G93" s="75" t="s">
        <v>586</v>
      </c>
      <c r="H93" s="75" t="s">
        <v>586</v>
      </c>
      <c r="I93" s="75" t="s">
        <v>586</v>
      </c>
      <c r="J93" s="75" t="s">
        <v>586</v>
      </c>
      <c r="K93" s="75" t="s">
        <v>586</v>
      </c>
      <c r="L93" s="75" t="s">
        <v>586</v>
      </c>
      <c r="M93" s="75" t="s">
        <v>586</v>
      </c>
      <c r="N93" s="75" t="s">
        <v>586</v>
      </c>
      <c r="O93" s="75" t="s">
        <v>586</v>
      </c>
      <c r="P93" s="75" t="s">
        <v>586</v>
      </c>
      <c r="Q93" s="75" t="s">
        <v>586</v>
      </c>
      <c r="R93" s="75" t="s">
        <v>586</v>
      </c>
      <c r="S93" s="75" t="s">
        <v>586</v>
      </c>
      <c r="T93" s="75" t="s">
        <v>586</v>
      </c>
      <c r="U93" s="75" t="s">
        <v>586</v>
      </c>
      <c r="V93" s="75" t="s">
        <v>586</v>
      </c>
      <c r="W93" s="75" t="s">
        <v>586</v>
      </c>
      <c r="X93" s="75" t="s">
        <v>586</v>
      </c>
      <c r="Y93" s="75" t="s">
        <v>586</v>
      </c>
      <c r="Z93" s="75" t="s">
        <v>586</v>
      </c>
      <c r="AA93" s="75" t="s">
        <v>586</v>
      </c>
      <c r="AB93" s="75" t="s">
        <v>586</v>
      </c>
      <c r="AC93" s="75" t="s">
        <v>586</v>
      </c>
      <c r="AD93" s="75" t="s">
        <v>586</v>
      </c>
      <c r="AE93" s="75" t="s">
        <v>586</v>
      </c>
      <c r="AF93" s="75" t="s">
        <v>586</v>
      </c>
    </row>
    <row r="94" spans="1:35" ht="100.15" customHeight="1" x14ac:dyDescent="0.25">
      <c r="A94" s="620" t="s">
        <v>918</v>
      </c>
      <c r="B94" s="151" t="s">
        <v>13</v>
      </c>
      <c r="C94" s="40" t="s">
        <v>14</v>
      </c>
      <c r="D94" s="40" t="s">
        <v>15</v>
      </c>
      <c r="E94" s="41" t="s">
        <v>16</v>
      </c>
      <c r="F94" s="289" t="s">
        <v>17</v>
      </c>
      <c r="G94" s="40" t="s">
        <v>70</v>
      </c>
      <c r="H94" s="40" t="s">
        <v>71</v>
      </c>
      <c r="I94" s="40" t="s">
        <v>72</v>
      </c>
      <c r="J94" s="40" t="s">
        <v>2</v>
      </c>
      <c r="K94" s="40" t="s">
        <v>73</v>
      </c>
      <c r="L94" s="42" t="s">
        <v>74</v>
      </c>
      <c r="M94" s="42" t="s">
        <v>75</v>
      </c>
      <c r="N94" s="40" t="s">
        <v>76</v>
      </c>
      <c r="O94" s="40" t="s">
        <v>77</v>
      </c>
      <c r="P94" s="40" t="s">
        <v>78</v>
      </c>
      <c r="Q94" s="40" t="s">
        <v>79</v>
      </c>
      <c r="R94" s="40" t="s">
        <v>80</v>
      </c>
      <c r="S94" s="40" t="s">
        <v>81</v>
      </c>
      <c r="T94" s="40" t="s">
        <v>82</v>
      </c>
      <c r="U94" s="40" t="s">
        <v>83</v>
      </c>
      <c r="V94" s="40" t="s">
        <v>84</v>
      </c>
      <c r="W94" s="40" t="s">
        <v>3</v>
      </c>
      <c r="X94" s="40" t="s">
        <v>85</v>
      </c>
      <c r="Y94" s="40" t="s">
        <v>86</v>
      </c>
      <c r="Z94" s="40" t="s">
        <v>87</v>
      </c>
      <c r="AA94" s="40" t="s">
        <v>88</v>
      </c>
      <c r="AB94" s="40" t="s">
        <v>89</v>
      </c>
      <c r="AC94" s="40" t="s">
        <v>90</v>
      </c>
      <c r="AD94" s="40" t="s">
        <v>91</v>
      </c>
      <c r="AE94" s="40" t="s">
        <v>92</v>
      </c>
      <c r="AF94" s="43" t="s">
        <v>93</v>
      </c>
      <c r="AG94" s="2"/>
    </row>
    <row r="95" spans="1:35" ht="19.899999999999999" customHeight="1" x14ac:dyDescent="0.25">
      <c r="A95" s="615"/>
      <c r="B95" s="152">
        <v>1</v>
      </c>
      <c r="C95" s="44" t="s">
        <v>47</v>
      </c>
      <c r="D95" s="45">
        <v>11</v>
      </c>
      <c r="E95" s="46" t="s">
        <v>48</v>
      </c>
      <c r="F95" s="290" t="s">
        <v>49</v>
      </c>
      <c r="G95" s="47" t="s">
        <v>50</v>
      </c>
      <c r="H95" s="47">
        <v>36</v>
      </c>
      <c r="I95" s="47" t="s">
        <v>94</v>
      </c>
      <c r="J95" s="47" t="s">
        <v>95</v>
      </c>
      <c r="K95" s="47" t="s">
        <v>96</v>
      </c>
      <c r="L95" s="48" t="s">
        <v>97</v>
      </c>
      <c r="M95" s="48" t="s">
        <v>98</v>
      </c>
      <c r="N95" s="47" t="s">
        <v>99</v>
      </c>
      <c r="O95" s="47">
        <v>53</v>
      </c>
      <c r="P95" s="47">
        <v>54</v>
      </c>
      <c r="Q95" s="47" t="s">
        <v>913</v>
      </c>
      <c r="R95" s="47" t="s">
        <v>100</v>
      </c>
      <c r="S95" s="47" t="s">
        <v>101</v>
      </c>
      <c r="T95" s="47" t="s">
        <v>57</v>
      </c>
      <c r="U95" s="47" t="s">
        <v>102</v>
      </c>
      <c r="V95" s="47" t="s">
        <v>103</v>
      </c>
      <c r="W95" s="47" t="s">
        <v>104</v>
      </c>
      <c r="X95" s="47" t="s">
        <v>105</v>
      </c>
      <c r="Y95" s="47" t="s">
        <v>106</v>
      </c>
      <c r="Z95" s="47" t="s">
        <v>107</v>
      </c>
      <c r="AA95" s="47" t="s">
        <v>108</v>
      </c>
      <c r="AB95" s="45" t="s">
        <v>109</v>
      </c>
      <c r="AC95" s="47" t="s">
        <v>110</v>
      </c>
      <c r="AD95" s="45">
        <v>120</v>
      </c>
      <c r="AE95" s="45">
        <v>121</v>
      </c>
      <c r="AF95" s="49" t="s">
        <v>111</v>
      </c>
    </row>
    <row r="96" spans="1:35" outlineLevel="1" x14ac:dyDescent="0.25">
      <c r="A96" s="615"/>
      <c r="B96" s="152">
        <v>1</v>
      </c>
      <c r="C96" s="45">
        <v>9</v>
      </c>
      <c r="D96" s="45">
        <v>1</v>
      </c>
      <c r="E96" s="50">
        <v>13</v>
      </c>
      <c r="F96" s="291">
        <v>2</v>
      </c>
      <c r="G96" s="45">
        <v>9</v>
      </c>
      <c r="H96" s="45">
        <v>1</v>
      </c>
      <c r="I96" s="45">
        <v>2</v>
      </c>
      <c r="J96" s="45">
        <v>2</v>
      </c>
      <c r="K96" s="45">
        <v>3</v>
      </c>
      <c r="L96" s="51">
        <v>6</v>
      </c>
      <c r="M96" s="51">
        <v>1</v>
      </c>
      <c r="N96" s="45">
        <v>2</v>
      </c>
      <c r="O96" s="45">
        <v>1</v>
      </c>
      <c r="P96" s="45">
        <v>1</v>
      </c>
      <c r="Q96" s="45">
        <v>9</v>
      </c>
      <c r="R96" s="45">
        <v>2</v>
      </c>
      <c r="S96" s="45">
        <v>2</v>
      </c>
      <c r="T96" s="45">
        <v>6</v>
      </c>
      <c r="U96" s="45">
        <v>5</v>
      </c>
      <c r="V96" s="45">
        <v>2</v>
      </c>
      <c r="W96" s="45">
        <v>6</v>
      </c>
      <c r="X96" s="45">
        <v>2</v>
      </c>
      <c r="Y96" s="45">
        <v>7</v>
      </c>
      <c r="Z96" s="45">
        <v>7</v>
      </c>
      <c r="AA96" s="45">
        <v>3</v>
      </c>
      <c r="AB96" s="45">
        <v>7</v>
      </c>
      <c r="AC96" s="45">
        <v>7</v>
      </c>
      <c r="AD96" s="45">
        <v>1</v>
      </c>
      <c r="AE96" s="45">
        <v>1</v>
      </c>
      <c r="AF96" s="49">
        <v>7</v>
      </c>
    </row>
    <row r="97" spans="1:35" outlineLevel="1" x14ac:dyDescent="0.25">
      <c r="A97" s="615"/>
      <c r="B97" s="152" t="s">
        <v>1</v>
      </c>
      <c r="C97" s="45" t="s">
        <v>1</v>
      </c>
      <c r="D97" s="45" t="s">
        <v>69</v>
      </c>
      <c r="E97" s="50" t="s">
        <v>69</v>
      </c>
      <c r="F97" s="291" t="s">
        <v>1</v>
      </c>
      <c r="G97" s="45" t="s">
        <v>1</v>
      </c>
      <c r="H97" s="45" t="s">
        <v>69</v>
      </c>
      <c r="I97" s="45" t="s">
        <v>1</v>
      </c>
      <c r="J97" s="45" t="s">
        <v>1</v>
      </c>
      <c r="K97" s="45" t="s">
        <v>1</v>
      </c>
      <c r="L97" s="52" t="s">
        <v>1</v>
      </c>
      <c r="M97" s="52" t="s">
        <v>1</v>
      </c>
      <c r="N97" s="45" t="s">
        <v>69</v>
      </c>
      <c r="O97" s="45" t="s">
        <v>69</v>
      </c>
      <c r="P97" s="53" t="s">
        <v>69</v>
      </c>
      <c r="Q97" s="45" t="s">
        <v>1</v>
      </c>
      <c r="R97" s="45" t="s">
        <v>1</v>
      </c>
      <c r="S97" s="45" t="s">
        <v>1</v>
      </c>
      <c r="T97" s="45" t="s">
        <v>1</v>
      </c>
      <c r="U97" s="45" t="s">
        <v>69</v>
      </c>
      <c r="V97" s="45" t="s">
        <v>1</v>
      </c>
      <c r="W97" s="45" t="s">
        <v>1</v>
      </c>
      <c r="X97" s="45" t="s">
        <v>1</v>
      </c>
      <c r="Y97" s="45" t="s">
        <v>1</v>
      </c>
      <c r="Z97" s="45" t="s">
        <v>1</v>
      </c>
      <c r="AA97" s="45" t="s">
        <v>1</v>
      </c>
      <c r="AB97" s="45" t="s">
        <v>1</v>
      </c>
      <c r="AC97" s="45" t="s">
        <v>1</v>
      </c>
      <c r="AD97" s="45" t="s">
        <v>69</v>
      </c>
      <c r="AE97" s="45" t="s">
        <v>1</v>
      </c>
      <c r="AF97" s="49" t="s">
        <v>1</v>
      </c>
    </row>
    <row r="98" spans="1:35" outlineLevel="1" x14ac:dyDescent="0.25">
      <c r="A98" s="615"/>
      <c r="B98" s="152" t="s">
        <v>0</v>
      </c>
      <c r="C98" s="45" t="s">
        <v>0</v>
      </c>
      <c r="D98" s="45" t="s">
        <v>4</v>
      </c>
      <c r="E98" s="50" t="s">
        <v>0</v>
      </c>
      <c r="F98" s="291" t="s">
        <v>0</v>
      </c>
      <c r="G98" s="45" t="s">
        <v>0</v>
      </c>
      <c r="H98" s="45" t="s">
        <v>4</v>
      </c>
      <c r="I98" s="45" t="s">
        <v>4</v>
      </c>
      <c r="J98" s="45" t="s">
        <v>4</v>
      </c>
      <c r="K98" s="45" t="s">
        <v>4</v>
      </c>
      <c r="L98" s="52" t="s">
        <v>4</v>
      </c>
      <c r="M98" s="52" t="s">
        <v>0</v>
      </c>
      <c r="N98" s="45" t="s">
        <v>4</v>
      </c>
      <c r="O98" s="45" t="s">
        <v>4</v>
      </c>
      <c r="P98" s="45" t="s">
        <v>4</v>
      </c>
      <c r="Q98" s="45" t="s">
        <v>4</v>
      </c>
      <c r="R98" s="45" t="s">
        <v>4</v>
      </c>
      <c r="S98" s="45" t="s">
        <v>112</v>
      </c>
      <c r="T98" s="45" t="s">
        <v>0</v>
      </c>
      <c r="U98" s="45" t="s">
        <v>0</v>
      </c>
      <c r="V98" s="45" t="s">
        <v>0</v>
      </c>
      <c r="W98" s="45" t="s">
        <v>0</v>
      </c>
      <c r="X98" s="45" t="s">
        <v>0</v>
      </c>
      <c r="Y98" s="45" t="s">
        <v>0</v>
      </c>
      <c r="Z98" s="45" t="s">
        <v>0</v>
      </c>
      <c r="AA98" s="45" t="s">
        <v>0</v>
      </c>
      <c r="AB98" s="45" t="s">
        <v>0</v>
      </c>
      <c r="AC98" s="45" t="s">
        <v>0</v>
      </c>
      <c r="AD98" s="45" t="s">
        <v>4</v>
      </c>
      <c r="AE98" s="45" t="s">
        <v>4</v>
      </c>
      <c r="AF98" s="49" t="s">
        <v>4</v>
      </c>
    </row>
    <row r="99" spans="1:35" ht="30" customHeight="1" thickBot="1" x14ac:dyDescent="0.3">
      <c r="A99" s="616"/>
      <c r="B99" s="149" t="s">
        <v>10</v>
      </c>
      <c r="C99" s="54" t="s">
        <v>544</v>
      </c>
      <c r="D99" s="55" t="s">
        <v>8</v>
      </c>
      <c r="E99" s="54" t="s">
        <v>198</v>
      </c>
      <c r="F99" s="288">
        <v>77</v>
      </c>
      <c r="G99" s="54">
        <v>250000001</v>
      </c>
      <c r="H99" s="193" t="s">
        <v>8</v>
      </c>
      <c r="I99" s="193" t="s">
        <v>5</v>
      </c>
      <c r="J99" s="55" t="s">
        <v>5</v>
      </c>
      <c r="K99" s="55" t="s">
        <v>6</v>
      </c>
      <c r="L99" s="55" t="s">
        <v>208</v>
      </c>
      <c r="M99" s="193" t="s">
        <v>397</v>
      </c>
      <c r="N99" s="55" t="s">
        <v>210</v>
      </c>
      <c r="O99" s="55" t="s">
        <v>8</v>
      </c>
      <c r="P99" s="55" t="s">
        <v>8</v>
      </c>
      <c r="Q99" s="54" t="s">
        <v>544</v>
      </c>
      <c r="R99" s="55" t="s">
        <v>5</v>
      </c>
      <c r="S99" s="55" t="s">
        <v>5</v>
      </c>
      <c r="T99" s="33" t="s">
        <v>756</v>
      </c>
      <c r="U99" s="228" t="s">
        <v>245</v>
      </c>
      <c r="V99" s="33" t="s">
        <v>202</v>
      </c>
      <c r="W99" s="54" t="s">
        <v>590</v>
      </c>
      <c r="X99" s="33" t="s">
        <v>649</v>
      </c>
      <c r="Y99" s="54" t="s">
        <v>595</v>
      </c>
      <c r="Z99" s="96" t="s">
        <v>595</v>
      </c>
      <c r="AA99" s="54" t="s">
        <v>6</v>
      </c>
      <c r="AB99" s="54" t="s">
        <v>212</v>
      </c>
      <c r="AC99" s="54" t="s">
        <v>212</v>
      </c>
      <c r="AD99" s="193" t="s">
        <v>498</v>
      </c>
      <c r="AE99" s="193" t="s">
        <v>200</v>
      </c>
      <c r="AF99" s="54" t="s">
        <v>212</v>
      </c>
      <c r="AG99" s="188" t="s">
        <v>589</v>
      </c>
      <c r="AH99" s="76"/>
      <c r="AI99" s="76"/>
    </row>
    <row r="100" spans="1:35" s="75" customFormat="1" ht="15.75" thickBot="1" x14ac:dyDescent="0.3">
      <c r="B100" s="150" t="s">
        <v>586</v>
      </c>
      <c r="C100" s="75" t="s">
        <v>586</v>
      </c>
      <c r="D100" s="75" t="s">
        <v>586</v>
      </c>
      <c r="E100" s="75" t="s">
        <v>586</v>
      </c>
      <c r="F100" s="276" t="s">
        <v>586</v>
      </c>
      <c r="G100" s="75" t="s">
        <v>586</v>
      </c>
      <c r="H100" s="75" t="s">
        <v>586</v>
      </c>
      <c r="I100" s="75" t="s">
        <v>586</v>
      </c>
      <c r="J100" s="75" t="s">
        <v>586</v>
      </c>
      <c r="K100" s="75" t="s">
        <v>586</v>
      </c>
      <c r="L100" s="75" t="s">
        <v>586</v>
      </c>
      <c r="M100" s="75" t="s">
        <v>586</v>
      </c>
      <c r="N100" s="75" t="s">
        <v>586</v>
      </c>
      <c r="O100" s="75" t="s">
        <v>586</v>
      </c>
      <c r="P100" s="75" t="s">
        <v>586</v>
      </c>
      <c r="Q100" s="75" t="s">
        <v>586</v>
      </c>
      <c r="R100" s="75" t="s">
        <v>586</v>
      </c>
      <c r="S100" s="75" t="s">
        <v>586</v>
      </c>
      <c r="T100" s="75" t="s">
        <v>586</v>
      </c>
      <c r="U100" s="75" t="s">
        <v>586</v>
      </c>
      <c r="V100" s="75" t="s">
        <v>586</v>
      </c>
      <c r="W100" s="75" t="s">
        <v>586</v>
      </c>
      <c r="X100" s="75" t="s">
        <v>586</v>
      </c>
      <c r="Y100" s="75" t="s">
        <v>586</v>
      </c>
      <c r="Z100" s="75" t="s">
        <v>586</v>
      </c>
      <c r="AA100" s="75" t="s">
        <v>586</v>
      </c>
      <c r="AB100" s="75" t="s">
        <v>586</v>
      </c>
      <c r="AC100" s="75" t="s">
        <v>586</v>
      </c>
      <c r="AD100" s="75" t="s">
        <v>586</v>
      </c>
      <c r="AE100" s="75" t="s">
        <v>586</v>
      </c>
      <c r="AF100" s="75" t="s">
        <v>586</v>
      </c>
    </row>
    <row r="101" spans="1:35" ht="100.15" customHeight="1" x14ac:dyDescent="0.25">
      <c r="A101" s="620" t="s">
        <v>919</v>
      </c>
      <c r="B101" s="151" t="s">
        <v>13</v>
      </c>
      <c r="C101" s="40" t="s">
        <v>14</v>
      </c>
      <c r="D101" s="40" t="s">
        <v>15</v>
      </c>
      <c r="E101" s="41" t="s">
        <v>16</v>
      </c>
      <c r="F101" s="289" t="s">
        <v>17</v>
      </c>
      <c r="G101" s="40" t="s">
        <v>70</v>
      </c>
      <c r="H101" s="40" t="s">
        <v>71</v>
      </c>
      <c r="I101" s="40" t="s">
        <v>72</v>
      </c>
      <c r="J101" s="40" t="s">
        <v>2</v>
      </c>
      <c r="K101" s="40" t="s">
        <v>73</v>
      </c>
      <c r="L101" s="42" t="s">
        <v>74</v>
      </c>
      <c r="M101" s="42" t="s">
        <v>75</v>
      </c>
      <c r="N101" s="40" t="s">
        <v>76</v>
      </c>
      <c r="O101" s="40" t="s">
        <v>77</v>
      </c>
      <c r="P101" s="40" t="s">
        <v>78</v>
      </c>
      <c r="Q101" s="40" t="s">
        <v>79</v>
      </c>
      <c r="R101" s="40" t="s">
        <v>80</v>
      </c>
      <c r="S101" s="40" t="s">
        <v>81</v>
      </c>
      <c r="T101" s="40" t="s">
        <v>82</v>
      </c>
      <c r="U101" s="40" t="s">
        <v>83</v>
      </c>
      <c r="V101" s="40" t="s">
        <v>84</v>
      </c>
      <c r="W101" s="40" t="s">
        <v>3</v>
      </c>
      <c r="X101" s="40" t="s">
        <v>85</v>
      </c>
      <c r="Y101" s="40" t="s">
        <v>86</v>
      </c>
      <c r="Z101" s="40" t="s">
        <v>87</v>
      </c>
      <c r="AA101" s="40" t="s">
        <v>88</v>
      </c>
      <c r="AB101" s="40" t="s">
        <v>89</v>
      </c>
      <c r="AC101" s="40" t="s">
        <v>90</v>
      </c>
      <c r="AD101" s="40" t="s">
        <v>91</v>
      </c>
      <c r="AE101" s="40" t="s">
        <v>92</v>
      </c>
      <c r="AF101" s="43" t="s">
        <v>93</v>
      </c>
      <c r="AG101" s="2"/>
    </row>
    <row r="102" spans="1:35" ht="19.899999999999999" customHeight="1" x14ac:dyDescent="0.25">
      <c r="A102" s="615"/>
      <c r="B102" s="152">
        <v>1</v>
      </c>
      <c r="C102" s="44" t="s">
        <v>47</v>
      </c>
      <c r="D102" s="45">
        <v>11</v>
      </c>
      <c r="E102" s="46" t="s">
        <v>48</v>
      </c>
      <c r="F102" s="290" t="s">
        <v>49</v>
      </c>
      <c r="G102" s="47" t="s">
        <v>50</v>
      </c>
      <c r="H102" s="47">
        <v>36</v>
      </c>
      <c r="I102" s="47" t="s">
        <v>94</v>
      </c>
      <c r="J102" s="47" t="s">
        <v>95</v>
      </c>
      <c r="K102" s="47" t="s">
        <v>96</v>
      </c>
      <c r="L102" s="48" t="s">
        <v>97</v>
      </c>
      <c r="M102" s="48" t="s">
        <v>98</v>
      </c>
      <c r="N102" s="47" t="s">
        <v>99</v>
      </c>
      <c r="O102" s="47">
        <v>53</v>
      </c>
      <c r="P102" s="47">
        <v>54</v>
      </c>
      <c r="Q102" s="47" t="s">
        <v>913</v>
      </c>
      <c r="R102" s="47" t="s">
        <v>100</v>
      </c>
      <c r="S102" s="47" t="s">
        <v>101</v>
      </c>
      <c r="T102" s="47" t="s">
        <v>57</v>
      </c>
      <c r="U102" s="47" t="s">
        <v>102</v>
      </c>
      <c r="V102" s="47" t="s">
        <v>103</v>
      </c>
      <c r="W102" s="47" t="s">
        <v>104</v>
      </c>
      <c r="X102" s="47" t="s">
        <v>105</v>
      </c>
      <c r="Y102" s="47" t="s">
        <v>106</v>
      </c>
      <c r="Z102" s="47" t="s">
        <v>107</v>
      </c>
      <c r="AA102" s="47" t="s">
        <v>108</v>
      </c>
      <c r="AB102" s="45" t="s">
        <v>109</v>
      </c>
      <c r="AC102" s="47" t="s">
        <v>110</v>
      </c>
      <c r="AD102" s="45">
        <v>120</v>
      </c>
      <c r="AE102" s="45">
        <v>121</v>
      </c>
      <c r="AF102" s="49" t="s">
        <v>111</v>
      </c>
    </row>
    <row r="103" spans="1:35" outlineLevel="1" x14ac:dyDescent="0.25">
      <c r="A103" s="615"/>
      <c r="B103" s="152">
        <v>1</v>
      </c>
      <c r="C103" s="45">
        <v>9</v>
      </c>
      <c r="D103" s="45">
        <v>1</v>
      </c>
      <c r="E103" s="50">
        <v>13</v>
      </c>
      <c r="F103" s="291">
        <v>2</v>
      </c>
      <c r="G103" s="45">
        <v>9</v>
      </c>
      <c r="H103" s="45">
        <v>1</v>
      </c>
      <c r="I103" s="45">
        <v>2</v>
      </c>
      <c r="J103" s="45">
        <v>2</v>
      </c>
      <c r="K103" s="45">
        <v>3</v>
      </c>
      <c r="L103" s="51">
        <v>6</v>
      </c>
      <c r="M103" s="51">
        <v>1</v>
      </c>
      <c r="N103" s="45">
        <v>2</v>
      </c>
      <c r="O103" s="45">
        <v>1</v>
      </c>
      <c r="P103" s="45">
        <v>1</v>
      </c>
      <c r="Q103" s="45">
        <v>9</v>
      </c>
      <c r="R103" s="45">
        <v>2</v>
      </c>
      <c r="S103" s="45">
        <v>2</v>
      </c>
      <c r="T103" s="45">
        <v>6</v>
      </c>
      <c r="U103" s="45">
        <v>5</v>
      </c>
      <c r="V103" s="45">
        <v>2</v>
      </c>
      <c r="W103" s="45">
        <v>6</v>
      </c>
      <c r="X103" s="45">
        <v>2</v>
      </c>
      <c r="Y103" s="45">
        <v>7</v>
      </c>
      <c r="Z103" s="45">
        <v>7</v>
      </c>
      <c r="AA103" s="45">
        <v>3</v>
      </c>
      <c r="AB103" s="45">
        <v>7</v>
      </c>
      <c r="AC103" s="45">
        <v>7</v>
      </c>
      <c r="AD103" s="45">
        <v>1</v>
      </c>
      <c r="AE103" s="45">
        <v>1</v>
      </c>
      <c r="AF103" s="49">
        <v>7</v>
      </c>
    </row>
    <row r="104" spans="1:35" outlineLevel="1" x14ac:dyDescent="0.25">
      <c r="A104" s="615"/>
      <c r="B104" s="152" t="s">
        <v>1</v>
      </c>
      <c r="C104" s="45" t="s">
        <v>1</v>
      </c>
      <c r="D104" s="45" t="s">
        <v>69</v>
      </c>
      <c r="E104" s="50" t="s">
        <v>69</v>
      </c>
      <c r="F104" s="291" t="s">
        <v>1</v>
      </c>
      <c r="G104" s="45" t="s">
        <v>1</v>
      </c>
      <c r="H104" s="45" t="s">
        <v>69</v>
      </c>
      <c r="I104" s="45" t="s">
        <v>1</v>
      </c>
      <c r="J104" s="45" t="s">
        <v>1</v>
      </c>
      <c r="K104" s="45" t="s">
        <v>1</v>
      </c>
      <c r="L104" s="52" t="s">
        <v>1</v>
      </c>
      <c r="M104" s="52" t="s">
        <v>1</v>
      </c>
      <c r="N104" s="45" t="s">
        <v>69</v>
      </c>
      <c r="O104" s="45" t="s">
        <v>69</v>
      </c>
      <c r="P104" s="53" t="s">
        <v>69</v>
      </c>
      <c r="Q104" s="45" t="s">
        <v>1</v>
      </c>
      <c r="R104" s="45" t="s">
        <v>1</v>
      </c>
      <c r="S104" s="45" t="s">
        <v>1</v>
      </c>
      <c r="T104" s="45" t="s">
        <v>1</v>
      </c>
      <c r="U104" s="45" t="s">
        <v>69</v>
      </c>
      <c r="V104" s="45" t="s">
        <v>1</v>
      </c>
      <c r="W104" s="45" t="s">
        <v>1</v>
      </c>
      <c r="X104" s="45" t="s">
        <v>1</v>
      </c>
      <c r="Y104" s="45" t="s">
        <v>1</v>
      </c>
      <c r="Z104" s="45" t="s">
        <v>1</v>
      </c>
      <c r="AA104" s="45" t="s">
        <v>1</v>
      </c>
      <c r="AB104" s="45" t="s">
        <v>1</v>
      </c>
      <c r="AC104" s="45" t="s">
        <v>1</v>
      </c>
      <c r="AD104" s="45" t="s">
        <v>69</v>
      </c>
      <c r="AE104" s="45" t="s">
        <v>1</v>
      </c>
      <c r="AF104" s="49" t="s">
        <v>1</v>
      </c>
    </row>
    <row r="105" spans="1:35" ht="13.5" customHeight="1" outlineLevel="1" x14ac:dyDescent="0.25">
      <c r="A105" s="615"/>
      <c r="B105" s="152" t="s">
        <v>0</v>
      </c>
      <c r="C105" s="45" t="s">
        <v>0</v>
      </c>
      <c r="D105" s="45" t="s">
        <v>4</v>
      </c>
      <c r="E105" s="50" t="s">
        <v>0</v>
      </c>
      <c r="F105" s="291" t="s">
        <v>0</v>
      </c>
      <c r="G105" s="45" t="s">
        <v>0</v>
      </c>
      <c r="H105" s="45" t="s">
        <v>4</v>
      </c>
      <c r="I105" s="45" t="s">
        <v>4</v>
      </c>
      <c r="J105" s="45" t="s">
        <v>4</v>
      </c>
      <c r="K105" s="45" t="s">
        <v>4</v>
      </c>
      <c r="L105" s="52" t="s">
        <v>4</v>
      </c>
      <c r="M105" s="52" t="s">
        <v>0</v>
      </c>
      <c r="N105" s="45" t="s">
        <v>4</v>
      </c>
      <c r="O105" s="45" t="s">
        <v>4</v>
      </c>
      <c r="P105" s="45" t="s">
        <v>4</v>
      </c>
      <c r="Q105" s="45" t="s">
        <v>4</v>
      </c>
      <c r="R105" s="45" t="s">
        <v>4</v>
      </c>
      <c r="S105" s="45" t="s">
        <v>112</v>
      </c>
      <c r="T105" s="45" t="s">
        <v>0</v>
      </c>
      <c r="U105" s="45" t="s">
        <v>0</v>
      </c>
      <c r="V105" s="45" t="s">
        <v>0</v>
      </c>
      <c r="W105" s="45" t="s">
        <v>0</v>
      </c>
      <c r="X105" s="45" t="s">
        <v>0</v>
      </c>
      <c r="Y105" s="45" t="s">
        <v>0</v>
      </c>
      <c r="Z105" s="45" t="s">
        <v>0</v>
      </c>
      <c r="AA105" s="45" t="s">
        <v>0</v>
      </c>
      <c r="AB105" s="45" t="s">
        <v>0</v>
      </c>
      <c r="AC105" s="45" t="s">
        <v>0</v>
      </c>
      <c r="AD105" s="45" t="s">
        <v>4</v>
      </c>
      <c r="AE105" s="45" t="s">
        <v>4</v>
      </c>
      <c r="AF105" s="49" t="s">
        <v>4</v>
      </c>
    </row>
    <row r="106" spans="1:35" ht="30" customHeight="1" thickBot="1" x14ac:dyDescent="0.3">
      <c r="A106" s="616"/>
      <c r="B106" s="149" t="s">
        <v>10</v>
      </c>
      <c r="C106" s="54" t="s">
        <v>544</v>
      </c>
      <c r="D106" s="55" t="s">
        <v>8</v>
      </c>
      <c r="E106" s="54" t="s">
        <v>198</v>
      </c>
      <c r="F106" s="288">
        <v>77</v>
      </c>
      <c r="G106" s="54">
        <v>250000001</v>
      </c>
      <c r="H106" s="193" t="s">
        <v>8</v>
      </c>
      <c r="I106" s="193" t="s">
        <v>5</v>
      </c>
      <c r="J106" s="55" t="s">
        <v>5</v>
      </c>
      <c r="K106" s="55" t="s">
        <v>6</v>
      </c>
      <c r="L106" s="55" t="s">
        <v>208</v>
      </c>
      <c r="M106" s="193" t="s">
        <v>397</v>
      </c>
      <c r="N106" s="55" t="s">
        <v>210</v>
      </c>
      <c r="O106" s="55" t="s">
        <v>8</v>
      </c>
      <c r="P106" s="55" t="s">
        <v>8</v>
      </c>
      <c r="Q106" s="54" t="s">
        <v>544</v>
      </c>
      <c r="R106" s="55" t="s">
        <v>5</v>
      </c>
      <c r="S106" s="55" t="s">
        <v>5</v>
      </c>
      <c r="T106" s="33" t="s">
        <v>756</v>
      </c>
      <c r="U106" s="228" t="s">
        <v>280</v>
      </c>
      <c r="V106" s="33" t="s">
        <v>202</v>
      </c>
      <c r="W106" s="54" t="s">
        <v>590</v>
      </c>
      <c r="X106" s="33" t="s">
        <v>649</v>
      </c>
      <c r="Y106" s="54" t="s">
        <v>595</v>
      </c>
      <c r="Z106" s="96" t="s">
        <v>595</v>
      </c>
      <c r="AA106" s="54" t="s">
        <v>6</v>
      </c>
      <c r="AB106" s="54" t="s">
        <v>212</v>
      </c>
      <c r="AC106" s="54" t="s">
        <v>212</v>
      </c>
      <c r="AD106" s="193" t="s">
        <v>498</v>
      </c>
      <c r="AE106" s="193" t="s">
        <v>200</v>
      </c>
      <c r="AF106" s="54" t="s">
        <v>212</v>
      </c>
      <c r="AG106" s="188" t="s">
        <v>589</v>
      </c>
      <c r="AH106" s="76"/>
      <c r="AI106" s="76"/>
    </row>
    <row r="107" spans="1:35" s="75" customFormat="1" ht="15.75" thickBot="1" x14ac:dyDescent="0.3">
      <c r="A107" s="77"/>
      <c r="B107" s="144"/>
      <c r="C107" s="77"/>
      <c r="D107" s="77"/>
      <c r="E107" s="77"/>
      <c r="F107" s="271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</row>
    <row r="108" spans="1:35" ht="100.15" customHeight="1" x14ac:dyDescent="0.25">
      <c r="A108" s="620" t="s">
        <v>920</v>
      </c>
      <c r="B108" s="151" t="s">
        <v>13</v>
      </c>
      <c r="C108" s="40" t="s">
        <v>14</v>
      </c>
      <c r="D108" s="40" t="s">
        <v>15</v>
      </c>
      <c r="E108" s="41" t="s">
        <v>16</v>
      </c>
      <c r="F108" s="289" t="s">
        <v>17</v>
      </c>
      <c r="G108" s="40" t="s">
        <v>70</v>
      </c>
      <c r="H108" s="40" t="s">
        <v>71</v>
      </c>
      <c r="I108" s="40" t="s">
        <v>72</v>
      </c>
      <c r="J108" s="40" t="s">
        <v>2</v>
      </c>
      <c r="K108" s="40" t="s">
        <v>73</v>
      </c>
      <c r="L108" s="42" t="s">
        <v>74</v>
      </c>
      <c r="M108" s="42" t="s">
        <v>75</v>
      </c>
      <c r="N108" s="40" t="s">
        <v>76</v>
      </c>
      <c r="O108" s="40" t="s">
        <v>77</v>
      </c>
      <c r="P108" s="40" t="s">
        <v>78</v>
      </c>
      <c r="Q108" s="40" t="s">
        <v>79</v>
      </c>
      <c r="R108" s="40" t="s">
        <v>80</v>
      </c>
      <c r="S108" s="40" t="s">
        <v>81</v>
      </c>
      <c r="T108" s="40" t="s">
        <v>82</v>
      </c>
      <c r="U108" s="40" t="s">
        <v>83</v>
      </c>
      <c r="V108" s="40" t="s">
        <v>84</v>
      </c>
      <c r="W108" s="40" t="s">
        <v>3</v>
      </c>
      <c r="X108" s="40" t="s">
        <v>85</v>
      </c>
      <c r="Y108" s="40" t="s">
        <v>86</v>
      </c>
      <c r="Z108" s="40" t="s">
        <v>87</v>
      </c>
      <c r="AA108" s="40" t="s">
        <v>88</v>
      </c>
      <c r="AB108" s="40" t="s">
        <v>89</v>
      </c>
      <c r="AC108" s="40" t="s">
        <v>90</v>
      </c>
      <c r="AD108" s="40" t="s">
        <v>91</v>
      </c>
      <c r="AE108" s="40" t="s">
        <v>92</v>
      </c>
      <c r="AF108" s="43" t="s">
        <v>93</v>
      </c>
      <c r="AG108" s="2"/>
    </row>
    <row r="109" spans="1:35" ht="19.899999999999999" customHeight="1" x14ac:dyDescent="0.25">
      <c r="A109" s="615"/>
      <c r="B109" s="152">
        <v>1</v>
      </c>
      <c r="C109" s="44" t="s">
        <v>47</v>
      </c>
      <c r="D109" s="45">
        <v>11</v>
      </c>
      <c r="E109" s="46" t="s">
        <v>48</v>
      </c>
      <c r="F109" s="290" t="s">
        <v>49</v>
      </c>
      <c r="G109" s="47" t="s">
        <v>50</v>
      </c>
      <c r="H109" s="47">
        <v>36</v>
      </c>
      <c r="I109" s="47" t="s">
        <v>94</v>
      </c>
      <c r="J109" s="47" t="s">
        <v>95</v>
      </c>
      <c r="K109" s="47" t="s">
        <v>96</v>
      </c>
      <c r="L109" s="48" t="s">
        <v>97</v>
      </c>
      <c r="M109" s="48" t="s">
        <v>98</v>
      </c>
      <c r="N109" s="47" t="s">
        <v>99</v>
      </c>
      <c r="O109" s="47">
        <v>53</v>
      </c>
      <c r="P109" s="47">
        <v>54</v>
      </c>
      <c r="Q109" s="47" t="s">
        <v>913</v>
      </c>
      <c r="R109" s="47" t="s">
        <v>100</v>
      </c>
      <c r="S109" s="47" t="s">
        <v>101</v>
      </c>
      <c r="T109" s="47" t="s">
        <v>57</v>
      </c>
      <c r="U109" s="47" t="s">
        <v>102</v>
      </c>
      <c r="V109" s="47" t="s">
        <v>103</v>
      </c>
      <c r="W109" s="47" t="s">
        <v>104</v>
      </c>
      <c r="X109" s="47" t="s">
        <v>105</v>
      </c>
      <c r="Y109" s="47" t="s">
        <v>106</v>
      </c>
      <c r="Z109" s="47" t="s">
        <v>107</v>
      </c>
      <c r="AA109" s="47" t="s">
        <v>108</v>
      </c>
      <c r="AB109" s="45" t="s">
        <v>109</v>
      </c>
      <c r="AC109" s="47" t="s">
        <v>110</v>
      </c>
      <c r="AD109" s="45">
        <v>120</v>
      </c>
      <c r="AE109" s="45">
        <v>121</v>
      </c>
      <c r="AF109" s="49" t="s">
        <v>111</v>
      </c>
    </row>
    <row r="110" spans="1:35" outlineLevel="1" x14ac:dyDescent="0.25">
      <c r="A110" s="615"/>
      <c r="B110" s="152">
        <v>1</v>
      </c>
      <c r="C110" s="45">
        <v>9</v>
      </c>
      <c r="D110" s="45">
        <v>1</v>
      </c>
      <c r="E110" s="50">
        <v>13</v>
      </c>
      <c r="F110" s="291">
        <v>2</v>
      </c>
      <c r="G110" s="45">
        <v>9</v>
      </c>
      <c r="H110" s="45">
        <v>1</v>
      </c>
      <c r="I110" s="45">
        <v>2</v>
      </c>
      <c r="J110" s="45">
        <v>2</v>
      </c>
      <c r="K110" s="45">
        <v>3</v>
      </c>
      <c r="L110" s="51">
        <v>6</v>
      </c>
      <c r="M110" s="51">
        <v>1</v>
      </c>
      <c r="N110" s="45">
        <v>2</v>
      </c>
      <c r="O110" s="45">
        <v>1</v>
      </c>
      <c r="P110" s="45">
        <v>1</v>
      </c>
      <c r="Q110" s="45">
        <v>9</v>
      </c>
      <c r="R110" s="45">
        <v>2</v>
      </c>
      <c r="S110" s="45">
        <v>2</v>
      </c>
      <c r="T110" s="45">
        <v>6</v>
      </c>
      <c r="U110" s="45">
        <v>5</v>
      </c>
      <c r="V110" s="45">
        <v>2</v>
      </c>
      <c r="W110" s="45">
        <v>6</v>
      </c>
      <c r="X110" s="45">
        <v>2</v>
      </c>
      <c r="Y110" s="45">
        <v>7</v>
      </c>
      <c r="Z110" s="45">
        <v>7</v>
      </c>
      <c r="AA110" s="45">
        <v>3</v>
      </c>
      <c r="AB110" s="45">
        <v>7</v>
      </c>
      <c r="AC110" s="45">
        <v>7</v>
      </c>
      <c r="AD110" s="45">
        <v>1</v>
      </c>
      <c r="AE110" s="45">
        <v>1</v>
      </c>
      <c r="AF110" s="49">
        <v>7</v>
      </c>
    </row>
    <row r="111" spans="1:35" outlineLevel="1" x14ac:dyDescent="0.25">
      <c r="A111" s="615"/>
      <c r="B111" s="152" t="s">
        <v>1</v>
      </c>
      <c r="C111" s="45" t="s">
        <v>1</v>
      </c>
      <c r="D111" s="45" t="s">
        <v>69</v>
      </c>
      <c r="E111" s="50" t="s">
        <v>69</v>
      </c>
      <c r="F111" s="291" t="s">
        <v>1</v>
      </c>
      <c r="G111" s="45" t="s">
        <v>1</v>
      </c>
      <c r="H111" s="45" t="s">
        <v>69</v>
      </c>
      <c r="I111" s="45" t="s">
        <v>1</v>
      </c>
      <c r="J111" s="45" t="s">
        <v>1</v>
      </c>
      <c r="K111" s="45" t="s">
        <v>1</v>
      </c>
      <c r="L111" s="52" t="s">
        <v>1</v>
      </c>
      <c r="M111" s="52" t="s">
        <v>1</v>
      </c>
      <c r="N111" s="45" t="s">
        <v>69</v>
      </c>
      <c r="O111" s="45" t="s">
        <v>69</v>
      </c>
      <c r="P111" s="53" t="s">
        <v>69</v>
      </c>
      <c r="Q111" s="45" t="s">
        <v>1</v>
      </c>
      <c r="R111" s="45" t="s">
        <v>1</v>
      </c>
      <c r="S111" s="45" t="s">
        <v>1</v>
      </c>
      <c r="T111" s="45" t="s">
        <v>1</v>
      </c>
      <c r="U111" s="45" t="s">
        <v>69</v>
      </c>
      <c r="V111" s="45" t="s">
        <v>1</v>
      </c>
      <c r="W111" s="45" t="s">
        <v>1</v>
      </c>
      <c r="X111" s="45" t="s">
        <v>1</v>
      </c>
      <c r="Y111" s="45" t="s">
        <v>1</v>
      </c>
      <c r="Z111" s="45" t="s">
        <v>1</v>
      </c>
      <c r="AA111" s="45" t="s">
        <v>1</v>
      </c>
      <c r="AB111" s="45" t="s">
        <v>1</v>
      </c>
      <c r="AC111" s="45" t="s">
        <v>1</v>
      </c>
      <c r="AD111" s="45" t="s">
        <v>69</v>
      </c>
      <c r="AE111" s="45" t="s">
        <v>1</v>
      </c>
      <c r="AF111" s="49" t="s">
        <v>1</v>
      </c>
    </row>
    <row r="112" spans="1:35" outlineLevel="1" x14ac:dyDescent="0.25">
      <c r="A112" s="615"/>
      <c r="B112" s="152" t="s">
        <v>0</v>
      </c>
      <c r="C112" s="45" t="s">
        <v>0</v>
      </c>
      <c r="D112" s="45" t="s">
        <v>4</v>
      </c>
      <c r="E112" s="50" t="s">
        <v>0</v>
      </c>
      <c r="F112" s="291" t="s">
        <v>0</v>
      </c>
      <c r="G112" s="45" t="s">
        <v>0</v>
      </c>
      <c r="H112" s="45" t="s">
        <v>4</v>
      </c>
      <c r="I112" s="45" t="s">
        <v>4</v>
      </c>
      <c r="J112" s="45" t="s">
        <v>4</v>
      </c>
      <c r="K112" s="45" t="s">
        <v>4</v>
      </c>
      <c r="L112" s="52" t="s">
        <v>4</v>
      </c>
      <c r="M112" s="52" t="s">
        <v>0</v>
      </c>
      <c r="N112" s="45" t="s">
        <v>4</v>
      </c>
      <c r="O112" s="45" t="s">
        <v>4</v>
      </c>
      <c r="P112" s="45" t="s">
        <v>4</v>
      </c>
      <c r="Q112" s="45" t="s">
        <v>4</v>
      </c>
      <c r="R112" s="45" t="s">
        <v>4</v>
      </c>
      <c r="S112" s="45" t="s">
        <v>112</v>
      </c>
      <c r="T112" s="45" t="s">
        <v>0</v>
      </c>
      <c r="U112" s="45" t="s">
        <v>0</v>
      </c>
      <c r="V112" s="45" t="s">
        <v>0</v>
      </c>
      <c r="W112" s="45" t="s">
        <v>0</v>
      </c>
      <c r="X112" s="45" t="s">
        <v>0</v>
      </c>
      <c r="Y112" s="45" t="s">
        <v>0</v>
      </c>
      <c r="Z112" s="45" t="s">
        <v>0</v>
      </c>
      <c r="AA112" s="45" t="s">
        <v>0</v>
      </c>
      <c r="AB112" s="45" t="s">
        <v>0</v>
      </c>
      <c r="AC112" s="45" t="s">
        <v>0</v>
      </c>
      <c r="AD112" s="45" t="s">
        <v>4</v>
      </c>
      <c r="AE112" s="45" t="s">
        <v>4</v>
      </c>
      <c r="AF112" s="49" t="s">
        <v>4</v>
      </c>
    </row>
    <row r="113" spans="1:35" ht="30" customHeight="1" thickBot="1" x14ac:dyDescent="0.3">
      <c r="A113" s="616"/>
      <c r="B113" s="149" t="s">
        <v>10</v>
      </c>
      <c r="C113" s="54" t="s">
        <v>544</v>
      </c>
      <c r="D113" s="55" t="s">
        <v>8</v>
      </c>
      <c r="E113" s="54" t="s">
        <v>198</v>
      </c>
      <c r="F113" s="288">
        <v>77</v>
      </c>
      <c r="G113" s="54">
        <v>250000001</v>
      </c>
      <c r="H113" s="193" t="s">
        <v>8</v>
      </c>
      <c r="I113" s="193" t="s">
        <v>5</v>
      </c>
      <c r="J113" s="55" t="s">
        <v>5</v>
      </c>
      <c r="K113" s="55" t="s">
        <v>6</v>
      </c>
      <c r="L113" s="55" t="s">
        <v>208</v>
      </c>
      <c r="M113" s="193" t="s">
        <v>397</v>
      </c>
      <c r="N113" s="55" t="s">
        <v>210</v>
      </c>
      <c r="O113" s="55" t="s">
        <v>8</v>
      </c>
      <c r="P113" s="55" t="s">
        <v>8</v>
      </c>
      <c r="Q113" s="54" t="s">
        <v>544</v>
      </c>
      <c r="R113" s="55" t="s">
        <v>5</v>
      </c>
      <c r="S113" s="55" t="s">
        <v>5</v>
      </c>
      <c r="T113" s="33" t="s">
        <v>756</v>
      </c>
      <c r="U113" s="228" t="s">
        <v>433</v>
      </c>
      <c r="V113" s="33" t="s">
        <v>202</v>
      </c>
      <c r="W113" s="54" t="s">
        <v>590</v>
      </c>
      <c r="X113" s="33" t="s">
        <v>649</v>
      </c>
      <c r="Y113" s="54" t="s">
        <v>595</v>
      </c>
      <c r="Z113" s="96" t="s">
        <v>595</v>
      </c>
      <c r="AA113" s="54" t="s">
        <v>6</v>
      </c>
      <c r="AB113" s="54" t="s">
        <v>212</v>
      </c>
      <c r="AC113" s="54" t="s">
        <v>212</v>
      </c>
      <c r="AD113" s="193" t="s">
        <v>498</v>
      </c>
      <c r="AE113" s="193" t="s">
        <v>200</v>
      </c>
      <c r="AF113" s="54" t="s">
        <v>212</v>
      </c>
      <c r="AG113" s="188" t="s">
        <v>589</v>
      </c>
      <c r="AH113" s="76"/>
      <c r="AI113" s="76"/>
    </row>
    <row r="114" spans="1:35" s="75" customFormat="1" ht="15.75" thickBot="1" x14ac:dyDescent="0.3">
      <c r="A114" s="77"/>
      <c r="B114" s="144"/>
      <c r="C114" s="77"/>
      <c r="D114" s="77"/>
      <c r="E114" s="77"/>
      <c r="F114" s="271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</row>
    <row r="115" spans="1:35" ht="100.15" customHeight="1" x14ac:dyDescent="0.25">
      <c r="A115" s="614" t="s">
        <v>360</v>
      </c>
      <c r="B115" s="147" t="s">
        <v>13</v>
      </c>
      <c r="C115" s="24" t="s">
        <v>14</v>
      </c>
      <c r="D115" s="24" t="s">
        <v>15</v>
      </c>
      <c r="E115" s="25" t="s">
        <v>16</v>
      </c>
      <c r="F115" s="282" t="s">
        <v>17</v>
      </c>
      <c r="G115" s="24" t="s">
        <v>70</v>
      </c>
      <c r="H115" s="24" t="s">
        <v>15</v>
      </c>
      <c r="I115" s="24" t="s">
        <v>220</v>
      </c>
      <c r="J115" s="24" t="s">
        <v>221</v>
      </c>
      <c r="K115" s="26" t="s">
        <v>222</v>
      </c>
      <c r="L115" s="26" t="s">
        <v>223</v>
      </c>
      <c r="M115" s="24" t="s">
        <v>224</v>
      </c>
      <c r="N115" s="24" t="s">
        <v>225</v>
      </c>
      <c r="O115" s="24" t="s">
        <v>226</v>
      </c>
      <c r="P115" s="24" t="s">
        <v>221</v>
      </c>
      <c r="Q115" s="24" t="s">
        <v>227</v>
      </c>
      <c r="R115" s="24" t="s">
        <v>15</v>
      </c>
      <c r="S115" s="27" t="s">
        <v>228</v>
      </c>
    </row>
    <row r="116" spans="1:35" ht="19.899999999999999" customHeight="1" x14ac:dyDescent="0.25">
      <c r="A116" s="615"/>
      <c r="B116" s="148">
        <v>1</v>
      </c>
      <c r="C116" s="5" t="s">
        <v>47</v>
      </c>
      <c r="D116" s="4">
        <v>11</v>
      </c>
      <c r="E116" s="6" t="s">
        <v>48</v>
      </c>
      <c r="F116" s="283" t="s">
        <v>49</v>
      </c>
      <c r="G116" s="7" t="s">
        <v>50</v>
      </c>
      <c r="H116" s="7" t="s">
        <v>229</v>
      </c>
      <c r="I116" s="7" t="s">
        <v>216</v>
      </c>
      <c r="J116" s="7" t="s">
        <v>230</v>
      </c>
      <c r="K116" s="8" t="s">
        <v>217</v>
      </c>
      <c r="L116" s="8" t="s">
        <v>218</v>
      </c>
      <c r="M116" s="7" t="s">
        <v>179</v>
      </c>
      <c r="N116" s="7" t="s">
        <v>219</v>
      </c>
      <c r="O116" s="7">
        <v>90</v>
      </c>
      <c r="P116" s="7" t="s">
        <v>231</v>
      </c>
      <c r="Q116" s="7">
        <v>94</v>
      </c>
      <c r="R116" s="7" t="s">
        <v>232</v>
      </c>
      <c r="S116" s="28" t="s">
        <v>233</v>
      </c>
    </row>
    <row r="117" spans="1:35" outlineLevel="1" x14ac:dyDescent="0.25">
      <c r="A117" s="615"/>
      <c r="B117" s="148">
        <v>1</v>
      </c>
      <c r="C117" s="4">
        <v>9</v>
      </c>
      <c r="D117" s="4">
        <v>1</v>
      </c>
      <c r="E117" s="9">
        <v>13</v>
      </c>
      <c r="F117" s="284">
        <v>2</v>
      </c>
      <c r="G117" s="4">
        <v>9</v>
      </c>
      <c r="H117" s="4">
        <v>3</v>
      </c>
      <c r="I117" s="4">
        <v>3</v>
      </c>
      <c r="J117" s="4">
        <v>16</v>
      </c>
      <c r="K117" s="10">
        <v>8</v>
      </c>
      <c r="L117" s="10">
        <v>8</v>
      </c>
      <c r="M117" s="4">
        <v>8</v>
      </c>
      <c r="N117" s="4">
        <v>8</v>
      </c>
      <c r="O117" s="4">
        <v>1</v>
      </c>
      <c r="P117" s="4">
        <v>3</v>
      </c>
      <c r="Q117" s="4">
        <v>1</v>
      </c>
      <c r="R117" s="4">
        <v>2</v>
      </c>
      <c r="S117" s="29">
        <v>32</v>
      </c>
    </row>
    <row r="118" spans="1:35" ht="13.5" customHeight="1" outlineLevel="1" x14ac:dyDescent="0.25">
      <c r="A118" s="615"/>
      <c r="B118" s="148" t="s">
        <v>1</v>
      </c>
      <c r="C118" s="4" t="s">
        <v>1</v>
      </c>
      <c r="D118" s="4" t="s">
        <v>69</v>
      </c>
      <c r="E118" s="9" t="s">
        <v>69</v>
      </c>
      <c r="F118" s="284" t="s">
        <v>1</v>
      </c>
      <c r="G118" s="4" t="s">
        <v>1</v>
      </c>
      <c r="H118" s="4" t="s">
        <v>69</v>
      </c>
      <c r="I118" s="4" t="s">
        <v>1</v>
      </c>
      <c r="J118" s="4" t="s">
        <v>69</v>
      </c>
      <c r="K118" s="12" t="s">
        <v>1</v>
      </c>
      <c r="L118" s="12" t="s">
        <v>1</v>
      </c>
      <c r="M118" s="4" t="s">
        <v>1</v>
      </c>
      <c r="N118" s="4" t="s">
        <v>1</v>
      </c>
      <c r="O118" s="4" t="s">
        <v>69</v>
      </c>
      <c r="P118" s="4" t="s">
        <v>69</v>
      </c>
      <c r="Q118" s="4" t="s">
        <v>69</v>
      </c>
      <c r="R118" s="4" t="s">
        <v>69</v>
      </c>
      <c r="S118" s="29" t="s">
        <v>69</v>
      </c>
    </row>
    <row r="119" spans="1:35" outlineLevel="1" x14ac:dyDescent="0.25">
      <c r="A119" s="615"/>
      <c r="B119" s="148" t="s">
        <v>0</v>
      </c>
      <c r="C119" s="4" t="s">
        <v>0</v>
      </c>
      <c r="D119" s="4" t="s">
        <v>4</v>
      </c>
      <c r="E119" s="9" t="s">
        <v>0</v>
      </c>
      <c r="F119" s="284" t="s">
        <v>0</v>
      </c>
      <c r="G119" s="4" t="s">
        <v>0</v>
      </c>
      <c r="H119" s="4" t="s">
        <v>4</v>
      </c>
      <c r="I119" s="4" t="s">
        <v>0</v>
      </c>
      <c r="J119" s="4" t="s">
        <v>0</v>
      </c>
      <c r="K119" s="12" t="s">
        <v>0</v>
      </c>
      <c r="L119" s="12" t="s">
        <v>0</v>
      </c>
      <c r="M119" s="4" t="s">
        <v>0</v>
      </c>
      <c r="N119" s="4" t="s">
        <v>4</v>
      </c>
      <c r="O119" s="4" t="s">
        <v>4</v>
      </c>
      <c r="P119" s="4" t="s">
        <v>0</v>
      </c>
      <c r="Q119" s="4" t="s">
        <v>0</v>
      </c>
      <c r="R119" s="4" t="s">
        <v>4</v>
      </c>
      <c r="S119" s="29" t="s">
        <v>4</v>
      </c>
    </row>
    <row r="120" spans="1:35" s="163" customFormat="1" ht="30" customHeight="1" thickBot="1" x14ac:dyDescent="0.3">
      <c r="A120" s="616"/>
      <c r="B120" s="157">
        <v>5</v>
      </c>
      <c r="C120" s="54" t="s">
        <v>544</v>
      </c>
      <c r="D120" s="55" t="s">
        <v>8</v>
      </c>
      <c r="E120" s="55" t="s">
        <v>198</v>
      </c>
      <c r="F120" s="270">
        <v>77</v>
      </c>
      <c r="G120" s="55">
        <v>250000001</v>
      </c>
      <c r="H120" s="98" t="s">
        <v>9</v>
      </c>
      <c r="I120" s="496" t="s">
        <v>907</v>
      </c>
      <c r="J120" s="98" t="s">
        <v>234</v>
      </c>
      <c r="K120" s="56" t="s">
        <v>806</v>
      </c>
      <c r="L120" s="56" t="s">
        <v>807</v>
      </c>
      <c r="M120" s="56" t="s">
        <v>808</v>
      </c>
      <c r="N120" s="56" t="s">
        <v>599</v>
      </c>
      <c r="O120" s="56" t="s">
        <v>8</v>
      </c>
      <c r="P120" s="56" t="s">
        <v>9</v>
      </c>
      <c r="Q120" s="56" t="s">
        <v>8</v>
      </c>
      <c r="R120" s="56" t="s">
        <v>210</v>
      </c>
      <c r="S120" s="99" t="s">
        <v>235</v>
      </c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</row>
    <row r="121" spans="1:35" ht="15.75" thickBot="1" x14ac:dyDescent="0.3">
      <c r="A121" s="75"/>
      <c r="B121" s="150" t="s">
        <v>586</v>
      </c>
      <c r="C121" s="75" t="s">
        <v>586</v>
      </c>
      <c r="D121" s="75" t="s">
        <v>586</v>
      </c>
      <c r="E121" s="75" t="s">
        <v>586</v>
      </c>
      <c r="F121" s="276" t="s">
        <v>586</v>
      </c>
      <c r="G121" s="75" t="s">
        <v>586</v>
      </c>
      <c r="H121" s="75" t="s">
        <v>586</v>
      </c>
      <c r="I121" s="75" t="s">
        <v>586</v>
      </c>
      <c r="J121" s="75" t="s">
        <v>586</v>
      </c>
      <c r="K121" s="75" t="s">
        <v>586</v>
      </c>
      <c r="L121" s="75" t="s">
        <v>586</v>
      </c>
      <c r="M121" s="75" t="s">
        <v>586</v>
      </c>
      <c r="N121" s="75" t="s">
        <v>586</v>
      </c>
      <c r="O121" s="75" t="s">
        <v>586</v>
      </c>
      <c r="P121" s="75" t="s">
        <v>586</v>
      </c>
      <c r="Q121" s="75" t="s">
        <v>586</v>
      </c>
      <c r="R121" s="75" t="s">
        <v>586</v>
      </c>
      <c r="S121" s="75" t="s">
        <v>586</v>
      </c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</row>
    <row r="122" spans="1:35" ht="100.15" customHeight="1" x14ac:dyDescent="0.25">
      <c r="A122" s="608" t="s">
        <v>361</v>
      </c>
      <c r="B122" s="327" t="s">
        <v>13</v>
      </c>
      <c r="C122" s="328" t="s">
        <v>14</v>
      </c>
      <c r="D122" s="328" t="s">
        <v>339</v>
      </c>
      <c r="E122" s="329" t="s">
        <v>469</v>
      </c>
      <c r="F122" s="330" t="s">
        <v>470</v>
      </c>
      <c r="G122" s="328" t="s">
        <v>471</v>
      </c>
      <c r="H122" s="328" t="s">
        <v>340</v>
      </c>
      <c r="I122" s="328" t="s">
        <v>473</v>
      </c>
      <c r="J122" s="328" t="s">
        <v>472</v>
      </c>
      <c r="K122" s="331" t="s">
        <v>312</v>
      </c>
      <c r="L122" s="331" t="s">
        <v>341</v>
      </c>
      <c r="M122" s="328" t="s">
        <v>25</v>
      </c>
      <c r="N122" s="328" t="s">
        <v>15</v>
      </c>
      <c r="O122" s="328" t="s">
        <v>474</v>
      </c>
      <c r="P122" s="328" t="s">
        <v>342</v>
      </c>
      <c r="Q122" s="328" t="s">
        <v>15</v>
      </c>
      <c r="R122" s="328" t="s">
        <v>343</v>
      </c>
      <c r="S122" s="332" t="s">
        <v>228</v>
      </c>
    </row>
    <row r="123" spans="1:35" ht="19.899999999999999" customHeight="1" x14ac:dyDescent="0.25">
      <c r="A123" s="609"/>
      <c r="B123" s="158">
        <v>1</v>
      </c>
      <c r="C123" s="102" t="s">
        <v>47</v>
      </c>
      <c r="D123" s="103" t="s">
        <v>344</v>
      </c>
      <c r="E123" s="104" t="s">
        <v>345</v>
      </c>
      <c r="F123" s="298" t="s">
        <v>346</v>
      </c>
      <c r="G123" s="103" t="s">
        <v>347</v>
      </c>
      <c r="H123" s="103" t="s">
        <v>348</v>
      </c>
      <c r="I123" s="103" t="s">
        <v>349</v>
      </c>
      <c r="J123" s="103" t="s">
        <v>350</v>
      </c>
      <c r="K123" s="105" t="s">
        <v>351</v>
      </c>
      <c r="L123" s="105" t="s">
        <v>352</v>
      </c>
      <c r="M123" s="103" t="s">
        <v>353</v>
      </c>
      <c r="N123" s="103" t="s">
        <v>354</v>
      </c>
      <c r="O123" s="103" t="s">
        <v>355</v>
      </c>
      <c r="P123" s="103" t="s">
        <v>356</v>
      </c>
      <c r="Q123" s="103" t="s">
        <v>357</v>
      </c>
      <c r="R123" s="103" t="s">
        <v>358</v>
      </c>
      <c r="S123" s="333" t="s">
        <v>233</v>
      </c>
    </row>
    <row r="124" spans="1:35" outlineLevel="1" x14ac:dyDescent="0.25">
      <c r="A124" s="609"/>
      <c r="B124" s="158">
        <v>1</v>
      </c>
      <c r="C124" s="101">
        <v>9</v>
      </c>
      <c r="D124" s="101">
        <v>3</v>
      </c>
      <c r="E124" s="101">
        <v>4</v>
      </c>
      <c r="F124" s="299">
        <v>4</v>
      </c>
      <c r="G124" s="101">
        <v>3</v>
      </c>
      <c r="H124" s="101">
        <v>9</v>
      </c>
      <c r="I124" s="101">
        <v>9</v>
      </c>
      <c r="J124" s="101">
        <v>9</v>
      </c>
      <c r="K124" s="107">
        <v>3</v>
      </c>
      <c r="L124" s="107">
        <v>1</v>
      </c>
      <c r="M124" s="101">
        <v>1</v>
      </c>
      <c r="N124" s="101">
        <v>4</v>
      </c>
      <c r="O124" s="101">
        <v>12</v>
      </c>
      <c r="P124" s="101">
        <v>12</v>
      </c>
      <c r="Q124" s="103">
        <v>3</v>
      </c>
      <c r="R124" s="101">
        <v>9</v>
      </c>
      <c r="S124" s="334">
        <v>32</v>
      </c>
    </row>
    <row r="125" spans="1:35" outlineLevel="1" x14ac:dyDescent="0.25">
      <c r="A125" s="609"/>
      <c r="B125" s="158" t="s">
        <v>1</v>
      </c>
      <c r="C125" s="101" t="s">
        <v>1</v>
      </c>
      <c r="D125" s="197" t="s">
        <v>1</v>
      </c>
      <c r="E125" s="106" t="s">
        <v>1</v>
      </c>
      <c r="F125" s="299" t="s">
        <v>1</v>
      </c>
      <c r="G125" s="101" t="s">
        <v>1</v>
      </c>
      <c r="H125" s="101" t="s">
        <v>1</v>
      </c>
      <c r="I125" s="101" t="s">
        <v>1</v>
      </c>
      <c r="J125" s="101" t="s">
        <v>1</v>
      </c>
      <c r="K125" s="108" t="s">
        <v>1</v>
      </c>
      <c r="L125" s="108" t="s">
        <v>69</v>
      </c>
      <c r="M125" s="101" t="s">
        <v>69</v>
      </c>
      <c r="N125" s="101" t="s">
        <v>69</v>
      </c>
      <c r="O125" s="101" t="s">
        <v>69</v>
      </c>
      <c r="P125" s="101" t="s">
        <v>1</v>
      </c>
      <c r="Q125" s="101" t="s">
        <v>69</v>
      </c>
      <c r="R125" s="101" t="s">
        <v>1</v>
      </c>
      <c r="S125" s="334" t="s">
        <v>1</v>
      </c>
    </row>
    <row r="126" spans="1:35" outlineLevel="1" x14ac:dyDescent="0.25">
      <c r="A126" s="609"/>
      <c r="B126" s="158" t="s">
        <v>0</v>
      </c>
      <c r="C126" s="101" t="s">
        <v>0</v>
      </c>
      <c r="D126" s="101" t="s">
        <v>0</v>
      </c>
      <c r="E126" s="106" t="s">
        <v>0</v>
      </c>
      <c r="F126" s="299" t="s">
        <v>0</v>
      </c>
      <c r="G126" s="101" t="s">
        <v>0</v>
      </c>
      <c r="H126" s="101" t="s">
        <v>0</v>
      </c>
      <c r="I126" s="101" t="s">
        <v>0</v>
      </c>
      <c r="J126" s="101" t="s">
        <v>0</v>
      </c>
      <c r="K126" s="108" t="s">
        <v>0</v>
      </c>
      <c r="L126" s="108" t="s">
        <v>4</v>
      </c>
      <c r="M126" s="101" t="s">
        <v>4</v>
      </c>
      <c r="N126" s="101" t="s">
        <v>4</v>
      </c>
      <c r="O126" s="101" t="s">
        <v>4</v>
      </c>
      <c r="P126" s="101" t="s">
        <v>4</v>
      </c>
      <c r="Q126" s="101" t="s">
        <v>4</v>
      </c>
      <c r="R126" s="101" t="s">
        <v>4</v>
      </c>
      <c r="S126" s="334" t="s">
        <v>0</v>
      </c>
    </row>
    <row r="127" spans="1:35" s="163" customFormat="1" ht="30" customHeight="1" thickBot="1" x14ac:dyDescent="0.3">
      <c r="A127" s="610"/>
      <c r="B127" s="183">
        <v>6</v>
      </c>
      <c r="C127" s="335" t="s">
        <v>544</v>
      </c>
      <c r="D127" s="185" t="s">
        <v>195</v>
      </c>
      <c r="E127" s="336" t="s">
        <v>733</v>
      </c>
      <c r="F127" s="337" t="s">
        <v>521</v>
      </c>
      <c r="G127" s="185" t="s">
        <v>195</v>
      </c>
      <c r="H127" s="184" t="s">
        <v>809</v>
      </c>
      <c r="I127" s="184" t="s">
        <v>810</v>
      </c>
      <c r="J127" s="184" t="s">
        <v>209</v>
      </c>
      <c r="K127" s="184" t="s">
        <v>195</v>
      </c>
      <c r="L127" s="186" t="s">
        <v>8</v>
      </c>
      <c r="M127" s="186" t="s">
        <v>8</v>
      </c>
      <c r="N127" s="186" t="s">
        <v>387</v>
      </c>
      <c r="O127" s="186" t="s">
        <v>941</v>
      </c>
      <c r="P127" s="186" t="s">
        <v>388</v>
      </c>
      <c r="Q127" s="186" t="s">
        <v>9</v>
      </c>
      <c r="R127" s="186" t="s">
        <v>389</v>
      </c>
      <c r="S127" s="187" t="s">
        <v>235</v>
      </c>
    </row>
    <row r="128" spans="1:35" ht="9.75" customHeight="1" thickBot="1" x14ac:dyDescent="0.3">
      <c r="B128" s="150" t="s">
        <v>586</v>
      </c>
      <c r="C128" s="150" t="s">
        <v>586</v>
      </c>
      <c r="D128" s="150" t="s">
        <v>586</v>
      </c>
      <c r="E128" s="150" t="s">
        <v>586</v>
      </c>
      <c r="F128" s="276" t="s">
        <v>586</v>
      </c>
      <c r="G128" s="150" t="s">
        <v>586</v>
      </c>
      <c r="H128" s="150" t="s">
        <v>586</v>
      </c>
      <c r="I128" s="150" t="s">
        <v>586</v>
      </c>
      <c r="J128" s="150" t="s">
        <v>586</v>
      </c>
      <c r="K128" s="150" t="s">
        <v>586</v>
      </c>
      <c r="L128" s="150" t="s">
        <v>586</v>
      </c>
      <c r="M128" s="150" t="s">
        <v>586</v>
      </c>
      <c r="N128" s="150" t="s">
        <v>586</v>
      </c>
      <c r="O128" s="150" t="s">
        <v>586</v>
      </c>
      <c r="P128" s="150" t="s">
        <v>586</v>
      </c>
      <c r="Q128" s="150" t="s">
        <v>586</v>
      </c>
      <c r="R128" s="150" t="s">
        <v>586</v>
      </c>
      <c r="S128" s="150" t="s">
        <v>586</v>
      </c>
    </row>
    <row r="129" spans="1:35" ht="100.15" customHeight="1" x14ac:dyDescent="0.25">
      <c r="A129" s="611" t="s">
        <v>371</v>
      </c>
      <c r="B129" s="159" t="s">
        <v>13</v>
      </c>
      <c r="C129" s="117" t="s">
        <v>363</v>
      </c>
      <c r="D129" s="117" t="s">
        <v>364</v>
      </c>
      <c r="E129" s="118" t="s">
        <v>15</v>
      </c>
      <c r="F129" s="300" t="s">
        <v>283</v>
      </c>
      <c r="G129" s="117" t="s">
        <v>365</v>
      </c>
      <c r="H129" s="117" t="s">
        <v>15</v>
      </c>
      <c r="I129" s="117" t="s">
        <v>286</v>
      </c>
      <c r="J129" s="117" t="s">
        <v>287</v>
      </c>
      <c r="K129" s="119" t="s">
        <v>366</v>
      </c>
      <c r="L129" s="119" t="s">
        <v>15</v>
      </c>
      <c r="M129" s="117" t="s">
        <v>367</v>
      </c>
      <c r="N129" s="120" t="s">
        <v>15</v>
      </c>
    </row>
    <row r="130" spans="1:35" ht="19.899999999999999" customHeight="1" x14ac:dyDescent="0.25">
      <c r="A130" s="612"/>
      <c r="B130" s="198" t="s">
        <v>293</v>
      </c>
      <c r="C130" s="110" t="s">
        <v>294</v>
      </c>
      <c r="D130" s="111" t="s">
        <v>295</v>
      </c>
      <c r="E130" s="112" t="s">
        <v>296</v>
      </c>
      <c r="F130" s="301" t="s">
        <v>297</v>
      </c>
      <c r="G130" s="111" t="s">
        <v>298</v>
      </c>
      <c r="H130" s="111" t="s">
        <v>299</v>
      </c>
      <c r="I130" s="111" t="s">
        <v>300</v>
      </c>
      <c r="J130" s="111" t="s">
        <v>301</v>
      </c>
      <c r="K130" s="113" t="s">
        <v>368</v>
      </c>
      <c r="L130" s="113" t="s">
        <v>369</v>
      </c>
      <c r="M130" s="111" t="s">
        <v>307</v>
      </c>
      <c r="N130" s="121" t="s">
        <v>370</v>
      </c>
    </row>
    <row r="131" spans="1:35" outlineLevel="1" x14ac:dyDescent="0.25">
      <c r="A131" s="612"/>
      <c r="B131" s="160">
        <v>3</v>
      </c>
      <c r="C131" s="109">
        <v>2</v>
      </c>
      <c r="D131" s="109">
        <v>14</v>
      </c>
      <c r="E131" s="109">
        <v>6</v>
      </c>
      <c r="F131" s="302">
        <v>2</v>
      </c>
      <c r="G131" s="109">
        <v>14</v>
      </c>
      <c r="H131" s="109">
        <v>6</v>
      </c>
      <c r="I131" s="109">
        <v>2</v>
      </c>
      <c r="J131" s="109">
        <v>6</v>
      </c>
      <c r="K131" s="115">
        <v>8</v>
      </c>
      <c r="L131" s="115">
        <v>19</v>
      </c>
      <c r="M131" s="109">
        <v>3</v>
      </c>
      <c r="N131" s="122">
        <v>43</v>
      </c>
    </row>
    <row r="132" spans="1:35" outlineLevel="1" x14ac:dyDescent="0.25">
      <c r="A132" s="612"/>
      <c r="B132" s="160" t="s">
        <v>1</v>
      </c>
      <c r="C132" s="109" t="s">
        <v>69</v>
      </c>
      <c r="D132" s="109" t="s">
        <v>1</v>
      </c>
      <c r="E132" s="114" t="s">
        <v>69</v>
      </c>
      <c r="F132" s="302" t="s">
        <v>69</v>
      </c>
      <c r="G132" s="109" t="s">
        <v>1</v>
      </c>
      <c r="H132" s="109" t="s">
        <v>69</v>
      </c>
      <c r="I132" s="109" t="s">
        <v>69</v>
      </c>
      <c r="J132" s="109" t="s">
        <v>69</v>
      </c>
      <c r="K132" s="116" t="s">
        <v>1</v>
      </c>
      <c r="L132" s="116" t="s">
        <v>69</v>
      </c>
      <c r="M132" s="109" t="s">
        <v>1</v>
      </c>
      <c r="N132" s="122" t="s">
        <v>69</v>
      </c>
    </row>
    <row r="133" spans="1:35" outlineLevel="1" x14ac:dyDescent="0.25">
      <c r="A133" s="612"/>
      <c r="B133" s="160" t="s">
        <v>0</v>
      </c>
      <c r="C133" s="109" t="s">
        <v>0</v>
      </c>
      <c r="D133" s="109" t="s">
        <v>0</v>
      </c>
      <c r="E133" s="114" t="s">
        <v>4</v>
      </c>
      <c r="F133" s="302" t="s">
        <v>0</v>
      </c>
      <c r="G133" s="109" t="s">
        <v>0</v>
      </c>
      <c r="H133" s="109" t="s">
        <v>4</v>
      </c>
      <c r="I133" s="109" t="s">
        <v>0</v>
      </c>
      <c r="J133" s="109" t="s">
        <v>0</v>
      </c>
      <c r="K133" s="116" t="s">
        <v>0</v>
      </c>
      <c r="L133" s="116" t="s">
        <v>4</v>
      </c>
      <c r="M133" s="109" t="s">
        <v>0</v>
      </c>
      <c r="N133" s="122" t="s">
        <v>4</v>
      </c>
    </row>
    <row r="134" spans="1:35" ht="30" customHeight="1" thickBot="1" x14ac:dyDescent="0.3">
      <c r="A134" s="613"/>
      <c r="B134" s="183">
        <v>999</v>
      </c>
      <c r="C134" s="186" t="s">
        <v>373</v>
      </c>
      <c r="D134" s="174" t="s">
        <v>584</v>
      </c>
      <c r="E134" s="186" t="s">
        <v>374</v>
      </c>
      <c r="F134" s="303" t="s">
        <v>375</v>
      </c>
      <c r="G134" s="174" t="s">
        <v>585</v>
      </c>
      <c r="H134" s="186" t="s">
        <v>374</v>
      </c>
      <c r="I134" s="186" t="s">
        <v>376</v>
      </c>
      <c r="J134" s="184" t="s">
        <v>377</v>
      </c>
      <c r="K134" s="497" t="s">
        <v>912</v>
      </c>
      <c r="L134" s="186" t="s">
        <v>390</v>
      </c>
      <c r="M134" s="185" t="s">
        <v>195</v>
      </c>
      <c r="N134" s="187" t="s">
        <v>391</v>
      </c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</row>
    <row r="135" spans="1:35" x14ac:dyDescent="0.25">
      <c r="B135" s="150" t="s">
        <v>586</v>
      </c>
      <c r="C135" s="150" t="s">
        <v>586</v>
      </c>
      <c r="D135" s="150" t="s">
        <v>586</v>
      </c>
      <c r="E135" s="150" t="s">
        <v>586</v>
      </c>
      <c r="F135" s="276" t="s">
        <v>586</v>
      </c>
      <c r="G135" s="150" t="s">
        <v>586</v>
      </c>
      <c r="H135" s="150" t="s">
        <v>586</v>
      </c>
      <c r="I135" s="150" t="s">
        <v>586</v>
      </c>
      <c r="J135" s="150" t="s">
        <v>586</v>
      </c>
      <c r="K135" s="150" t="s">
        <v>586</v>
      </c>
      <c r="L135" s="150" t="s">
        <v>586</v>
      </c>
      <c r="M135" s="150" t="s">
        <v>586</v>
      </c>
      <c r="N135" s="150" t="s">
        <v>586</v>
      </c>
    </row>
  </sheetData>
  <sheetProtection algorithmName="SHA-512" hashValue="vNzRSDo7KAIciJ0TE/PvxV7i9TdCQcUZtbd0jiGh+dUbSte7xg/28N5A7NnbbE5eXRCbIlpGYH2sw3Uq9UMFZA==" saltValue="t4Fg4qagog1RQmZj3SvKvg==" spinCount="100000" sheet="1" sort="0"/>
  <mergeCells count="31">
    <mergeCell ref="A59:A64"/>
    <mergeCell ref="A10:A15"/>
    <mergeCell ref="A17:A22"/>
    <mergeCell ref="A24:A29"/>
    <mergeCell ref="A31:A36"/>
    <mergeCell ref="A38:A43"/>
    <mergeCell ref="A45:A50"/>
    <mergeCell ref="A52:A57"/>
    <mergeCell ref="A87:A92"/>
    <mergeCell ref="A94:A99"/>
    <mergeCell ref="A66:A71"/>
    <mergeCell ref="A73:A78"/>
    <mergeCell ref="A80:A85"/>
    <mergeCell ref="B1:AI1"/>
    <mergeCell ref="A3:C3"/>
    <mergeCell ref="D3:F3"/>
    <mergeCell ref="G3:H3"/>
    <mergeCell ref="I3:X3"/>
    <mergeCell ref="Z3:AE3"/>
    <mergeCell ref="AG3:AI3"/>
    <mergeCell ref="A101:A106"/>
    <mergeCell ref="A108:A113"/>
    <mergeCell ref="A115:A120"/>
    <mergeCell ref="A122:A127"/>
    <mergeCell ref="A129:A134"/>
    <mergeCell ref="A8:AI8"/>
    <mergeCell ref="B5:B6"/>
    <mergeCell ref="A5:A6"/>
    <mergeCell ref="E5:E6"/>
    <mergeCell ref="H5:H6"/>
    <mergeCell ref="D5:D6"/>
  </mergeCells>
  <conditionalFormatting sqref="B29">
    <cfRule type="expression" dxfId="3" priority="2">
      <formula>"B17&lt;&gt;0"</formula>
    </cfRule>
  </conditionalFormatting>
  <conditionalFormatting sqref="F29">
    <cfRule type="expression" dxfId="2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tabColor theme="8" tint="0.39997558519241921"/>
    <pageSetUpPr fitToPage="1"/>
  </sheetPr>
  <dimension ref="A1:AK85"/>
  <sheetViews>
    <sheetView view="pageBreakPreview" topLeftCell="A70" zoomScaleNormal="25" zoomScaleSheetLayoutView="100" workbookViewId="0">
      <selection activeCell="I90" sqref="I90"/>
    </sheetView>
  </sheetViews>
  <sheetFormatPr baseColWidth="10" defaultColWidth="11.42578125" defaultRowHeight="15" outlineLevelRow="1" x14ac:dyDescent="0.25"/>
  <cols>
    <col min="1" max="1" width="20.7109375" style="77" customWidth="1"/>
    <col min="2" max="2" width="20.7109375" style="144" customWidth="1"/>
    <col min="3" max="5" width="20.7109375" style="77" customWidth="1"/>
    <col min="6" max="6" width="20.7109375" style="271" customWidth="1"/>
    <col min="7" max="35" width="20.7109375" style="77" customWidth="1"/>
    <col min="36" max="16384" width="11.42578125" style="77"/>
  </cols>
  <sheetData>
    <row r="1" spans="1:37" ht="80.099999999999994" customHeight="1" thickBot="1" x14ac:dyDescent="0.3">
      <c r="A1" s="461" t="s">
        <v>12</v>
      </c>
      <c r="B1" s="597" t="s">
        <v>818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600"/>
    </row>
    <row r="2" spans="1:37" ht="15.75" thickBot="1" x14ac:dyDescent="0.3">
      <c r="C2" s="78"/>
    </row>
    <row r="3" spans="1:37" ht="57.75" customHeight="1" thickBot="1" x14ac:dyDescent="0.4">
      <c r="A3" s="594" t="s">
        <v>827</v>
      </c>
      <c r="B3" s="595"/>
      <c r="C3" s="596"/>
      <c r="D3" s="629" t="s">
        <v>407</v>
      </c>
      <c r="E3" s="629"/>
      <c r="F3" s="607"/>
      <c r="G3" s="587" t="s">
        <v>412</v>
      </c>
      <c r="H3" s="630"/>
      <c r="I3" s="587" t="s">
        <v>403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9"/>
      <c r="Z3" s="602" t="s">
        <v>826</v>
      </c>
      <c r="AA3" s="603"/>
      <c r="AB3" s="603"/>
      <c r="AC3" s="603"/>
      <c r="AD3" s="603"/>
      <c r="AE3" s="604"/>
      <c r="AG3" s="605" t="s">
        <v>205</v>
      </c>
      <c r="AH3" s="606"/>
      <c r="AI3" s="607"/>
    </row>
    <row r="4" spans="1:37" ht="87" customHeight="1" thickBot="1" x14ac:dyDescent="0.3">
      <c r="A4" s="341" t="s">
        <v>401</v>
      </c>
      <c r="B4" s="343" t="s">
        <v>402</v>
      </c>
      <c r="C4" s="342" t="s">
        <v>406</v>
      </c>
      <c r="D4" s="341" t="s">
        <v>265</v>
      </c>
      <c r="E4" s="343" t="s">
        <v>408</v>
      </c>
      <c r="F4" s="342" t="s">
        <v>409</v>
      </c>
      <c r="G4" s="341" t="s">
        <v>415</v>
      </c>
      <c r="H4" s="342" t="s">
        <v>413</v>
      </c>
      <c r="I4" s="338" t="s">
        <v>434</v>
      </c>
      <c r="J4" s="339" t="s">
        <v>435</v>
      </c>
      <c r="K4" s="339" t="s">
        <v>436</v>
      </c>
      <c r="L4" s="339" t="s">
        <v>437</v>
      </c>
      <c r="M4" s="339" t="s">
        <v>528</v>
      </c>
      <c r="N4" s="339" t="s">
        <v>531</v>
      </c>
      <c r="O4" s="339" t="s">
        <v>529</v>
      </c>
      <c r="P4" s="339" t="s">
        <v>530</v>
      </c>
      <c r="Q4" s="339" t="s">
        <v>398</v>
      </c>
      <c r="R4" s="339" t="s">
        <v>399</v>
      </c>
      <c r="S4" s="339" t="s">
        <v>276</v>
      </c>
      <c r="T4" s="339" t="s">
        <v>404</v>
      </c>
      <c r="U4" s="339" t="s">
        <v>510</v>
      </c>
      <c r="V4" s="339" t="s">
        <v>405</v>
      </c>
      <c r="W4" s="339" t="s">
        <v>547</v>
      </c>
      <c r="X4" s="340" t="s">
        <v>400</v>
      </c>
      <c r="Z4" s="362" t="s">
        <v>820</v>
      </c>
      <c r="AA4" s="363" t="s">
        <v>821</v>
      </c>
      <c r="AB4" s="363" t="s">
        <v>199</v>
      </c>
      <c r="AC4" s="363" t="s">
        <v>822</v>
      </c>
      <c r="AD4" s="363" t="s">
        <v>264</v>
      </c>
      <c r="AE4" s="364" t="s">
        <v>823</v>
      </c>
      <c r="AF4" s="353"/>
      <c r="AG4" s="362" t="s">
        <v>824</v>
      </c>
      <c r="AH4" s="363" t="s">
        <v>192</v>
      </c>
      <c r="AI4" s="364" t="s">
        <v>825</v>
      </c>
      <c r="AJ4" s="163"/>
      <c r="AK4" s="163"/>
    </row>
    <row r="5" spans="1:37" ht="58.5" customHeight="1" thickBot="1" x14ac:dyDescent="0.3">
      <c r="A5" s="379" t="str">
        <f>'LISTE DES CAS ANNEXE 30'!A64</f>
        <v>TP CONTRE TP CAS 4</v>
      </c>
      <c r="B5" s="369">
        <f>'LISTE DES CAS ANNEXE 30'!B64</f>
        <v>1</v>
      </c>
      <c r="C5" s="370">
        <f>'LISTE DES CAS ANNEXE 30'!C64</f>
        <v>1</v>
      </c>
      <c r="D5" s="367" t="str">
        <f>'LISTE DES CAS ANNEXE 30'!D64</f>
        <v>MALADIE</v>
      </c>
      <c r="E5" s="368">
        <f>'LISTE DES CAS ANNEXE 30'!E64</f>
        <v>0.55000000000000004</v>
      </c>
      <c r="F5" s="361" t="str">
        <f>'LISTE DES CAS ANNEXE 30'!H64</f>
        <v>NON</v>
      </c>
      <c r="G5" s="365" t="str">
        <f>'LISTE DES CAS ANNEXE 30'!I64</f>
        <v>NON</v>
      </c>
      <c r="H5" s="366" t="str">
        <f>'LISTE DES CAS ANNEXE 30'!J64</f>
        <v>00 - HTP</v>
      </c>
      <c r="I5" s="354" t="str">
        <f>'LISTE DES CAS ANNEXE 30'!K64</f>
        <v>42-SAINT-ETIENNE</v>
      </c>
      <c r="J5" s="413" t="str">
        <f>'LISTE DES CAS ANNEXE 30'!L64</f>
        <v>69-LYON</v>
      </c>
      <c r="K5" s="356" t="str">
        <f>'LISTE DES CAS ANNEXE 30'!M64</f>
        <v>01/12/2025 à 10H00</v>
      </c>
      <c r="L5" s="356" t="str">
        <f>'LISTE DES CAS ANNEXE 30'!N64</f>
        <v>01/12/2025 à 11H15</v>
      </c>
      <c r="M5" s="357" t="str">
        <f>'LISTE DES CAS ANNEXE 30'!O64</f>
        <v>AA-001-BB</v>
      </c>
      <c r="N5" s="357" t="str">
        <f>'LISTE DES CAS ANNEXE 30'!P64</f>
        <v>42218 
(SAINT-ETIENNE)</v>
      </c>
      <c r="O5" s="357" t="str">
        <f>'LISTE DES CAS ANNEXE 30'!Q64</f>
        <v>042</v>
      </c>
      <c r="P5" s="357" t="str">
        <f>'LISTE DES CAS ANNEXE 30'!R64</f>
        <v>422 - CPAM DE LA LOIRE</v>
      </c>
      <c r="Q5" s="358">
        <f>'LISTE DES CAS ANNEXE 30'!S64</f>
        <v>63</v>
      </c>
      <c r="R5" s="359" t="str">
        <f>'LISTE DES CAS ANNEXE 30'!T64</f>
        <v>JOUR</v>
      </c>
      <c r="S5" s="360">
        <f>'LISTE DES CAS ANNEXE 30'!U64</f>
        <v>1</v>
      </c>
      <c r="T5" s="356" t="str">
        <f>'LISTE DES CAS ANNEXE 30'!V64</f>
        <v>NON</v>
      </c>
      <c r="U5" s="356" t="str">
        <f>'LISTE DES CAS ANNEXE 30'!W64</f>
        <v>NON</v>
      </c>
      <c r="V5" s="356" t="str">
        <f>'LISTE DES CAS ANNEXE 30'!X64</f>
        <v>NON</v>
      </c>
      <c r="W5" s="356" t="str">
        <f>'LISTE DES CAS ANNEXE 30'!Y64</f>
        <v>NON</v>
      </c>
      <c r="X5" s="361" t="str">
        <f>'LISTE DES CAS ANNEXE 30'!Z64</f>
        <v>Sans objet</v>
      </c>
      <c r="Z5" s="376" t="s">
        <v>198</v>
      </c>
      <c r="AA5" s="377" t="s">
        <v>491</v>
      </c>
      <c r="AB5" s="369">
        <v>1</v>
      </c>
      <c r="AC5" s="377" t="s">
        <v>202</v>
      </c>
      <c r="AD5" s="377" t="s">
        <v>274</v>
      </c>
      <c r="AE5" s="378" t="s">
        <v>203</v>
      </c>
      <c r="AF5" s="375"/>
      <c r="AG5" s="376" t="s">
        <v>546</v>
      </c>
      <c r="AH5" s="377" t="s">
        <v>202</v>
      </c>
      <c r="AI5" s="378" t="s">
        <v>588</v>
      </c>
    </row>
    <row r="6" spans="1:37" ht="15.75" thickBot="1" x14ac:dyDescent="0.3">
      <c r="C6" s="78"/>
    </row>
    <row r="7" spans="1:37" ht="80.099999999999994" customHeight="1" thickBot="1" x14ac:dyDescent="0.3">
      <c r="A7" s="597" t="s">
        <v>819</v>
      </c>
      <c r="B7" s="601"/>
      <c r="C7" s="601"/>
      <c r="D7" s="601"/>
      <c r="E7" s="601"/>
      <c r="F7" s="601"/>
      <c r="G7" s="601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  <c r="W7" s="601"/>
      <c r="X7" s="601"/>
      <c r="Y7" s="599"/>
      <c r="Z7" s="599"/>
      <c r="AA7" s="599"/>
      <c r="AB7" s="599"/>
      <c r="AC7" s="599"/>
      <c r="AD7" s="599"/>
      <c r="AE7" s="599"/>
      <c r="AF7" s="599"/>
      <c r="AG7" s="599"/>
      <c r="AH7" s="599"/>
      <c r="AI7" s="600"/>
    </row>
    <row r="8" spans="1:37" ht="15.75" thickBot="1" x14ac:dyDescent="0.3">
      <c r="C8" s="78"/>
    </row>
    <row r="9" spans="1:37" ht="100.15" customHeight="1" x14ac:dyDescent="0.25">
      <c r="A9" s="623" t="s">
        <v>372</v>
      </c>
      <c r="B9" s="164" t="s">
        <v>13</v>
      </c>
      <c r="C9" s="165" t="s">
        <v>281</v>
      </c>
      <c r="D9" s="165" t="s">
        <v>282</v>
      </c>
      <c r="E9" s="165" t="s">
        <v>15</v>
      </c>
      <c r="F9" s="272" t="s">
        <v>283</v>
      </c>
      <c r="G9" s="165" t="s">
        <v>284</v>
      </c>
      <c r="H9" s="165" t="s">
        <v>285</v>
      </c>
      <c r="I9" s="165" t="s">
        <v>286</v>
      </c>
      <c r="J9" s="165" t="s">
        <v>287</v>
      </c>
      <c r="K9" s="165" t="s">
        <v>288</v>
      </c>
      <c r="L9" s="166" t="s">
        <v>289</v>
      </c>
      <c r="M9" s="166" t="s">
        <v>290</v>
      </c>
      <c r="N9" s="165" t="s">
        <v>15</v>
      </c>
      <c r="O9" s="165" t="s">
        <v>15</v>
      </c>
      <c r="P9" s="165" t="s">
        <v>15</v>
      </c>
      <c r="Q9" s="165" t="s">
        <v>15</v>
      </c>
      <c r="R9" s="165" t="s">
        <v>291</v>
      </c>
      <c r="S9" s="165" t="s">
        <v>15</v>
      </c>
      <c r="T9" s="167" t="s">
        <v>292</v>
      </c>
      <c r="AJ9" s="163"/>
      <c r="AK9" s="163"/>
    </row>
    <row r="10" spans="1:37" ht="19.899999999999999" customHeight="1" x14ac:dyDescent="0.25">
      <c r="A10" s="624"/>
      <c r="B10" s="168" t="s">
        <v>293</v>
      </c>
      <c r="C10" s="123" t="s">
        <v>294</v>
      </c>
      <c r="D10" s="123" t="s">
        <v>295</v>
      </c>
      <c r="E10" s="124" t="s">
        <v>296</v>
      </c>
      <c r="F10" s="273" t="s">
        <v>297</v>
      </c>
      <c r="G10" s="124" t="s">
        <v>298</v>
      </c>
      <c r="H10" s="124" t="s">
        <v>299</v>
      </c>
      <c r="I10" s="124" t="s">
        <v>300</v>
      </c>
      <c r="J10" s="124" t="s">
        <v>301</v>
      </c>
      <c r="K10" s="124" t="s">
        <v>302</v>
      </c>
      <c r="L10" s="125" t="s">
        <v>303</v>
      </c>
      <c r="M10" s="125" t="s">
        <v>101</v>
      </c>
      <c r="N10" s="124" t="s">
        <v>304</v>
      </c>
      <c r="O10" s="124" t="s">
        <v>255</v>
      </c>
      <c r="P10" s="124" t="s">
        <v>305</v>
      </c>
      <c r="Q10" s="124" t="s">
        <v>306</v>
      </c>
      <c r="R10" s="124" t="s">
        <v>307</v>
      </c>
      <c r="S10" s="124" t="s">
        <v>308</v>
      </c>
      <c r="T10" s="169" t="s">
        <v>309</v>
      </c>
    </row>
    <row r="11" spans="1:37" outlineLevel="1" x14ac:dyDescent="0.25">
      <c r="A11" s="624"/>
      <c r="B11" s="170">
        <v>3</v>
      </c>
      <c r="C11" s="100">
        <v>2</v>
      </c>
      <c r="D11" s="100">
        <v>14</v>
      </c>
      <c r="E11" s="100">
        <v>6</v>
      </c>
      <c r="F11" s="274" t="s">
        <v>204</v>
      </c>
      <c r="G11" s="100">
        <v>14</v>
      </c>
      <c r="H11" s="100">
        <v>6</v>
      </c>
      <c r="I11" s="100">
        <v>2</v>
      </c>
      <c r="J11" s="100">
        <v>6</v>
      </c>
      <c r="K11" s="100">
        <v>6</v>
      </c>
      <c r="L11" s="126">
        <v>4</v>
      </c>
      <c r="M11" s="126">
        <v>2</v>
      </c>
      <c r="N11" s="100">
        <v>1</v>
      </c>
      <c r="O11" s="100">
        <v>1</v>
      </c>
      <c r="P11" s="100">
        <v>3</v>
      </c>
      <c r="Q11" s="100">
        <v>10</v>
      </c>
      <c r="R11" s="100">
        <v>3</v>
      </c>
      <c r="S11" s="100">
        <v>6</v>
      </c>
      <c r="T11" s="171">
        <v>37</v>
      </c>
    </row>
    <row r="12" spans="1:37" outlineLevel="1" x14ac:dyDescent="0.25">
      <c r="A12" s="624"/>
      <c r="B12" s="170" t="s">
        <v>1</v>
      </c>
      <c r="C12" s="100" t="s">
        <v>69</v>
      </c>
      <c r="D12" s="127" t="s">
        <v>1</v>
      </c>
      <c r="E12" s="100" t="s">
        <v>69</v>
      </c>
      <c r="F12" s="274" t="s">
        <v>69</v>
      </c>
      <c r="G12" s="100" t="s">
        <v>1</v>
      </c>
      <c r="H12" s="100" t="s">
        <v>69</v>
      </c>
      <c r="I12" s="100" t="s">
        <v>69</v>
      </c>
      <c r="J12" s="100" t="s">
        <v>69</v>
      </c>
      <c r="K12" s="100" t="s">
        <v>1</v>
      </c>
      <c r="L12" s="128" t="s">
        <v>69</v>
      </c>
      <c r="M12" s="128" t="s">
        <v>69</v>
      </c>
      <c r="N12" s="100" t="s">
        <v>69</v>
      </c>
      <c r="O12" s="100" t="s">
        <v>69</v>
      </c>
      <c r="P12" s="100" t="s">
        <v>69</v>
      </c>
      <c r="Q12" s="100" t="s">
        <v>69</v>
      </c>
      <c r="R12" s="100" t="s">
        <v>1</v>
      </c>
      <c r="S12" s="100" t="s">
        <v>69</v>
      </c>
      <c r="T12" s="171" t="s">
        <v>1</v>
      </c>
    </row>
    <row r="13" spans="1:37" outlineLevel="1" x14ac:dyDescent="0.25">
      <c r="A13" s="624"/>
      <c r="B13" s="170" t="s">
        <v>0</v>
      </c>
      <c r="C13" s="100" t="s">
        <v>0</v>
      </c>
      <c r="D13" s="100" t="s">
        <v>0</v>
      </c>
      <c r="E13" s="100" t="s">
        <v>4</v>
      </c>
      <c r="F13" s="274" t="s">
        <v>0</v>
      </c>
      <c r="G13" s="100" t="s">
        <v>0</v>
      </c>
      <c r="H13" s="100" t="s">
        <v>0</v>
      </c>
      <c r="I13" s="100" t="s">
        <v>0</v>
      </c>
      <c r="J13" s="100" t="s">
        <v>0</v>
      </c>
      <c r="K13" s="100" t="s">
        <v>0</v>
      </c>
      <c r="L13" s="128" t="s">
        <v>0</v>
      </c>
      <c r="M13" s="128" t="s">
        <v>0</v>
      </c>
      <c r="N13" s="100" t="s">
        <v>4</v>
      </c>
      <c r="O13" s="100" t="s">
        <v>4</v>
      </c>
      <c r="P13" s="100" t="s">
        <v>4</v>
      </c>
      <c r="Q13" s="100" t="s">
        <v>4</v>
      </c>
      <c r="R13" s="100" t="s">
        <v>4</v>
      </c>
      <c r="S13" s="100" t="s">
        <v>4</v>
      </c>
      <c r="T13" s="171" t="s">
        <v>0</v>
      </c>
    </row>
    <row r="14" spans="1:37" s="163" customFormat="1" ht="30" customHeight="1" thickBot="1" x14ac:dyDescent="0.3">
      <c r="A14" s="625"/>
      <c r="B14" s="172" t="s">
        <v>6</v>
      </c>
      <c r="C14" s="173" t="s">
        <v>373</v>
      </c>
      <c r="D14" s="174" t="s">
        <v>584</v>
      </c>
      <c r="E14" s="175" t="s">
        <v>374</v>
      </c>
      <c r="F14" s="275" t="s">
        <v>375</v>
      </c>
      <c r="G14" s="174" t="s">
        <v>585</v>
      </c>
      <c r="H14" s="269" t="s">
        <v>482</v>
      </c>
      <c r="I14" s="176" t="s">
        <v>376</v>
      </c>
      <c r="J14" s="176" t="s">
        <v>377</v>
      </c>
      <c r="K14" s="55" t="s">
        <v>482</v>
      </c>
      <c r="L14" s="176" t="s">
        <v>382</v>
      </c>
      <c r="M14" s="176" t="s">
        <v>379</v>
      </c>
      <c r="N14" s="175" t="s">
        <v>8</v>
      </c>
      <c r="O14" s="175" t="s">
        <v>8</v>
      </c>
      <c r="P14" s="175" t="s">
        <v>9</v>
      </c>
      <c r="Q14" s="175" t="s">
        <v>380</v>
      </c>
      <c r="R14" s="175" t="s">
        <v>511</v>
      </c>
      <c r="S14" s="175" t="s">
        <v>374</v>
      </c>
      <c r="T14" s="177" t="s">
        <v>381</v>
      </c>
    </row>
    <row r="15" spans="1:37" ht="15.75" thickBot="1" x14ac:dyDescent="0.3">
      <c r="B15" s="150" t="s">
        <v>586</v>
      </c>
      <c r="C15" s="150" t="s">
        <v>586</v>
      </c>
      <c r="D15" s="150" t="s">
        <v>586</v>
      </c>
      <c r="E15" s="150" t="s">
        <v>586</v>
      </c>
      <c r="F15" s="276" t="s">
        <v>586</v>
      </c>
      <c r="G15" s="150" t="s">
        <v>586</v>
      </c>
      <c r="H15" s="150" t="s">
        <v>586</v>
      </c>
      <c r="I15" s="150" t="s">
        <v>586</v>
      </c>
      <c r="J15" s="150" t="s">
        <v>586</v>
      </c>
      <c r="K15" s="150" t="s">
        <v>586</v>
      </c>
      <c r="L15" s="150" t="s">
        <v>586</v>
      </c>
      <c r="M15" s="150" t="s">
        <v>586</v>
      </c>
      <c r="N15" s="150" t="s">
        <v>586</v>
      </c>
      <c r="O15" s="150" t="s">
        <v>586</v>
      </c>
      <c r="P15" s="150" t="s">
        <v>586</v>
      </c>
      <c r="Q15" s="150" t="s">
        <v>586</v>
      </c>
      <c r="R15" s="150" t="s">
        <v>586</v>
      </c>
      <c r="S15" s="150" t="s">
        <v>586</v>
      </c>
      <c r="T15" s="150" t="s">
        <v>586</v>
      </c>
    </row>
    <row r="16" spans="1:37" ht="100.15" customHeight="1" x14ac:dyDescent="0.25">
      <c r="A16" s="626" t="s">
        <v>362</v>
      </c>
      <c r="B16" s="145" t="s">
        <v>13</v>
      </c>
      <c r="C16" s="129" t="s">
        <v>14</v>
      </c>
      <c r="D16" s="129" t="s">
        <v>310</v>
      </c>
      <c r="E16" s="130" t="s">
        <v>311</v>
      </c>
      <c r="F16" s="277" t="s">
        <v>312</v>
      </c>
      <c r="G16" s="129" t="s">
        <v>313</v>
      </c>
      <c r="H16" s="129" t="s">
        <v>314</v>
      </c>
      <c r="I16" s="129" t="s">
        <v>315</v>
      </c>
      <c r="J16" s="129" t="s">
        <v>316</v>
      </c>
      <c r="K16" s="131" t="s">
        <v>317</v>
      </c>
      <c r="L16" s="131" t="s">
        <v>318</v>
      </c>
      <c r="M16" s="129" t="s">
        <v>114</v>
      </c>
      <c r="N16" s="129" t="s">
        <v>319</v>
      </c>
      <c r="O16" s="129" t="s">
        <v>320</v>
      </c>
      <c r="P16" s="129" t="s">
        <v>321</v>
      </c>
      <c r="Q16" s="129" t="s">
        <v>322</v>
      </c>
      <c r="R16" s="129" t="s">
        <v>465</v>
      </c>
      <c r="S16" s="129" t="s">
        <v>323</v>
      </c>
      <c r="T16" s="129" t="s">
        <v>324</v>
      </c>
      <c r="U16" s="132" t="s">
        <v>15</v>
      </c>
    </row>
    <row r="17" spans="1:35" ht="19.899999999999999" customHeight="1" x14ac:dyDescent="0.25">
      <c r="A17" s="627"/>
      <c r="B17" s="146">
        <v>1</v>
      </c>
      <c r="C17" s="133" t="s">
        <v>47</v>
      </c>
      <c r="D17" s="134" t="s">
        <v>325</v>
      </c>
      <c r="E17" s="135" t="s">
        <v>326</v>
      </c>
      <c r="F17" s="278" t="s">
        <v>327</v>
      </c>
      <c r="G17" s="134" t="s">
        <v>328</v>
      </c>
      <c r="H17" s="134" t="s">
        <v>297</v>
      </c>
      <c r="I17" s="134" t="s">
        <v>329</v>
      </c>
      <c r="J17" s="134" t="s">
        <v>330</v>
      </c>
      <c r="K17" s="134" t="s">
        <v>331</v>
      </c>
      <c r="L17" s="136" t="s">
        <v>332</v>
      </c>
      <c r="M17" s="134" t="s">
        <v>333</v>
      </c>
      <c r="N17" s="134" t="s">
        <v>103</v>
      </c>
      <c r="O17" s="137">
        <v>81</v>
      </c>
      <c r="P17" s="134" t="s">
        <v>334</v>
      </c>
      <c r="Q17" s="134" t="s">
        <v>335</v>
      </c>
      <c r="R17" s="134" t="s">
        <v>336</v>
      </c>
      <c r="S17" s="134" t="s">
        <v>231</v>
      </c>
      <c r="T17" s="134" t="s">
        <v>337</v>
      </c>
      <c r="U17" s="138" t="s">
        <v>338</v>
      </c>
    </row>
    <row r="18" spans="1:35" outlineLevel="1" x14ac:dyDescent="0.25">
      <c r="A18" s="627"/>
      <c r="B18" s="180">
        <v>1</v>
      </c>
      <c r="C18" s="140">
        <v>9</v>
      </c>
      <c r="D18" s="181">
        <v>6</v>
      </c>
      <c r="E18" s="140">
        <v>3</v>
      </c>
      <c r="F18" s="279">
        <v>3</v>
      </c>
      <c r="G18" s="140">
        <v>3</v>
      </c>
      <c r="H18" s="140">
        <v>2</v>
      </c>
      <c r="I18" s="140">
        <v>2</v>
      </c>
      <c r="J18" s="140">
        <v>40</v>
      </c>
      <c r="K18" s="140">
        <v>2</v>
      </c>
      <c r="L18" s="140">
        <v>6</v>
      </c>
      <c r="M18" s="140">
        <v>1</v>
      </c>
      <c r="N18" s="140">
        <v>2</v>
      </c>
      <c r="O18" s="140">
        <v>1</v>
      </c>
      <c r="P18" s="140">
        <v>6</v>
      </c>
      <c r="Q18" s="140">
        <v>1</v>
      </c>
      <c r="R18" s="140">
        <v>2</v>
      </c>
      <c r="S18" s="140">
        <v>3</v>
      </c>
      <c r="T18" s="140">
        <v>1</v>
      </c>
      <c r="U18" s="182">
        <v>34</v>
      </c>
    </row>
    <row r="19" spans="1:35" outlineLevel="1" x14ac:dyDescent="0.25">
      <c r="A19" s="627"/>
      <c r="B19" s="146" t="s">
        <v>1</v>
      </c>
      <c r="C19" s="137" t="s">
        <v>1</v>
      </c>
      <c r="D19" s="137" t="s">
        <v>69</v>
      </c>
      <c r="E19" s="139" t="s">
        <v>1</v>
      </c>
      <c r="F19" s="280" t="s">
        <v>1</v>
      </c>
      <c r="G19" s="137" t="s">
        <v>69</v>
      </c>
      <c r="H19" s="137" t="s">
        <v>69</v>
      </c>
      <c r="I19" s="137" t="s">
        <v>69</v>
      </c>
      <c r="J19" s="137" t="s">
        <v>69</v>
      </c>
      <c r="K19" s="142" t="s">
        <v>69</v>
      </c>
      <c r="L19" s="142" t="s">
        <v>1</v>
      </c>
      <c r="M19" s="137" t="s">
        <v>69</v>
      </c>
      <c r="N19" s="137" t="s">
        <v>69</v>
      </c>
      <c r="O19" s="137" t="s">
        <v>69</v>
      </c>
      <c r="P19" s="137" t="s">
        <v>1</v>
      </c>
      <c r="Q19" s="137" t="s">
        <v>69</v>
      </c>
      <c r="R19" s="137" t="s">
        <v>69</v>
      </c>
      <c r="S19" s="137" t="s">
        <v>69</v>
      </c>
      <c r="T19" s="137" t="s">
        <v>1</v>
      </c>
      <c r="U19" s="141" t="s">
        <v>69</v>
      </c>
    </row>
    <row r="20" spans="1:35" outlineLevel="1" x14ac:dyDescent="0.25">
      <c r="A20" s="627"/>
      <c r="B20" s="146" t="s">
        <v>0</v>
      </c>
      <c r="C20" s="137" t="s">
        <v>0</v>
      </c>
      <c r="D20" s="137" t="s">
        <v>4</v>
      </c>
      <c r="E20" s="139" t="s">
        <v>0</v>
      </c>
      <c r="F20" s="280" t="s">
        <v>0</v>
      </c>
      <c r="G20" s="137" t="s">
        <v>4</v>
      </c>
      <c r="H20" s="137" t="s">
        <v>4</v>
      </c>
      <c r="I20" s="137" t="s">
        <v>4</v>
      </c>
      <c r="J20" s="137" t="s">
        <v>0</v>
      </c>
      <c r="K20" s="142" t="s">
        <v>0</v>
      </c>
      <c r="L20" s="142" t="s">
        <v>0</v>
      </c>
      <c r="M20" s="137" t="s">
        <v>4</v>
      </c>
      <c r="N20" s="137" t="s">
        <v>0</v>
      </c>
      <c r="O20" s="137" t="s">
        <v>4</v>
      </c>
      <c r="P20" s="137" t="s">
        <v>0</v>
      </c>
      <c r="Q20" s="137" t="s">
        <v>4</v>
      </c>
      <c r="R20" s="137" t="s">
        <v>4</v>
      </c>
      <c r="S20" s="137" t="s">
        <v>4</v>
      </c>
      <c r="T20" s="137" t="s">
        <v>4</v>
      </c>
      <c r="U20" s="141" t="s">
        <v>15</v>
      </c>
    </row>
    <row r="21" spans="1:35" s="163" customFormat="1" ht="30" customHeight="1" thickBot="1" x14ac:dyDescent="0.3">
      <c r="A21" s="628"/>
      <c r="B21" s="178">
        <v>1</v>
      </c>
      <c r="C21" s="54" t="s">
        <v>544</v>
      </c>
      <c r="D21" s="161" t="s">
        <v>374</v>
      </c>
      <c r="E21" s="179" t="s">
        <v>274</v>
      </c>
      <c r="F21" s="281" t="s">
        <v>195</v>
      </c>
      <c r="G21" s="162" t="s">
        <v>9</v>
      </c>
      <c r="H21" s="162" t="s">
        <v>210</v>
      </c>
      <c r="I21" s="162" t="s">
        <v>210</v>
      </c>
      <c r="J21" s="162" t="s">
        <v>383</v>
      </c>
      <c r="K21" s="162" t="s">
        <v>379</v>
      </c>
      <c r="L21" s="55" t="s">
        <v>482</v>
      </c>
      <c r="M21" s="162" t="s">
        <v>8</v>
      </c>
      <c r="N21" s="162" t="s">
        <v>378</v>
      </c>
      <c r="O21" s="162" t="s">
        <v>8</v>
      </c>
      <c r="P21" s="161" t="s">
        <v>384</v>
      </c>
      <c r="Q21" s="162" t="s">
        <v>11</v>
      </c>
      <c r="R21" s="162" t="s">
        <v>210</v>
      </c>
      <c r="S21" s="162" t="s">
        <v>9</v>
      </c>
      <c r="T21" s="162" t="s">
        <v>8</v>
      </c>
      <c r="U21" s="177" t="s">
        <v>385</v>
      </c>
    </row>
    <row r="22" spans="1:35" ht="15.75" thickBot="1" x14ac:dyDescent="0.3">
      <c r="A22" s="2"/>
      <c r="B22" s="150" t="s">
        <v>586</v>
      </c>
      <c r="C22" s="150" t="s">
        <v>586</v>
      </c>
      <c r="D22" s="150" t="s">
        <v>586</v>
      </c>
      <c r="E22" s="150" t="s">
        <v>586</v>
      </c>
      <c r="F22" s="276" t="s">
        <v>586</v>
      </c>
      <c r="G22" s="150" t="s">
        <v>586</v>
      </c>
      <c r="H22" s="150" t="s">
        <v>586</v>
      </c>
      <c r="I22" s="150" t="s">
        <v>586</v>
      </c>
      <c r="J22" s="150" t="s">
        <v>586</v>
      </c>
      <c r="K22" s="150" t="s">
        <v>586</v>
      </c>
      <c r="L22" s="150" t="s">
        <v>586</v>
      </c>
      <c r="M22" s="150" t="s">
        <v>586</v>
      </c>
      <c r="N22" s="150" t="s">
        <v>586</v>
      </c>
      <c r="O22" s="150" t="s">
        <v>586</v>
      </c>
      <c r="P22" s="150" t="s">
        <v>586</v>
      </c>
      <c r="Q22" s="150" t="s">
        <v>586</v>
      </c>
      <c r="R22" s="150" t="s">
        <v>586</v>
      </c>
      <c r="S22" s="150" t="s">
        <v>586</v>
      </c>
      <c r="T22" s="150" t="s">
        <v>586</v>
      </c>
      <c r="U22" s="150" t="s">
        <v>586</v>
      </c>
    </row>
    <row r="23" spans="1:35" ht="100.15" customHeight="1" x14ac:dyDescent="0.25">
      <c r="A23" s="614" t="s">
        <v>359</v>
      </c>
      <c r="B23" s="147" t="s">
        <v>13</v>
      </c>
      <c r="C23" s="24" t="s">
        <v>14</v>
      </c>
      <c r="D23" s="24" t="s">
        <v>15</v>
      </c>
      <c r="E23" s="25" t="s">
        <v>16</v>
      </c>
      <c r="F23" s="282" t="s">
        <v>17</v>
      </c>
      <c r="G23" s="24" t="s">
        <v>18</v>
      </c>
      <c r="H23" s="24" t="s">
        <v>19</v>
      </c>
      <c r="I23" s="24" t="s">
        <v>20</v>
      </c>
      <c r="J23" s="24" t="s">
        <v>21</v>
      </c>
      <c r="K23" s="26" t="s">
        <v>22</v>
      </c>
      <c r="L23" s="26" t="s">
        <v>23</v>
      </c>
      <c r="M23" s="24" t="s">
        <v>24</v>
      </c>
      <c r="N23" s="24" t="s">
        <v>25</v>
      </c>
      <c r="O23" s="24" t="s">
        <v>26</v>
      </c>
      <c r="P23" s="24" t="s">
        <v>27</v>
      </c>
      <c r="Q23" s="24" t="s">
        <v>28</v>
      </c>
      <c r="R23" s="24" t="s">
        <v>29</v>
      </c>
      <c r="S23" s="24" t="s">
        <v>30</v>
      </c>
      <c r="T23" s="24" t="s">
        <v>31</v>
      </c>
      <c r="U23" s="24" t="s">
        <v>32</v>
      </c>
      <c r="V23" s="24" t="s">
        <v>33</v>
      </c>
      <c r="W23" s="24" t="s">
        <v>34</v>
      </c>
      <c r="X23" s="24" t="s">
        <v>35</v>
      </c>
      <c r="Y23" s="24" t="s">
        <v>36</v>
      </c>
      <c r="Z23" s="24" t="s">
        <v>37</v>
      </c>
      <c r="AA23" s="24" t="s">
        <v>38</v>
      </c>
      <c r="AB23" s="24" t="s">
        <v>39</v>
      </c>
      <c r="AC23" s="24" t="s">
        <v>40</v>
      </c>
      <c r="AD23" s="24" t="s">
        <v>41</v>
      </c>
      <c r="AE23" s="24" t="s">
        <v>42</v>
      </c>
      <c r="AF23" s="24" t="s">
        <v>43</v>
      </c>
      <c r="AG23" s="24" t="s">
        <v>44</v>
      </c>
      <c r="AH23" s="24" t="s">
        <v>45</v>
      </c>
      <c r="AI23" s="27" t="s">
        <v>46</v>
      </c>
    </row>
    <row r="24" spans="1:35" ht="19.899999999999999" customHeight="1" x14ac:dyDescent="0.25">
      <c r="A24" s="615"/>
      <c r="B24" s="148">
        <v>1</v>
      </c>
      <c r="C24" s="5" t="s">
        <v>47</v>
      </c>
      <c r="D24" s="4">
        <v>11</v>
      </c>
      <c r="E24" s="6" t="s">
        <v>48</v>
      </c>
      <c r="F24" s="283" t="s">
        <v>49</v>
      </c>
      <c r="G24" s="7" t="s">
        <v>50</v>
      </c>
      <c r="H24" s="7">
        <v>36</v>
      </c>
      <c r="I24" s="7">
        <v>37</v>
      </c>
      <c r="J24" s="7">
        <v>38</v>
      </c>
      <c r="K24" s="8" t="s">
        <v>51</v>
      </c>
      <c r="L24" s="8" t="s">
        <v>52</v>
      </c>
      <c r="M24" s="7">
        <v>46</v>
      </c>
      <c r="N24" s="7">
        <v>47</v>
      </c>
      <c r="O24" s="7">
        <v>48</v>
      </c>
      <c r="P24" s="7" t="s">
        <v>53</v>
      </c>
      <c r="Q24" s="7" t="s">
        <v>54</v>
      </c>
      <c r="R24" s="7" t="s">
        <v>55</v>
      </c>
      <c r="S24" s="7">
        <v>58</v>
      </c>
      <c r="T24" s="7" t="s">
        <v>56</v>
      </c>
      <c r="U24" s="7" t="s">
        <v>57</v>
      </c>
      <c r="V24" s="7" t="s">
        <v>58</v>
      </c>
      <c r="W24" s="7" t="s">
        <v>59</v>
      </c>
      <c r="X24" s="7">
        <v>79</v>
      </c>
      <c r="Y24" s="7" t="s">
        <v>60</v>
      </c>
      <c r="Z24" s="7" t="s">
        <v>61</v>
      </c>
      <c r="AA24" s="7">
        <v>95</v>
      </c>
      <c r="AB24" s="7" t="s">
        <v>62</v>
      </c>
      <c r="AC24" s="7">
        <v>102</v>
      </c>
      <c r="AD24" s="7" t="s">
        <v>63</v>
      </c>
      <c r="AE24" s="7" t="s">
        <v>64</v>
      </c>
      <c r="AF24" s="7" t="s">
        <v>65</v>
      </c>
      <c r="AG24" s="7" t="s">
        <v>66</v>
      </c>
      <c r="AH24" s="7" t="s">
        <v>67</v>
      </c>
      <c r="AI24" s="28" t="s">
        <v>68</v>
      </c>
    </row>
    <row r="25" spans="1:35" outlineLevel="1" x14ac:dyDescent="0.25">
      <c r="A25" s="615"/>
      <c r="B25" s="148">
        <v>1</v>
      </c>
      <c r="C25" s="4">
        <v>9</v>
      </c>
      <c r="D25" s="4">
        <v>1</v>
      </c>
      <c r="E25" s="9">
        <v>13</v>
      </c>
      <c r="F25" s="284">
        <v>2</v>
      </c>
      <c r="G25" s="4">
        <v>9</v>
      </c>
      <c r="H25" s="4">
        <v>1</v>
      </c>
      <c r="I25" s="4">
        <v>1</v>
      </c>
      <c r="J25" s="4">
        <v>1</v>
      </c>
      <c r="K25" s="10">
        <v>1</v>
      </c>
      <c r="L25" s="10">
        <v>6</v>
      </c>
      <c r="M25" s="4">
        <v>1</v>
      </c>
      <c r="N25" s="4">
        <v>1</v>
      </c>
      <c r="O25" s="4">
        <v>1</v>
      </c>
      <c r="P25" s="4">
        <v>2</v>
      </c>
      <c r="Q25" s="4">
        <v>3</v>
      </c>
      <c r="R25" s="4">
        <v>4</v>
      </c>
      <c r="S25" s="4">
        <v>1</v>
      </c>
      <c r="T25" s="4">
        <v>9</v>
      </c>
      <c r="U25" s="4">
        <v>6</v>
      </c>
      <c r="V25" s="4">
        <v>3</v>
      </c>
      <c r="W25" s="4">
        <v>2</v>
      </c>
      <c r="X25" s="4">
        <v>1</v>
      </c>
      <c r="Y25" s="4">
        <v>6</v>
      </c>
      <c r="Z25" s="4">
        <v>9</v>
      </c>
      <c r="AA25" s="4">
        <v>1</v>
      </c>
      <c r="AB25" s="4">
        <v>6</v>
      </c>
      <c r="AC25" s="4">
        <v>1</v>
      </c>
      <c r="AD25" s="4">
        <v>2</v>
      </c>
      <c r="AE25" s="4">
        <v>8</v>
      </c>
      <c r="AF25" s="4">
        <v>2</v>
      </c>
      <c r="AG25" s="4">
        <v>2</v>
      </c>
      <c r="AH25" s="4">
        <v>2</v>
      </c>
      <c r="AI25" s="29">
        <v>10</v>
      </c>
    </row>
    <row r="26" spans="1:35" outlineLevel="1" x14ac:dyDescent="0.25">
      <c r="A26" s="615"/>
      <c r="B26" s="148" t="s">
        <v>1</v>
      </c>
      <c r="C26" s="4" t="s">
        <v>1</v>
      </c>
      <c r="D26" s="4" t="s">
        <v>69</v>
      </c>
      <c r="E26" s="9" t="s">
        <v>69</v>
      </c>
      <c r="F26" s="284" t="s">
        <v>1</v>
      </c>
      <c r="G26" s="4" t="s">
        <v>1</v>
      </c>
      <c r="H26" s="4" t="s">
        <v>69</v>
      </c>
      <c r="I26" s="4" t="s">
        <v>69</v>
      </c>
      <c r="J26" s="4" t="s">
        <v>69</v>
      </c>
      <c r="K26" s="11" t="s">
        <v>1</v>
      </c>
      <c r="L26" s="12" t="s">
        <v>1</v>
      </c>
      <c r="M26" s="13" t="s">
        <v>69</v>
      </c>
      <c r="N26" s="4" t="s">
        <v>69</v>
      </c>
      <c r="O26" s="4" t="s">
        <v>69</v>
      </c>
      <c r="P26" s="13" t="s">
        <v>1</v>
      </c>
      <c r="Q26" s="13" t="s">
        <v>1</v>
      </c>
      <c r="R26" s="13" t="s">
        <v>1</v>
      </c>
      <c r="S26" s="4" t="s">
        <v>1</v>
      </c>
      <c r="T26" s="13" t="s">
        <v>1</v>
      </c>
      <c r="U26" s="4" t="s">
        <v>1</v>
      </c>
      <c r="V26" s="4" t="s">
        <v>69</v>
      </c>
      <c r="W26" s="13" t="s">
        <v>1</v>
      </c>
      <c r="X26" s="4" t="s">
        <v>69</v>
      </c>
      <c r="Y26" s="4" t="s">
        <v>1</v>
      </c>
      <c r="Z26" s="13" t="s">
        <v>1</v>
      </c>
      <c r="AA26" s="4" t="s">
        <v>69</v>
      </c>
      <c r="AB26" s="4" t="s">
        <v>1</v>
      </c>
      <c r="AC26" s="4" t="s">
        <v>1</v>
      </c>
      <c r="AD26" s="4" t="s">
        <v>69</v>
      </c>
      <c r="AE26" s="4" t="s">
        <v>69</v>
      </c>
      <c r="AF26" s="4" t="s">
        <v>1</v>
      </c>
      <c r="AG26" s="4" t="s">
        <v>1</v>
      </c>
      <c r="AH26" s="4" t="s">
        <v>1</v>
      </c>
      <c r="AI26" s="29" t="s">
        <v>69</v>
      </c>
    </row>
    <row r="27" spans="1:35" outlineLevel="1" x14ac:dyDescent="0.25">
      <c r="A27" s="615"/>
      <c r="B27" s="148" t="s">
        <v>0</v>
      </c>
      <c r="C27" s="4" t="s">
        <v>0</v>
      </c>
      <c r="D27" s="4" t="s">
        <v>4</v>
      </c>
      <c r="E27" s="9" t="s">
        <v>0</v>
      </c>
      <c r="F27" s="284" t="s">
        <v>0</v>
      </c>
      <c r="G27" s="4" t="s">
        <v>0</v>
      </c>
      <c r="H27" s="4" t="s">
        <v>4</v>
      </c>
      <c r="I27" s="4" t="s">
        <v>4</v>
      </c>
      <c r="J27" s="4" t="s">
        <v>4</v>
      </c>
      <c r="K27" s="12" t="s">
        <v>0</v>
      </c>
      <c r="L27" s="12" t="s">
        <v>0</v>
      </c>
      <c r="M27" s="4" t="s">
        <v>4</v>
      </c>
      <c r="N27" s="4" t="s">
        <v>4</v>
      </c>
      <c r="O27" s="4" t="s">
        <v>4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4</v>
      </c>
      <c r="W27" s="4" t="s">
        <v>4</v>
      </c>
      <c r="X27" s="4" t="s">
        <v>0</v>
      </c>
      <c r="Y27" s="4" t="s">
        <v>4</v>
      </c>
      <c r="Z27" s="4" t="s">
        <v>4</v>
      </c>
      <c r="AA27" s="4" t="s">
        <v>0</v>
      </c>
      <c r="AB27" s="4" t="s">
        <v>0</v>
      </c>
      <c r="AC27" s="4" t="s">
        <v>4</v>
      </c>
      <c r="AD27" s="4" t="s">
        <v>4</v>
      </c>
      <c r="AE27" s="4" t="s">
        <v>4</v>
      </c>
      <c r="AF27" s="4" t="s">
        <v>4</v>
      </c>
      <c r="AG27" s="4" t="s">
        <v>4</v>
      </c>
      <c r="AH27" s="4" t="s">
        <v>4</v>
      </c>
      <c r="AI27" s="29" t="s">
        <v>4</v>
      </c>
    </row>
    <row r="28" spans="1:35" s="76" customFormat="1" ht="30" customHeight="1" thickBot="1" x14ac:dyDescent="0.3">
      <c r="A28" s="616"/>
      <c r="B28" s="149">
        <v>2</v>
      </c>
      <c r="C28" s="54" t="s">
        <v>544</v>
      </c>
      <c r="D28" s="55" t="s">
        <v>8</v>
      </c>
      <c r="E28" s="55" t="s">
        <v>198</v>
      </c>
      <c r="F28" s="270">
        <v>77</v>
      </c>
      <c r="G28" s="55">
        <v>250000001</v>
      </c>
      <c r="H28" s="193" t="s">
        <v>69</v>
      </c>
      <c r="I28" s="79" t="s">
        <v>8</v>
      </c>
      <c r="J28" s="80" t="s">
        <v>8</v>
      </c>
      <c r="K28" s="81" t="s">
        <v>200</v>
      </c>
      <c r="L28" s="55" t="s">
        <v>482</v>
      </c>
      <c r="M28" s="54" t="s">
        <v>8</v>
      </c>
      <c r="N28" s="54" t="s">
        <v>8</v>
      </c>
      <c r="O28" s="54" t="s">
        <v>8</v>
      </c>
      <c r="P28" s="55" t="s">
        <v>202</v>
      </c>
      <c r="Q28" s="55" t="s">
        <v>274</v>
      </c>
      <c r="R28" s="55" t="s">
        <v>203</v>
      </c>
      <c r="S28" s="55" t="s">
        <v>204</v>
      </c>
      <c r="T28" s="55" t="s">
        <v>546</v>
      </c>
      <c r="U28" s="55" t="s">
        <v>269</v>
      </c>
      <c r="V28" s="79" t="s">
        <v>9</v>
      </c>
      <c r="W28" s="54" t="s">
        <v>587</v>
      </c>
      <c r="X28" s="199" t="s">
        <v>206</v>
      </c>
      <c r="Y28" s="55" t="s">
        <v>208</v>
      </c>
      <c r="Z28" s="55" t="s">
        <v>209</v>
      </c>
      <c r="AA28" s="55" t="s">
        <v>8</v>
      </c>
      <c r="AB28" s="55" t="s">
        <v>491</v>
      </c>
      <c r="AC28" s="55">
        <v>1</v>
      </c>
      <c r="AD28" s="79" t="s">
        <v>210</v>
      </c>
      <c r="AE28" s="79" t="s">
        <v>211</v>
      </c>
      <c r="AF28" s="55" t="s">
        <v>202</v>
      </c>
      <c r="AG28" s="54" t="s">
        <v>5</v>
      </c>
      <c r="AH28" s="54" t="s">
        <v>5</v>
      </c>
      <c r="AI28" s="82" t="s">
        <v>380</v>
      </c>
    </row>
    <row r="29" spans="1:35" s="75" customFormat="1" ht="15.75" thickBot="1" x14ac:dyDescent="0.3">
      <c r="B29" s="150" t="s">
        <v>586</v>
      </c>
      <c r="C29" s="75" t="s">
        <v>586</v>
      </c>
      <c r="D29" s="75" t="s">
        <v>586</v>
      </c>
      <c r="E29" s="75" t="s">
        <v>586</v>
      </c>
      <c r="F29" s="276" t="s">
        <v>586</v>
      </c>
      <c r="G29" s="75" t="s">
        <v>586</v>
      </c>
      <c r="H29" s="75" t="s">
        <v>586</v>
      </c>
      <c r="I29" s="75" t="s">
        <v>586</v>
      </c>
      <c r="J29" s="75" t="s">
        <v>586</v>
      </c>
      <c r="K29" s="75" t="s">
        <v>586</v>
      </c>
      <c r="L29" s="75" t="s">
        <v>586</v>
      </c>
      <c r="M29" s="75" t="s">
        <v>586</v>
      </c>
      <c r="N29" s="75" t="s">
        <v>586</v>
      </c>
      <c r="O29" s="75" t="s">
        <v>586</v>
      </c>
      <c r="P29" s="75" t="s">
        <v>586</v>
      </c>
      <c r="Q29" s="75" t="s">
        <v>586</v>
      </c>
      <c r="R29" s="75" t="s">
        <v>586</v>
      </c>
      <c r="S29" s="75" t="s">
        <v>586</v>
      </c>
      <c r="T29" s="75" t="s">
        <v>586</v>
      </c>
      <c r="U29" s="75" t="s">
        <v>586</v>
      </c>
      <c r="V29" s="75" t="s">
        <v>586</v>
      </c>
      <c r="W29" s="75" t="s">
        <v>586</v>
      </c>
      <c r="X29" s="75" t="s">
        <v>586</v>
      </c>
      <c r="Y29" s="75" t="s">
        <v>586</v>
      </c>
      <c r="Z29" s="75" t="s">
        <v>586</v>
      </c>
      <c r="AA29" s="75" t="s">
        <v>586</v>
      </c>
      <c r="AB29" s="75" t="s">
        <v>586</v>
      </c>
      <c r="AC29" s="75" t="s">
        <v>586</v>
      </c>
      <c r="AD29" s="75" t="s">
        <v>586</v>
      </c>
      <c r="AE29" s="75" t="s">
        <v>586</v>
      </c>
      <c r="AF29" s="75" t="s">
        <v>586</v>
      </c>
      <c r="AG29" s="75" t="s">
        <v>586</v>
      </c>
      <c r="AH29" s="75" t="s">
        <v>586</v>
      </c>
      <c r="AI29" s="75" t="s">
        <v>586</v>
      </c>
    </row>
    <row r="30" spans="1:35" s="75" customFormat="1" ht="100.15" customHeight="1" x14ac:dyDescent="0.25">
      <c r="A30" s="617" t="s">
        <v>447</v>
      </c>
      <c r="B30" s="238" t="s">
        <v>13</v>
      </c>
      <c r="C30" s="239" t="s">
        <v>14</v>
      </c>
      <c r="D30" s="239" t="s">
        <v>15</v>
      </c>
      <c r="E30" s="240" t="s">
        <v>16</v>
      </c>
      <c r="F30" s="285" t="s">
        <v>17</v>
      </c>
      <c r="G30" s="239" t="s">
        <v>70</v>
      </c>
      <c r="H30" s="239" t="s">
        <v>71</v>
      </c>
      <c r="I30" s="239" t="s">
        <v>429</v>
      </c>
      <c r="J30" s="241" t="s">
        <v>430</v>
      </c>
      <c r="K30" s="252" t="s">
        <v>15</v>
      </c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</row>
    <row r="31" spans="1:35" ht="19.899999999999999" customHeight="1" x14ac:dyDescent="0.25">
      <c r="A31" s="618"/>
      <c r="B31" s="242">
        <v>1</v>
      </c>
      <c r="C31" s="243" t="s">
        <v>47</v>
      </c>
      <c r="D31" s="244">
        <v>11</v>
      </c>
      <c r="E31" s="245" t="s">
        <v>48</v>
      </c>
      <c r="F31" s="286" t="s">
        <v>49</v>
      </c>
      <c r="G31" s="246" t="s">
        <v>50</v>
      </c>
      <c r="H31" s="246">
        <v>36</v>
      </c>
      <c r="I31" s="247" t="s">
        <v>443</v>
      </c>
      <c r="J31" s="248" t="s">
        <v>444</v>
      </c>
      <c r="K31" s="253" t="s">
        <v>445</v>
      </c>
    </row>
    <row r="32" spans="1:35" ht="16.149999999999999" customHeight="1" outlineLevel="1" x14ac:dyDescent="0.25">
      <c r="A32" s="618"/>
      <c r="B32" s="242">
        <v>1</v>
      </c>
      <c r="C32" s="244">
        <v>9</v>
      </c>
      <c r="D32" s="244">
        <v>1</v>
      </c>
      <c r="E32" s="249">
        <v>13</v>
      </c>
      <c r="F32" s="287">
        <v>2</v>
      </c>
      <c r="G32" s="244">
        <v>9</v>
      </c>
      <c r="H32" s="244">
        <v>1</v>
      </c>
      <c r="I32" s="244">
        <v>11</v>
      </c>
      <c r="J32" s="250">
        <v>14</v>
      </c>
      <c r="K32" s="254">
        <v>67</v>
      </c>
    </row>
    <row r="33" spans="1:35" ht="20.45" customHeight="1" outlineLevel="1" x14ac:dyDescent="0.25">
      <c r="A33" s="618"/>
      <c r="B33" s="242" t="s">
        <v>1</v>
      </c>
      <c r="C33" s="244" t="s">
        <v>1</v>
      </c>
      <c r="D33" s="244" t="s">
        <v>69</v>
      </c>
      <c r="E33" s="249" t="s">
        <v>69</v>
      </c>
      <c r="F33" s="287" t="s">
        <v>1</v>
      </c>
      <c r="G33" s="244" t="s">
        <v>1</v>
      </c>
      <c r="H33" s="244" t="s">
        <v>69</v>
      </c>
      <c r="I33" s="244" t="s">
        <v>1</v>
      </c>
      <c r="J33" s="251" t="s">
        <v>1</v>
      </c>
      <c r="K33" s="255" t="s">
        <v>69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5" ht="15.6" customHeight="1" outlineLevel="1" x14ac:dyDescent="0.25">
      <c r="A34" s="618"/>
      <c r="B34" s="242" t="s">
        <v>0</v>
      </c>
      <c r="C34" s="244" t="s">
        <v>0</v>
      </c>
      <c r="D34" s="244" t="s">
        <v>4</v>
      </c>
      <c r="E34" s="249" t="s">
        <v>0</v>
      </c>
      <c r="F34" s="287" t="s">
        <v>0</v>
      </c>
      <c r="G34" s="244" t="s">
        <v>0</v>
      </c>
      <c r="H34" s="244" t="s">
        <v>4</v>
      </c>
      <c r="I34" s="244" t="s">
        <v>4</v>
      </c>
      <c r="J34" s="251" t="s">
        <v>4</v>
      </c>
      <c r="K34" s="255" t="s">
        <v>4</v>
      </c>
    </row>
    <row r="35" spans="1:35" ht="30" customHeight="1" thickBot="1" x14ac:dyDescent="0.3">
      <c r="A35" s="619"/>
      <c r="B35" s="256" t="s">
        <v>204</v>
      </c>
      <c r="C35" s="54" t="s">
        <v>544</v>
      </c>
      <c r="D35" s="55" t="s">
        <v>8</v>
      </c>
      <c r="E35" s="54" t="s">
        <v>198</v>
      </c>
      <c r="F35" s="288">
        <v>77</v>
      </c>
      <c r="G35" s="54">
        <v>250000001</v>
      </c>
      <c r="H35" s="193" t="s">
        <v>431</v>
      </c>
      <c r="I35" s="33" t="s">
        <v>588</v>
      </c>
      <c r="J35" s="193" t="s">
        <v>432</v>
      </c>
      <c r="K35" s="226" t="s">
        <v>446</v>
      </c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 t="s">
        <v>589</v>
      </c>
      <c r="AH35" s="76"/>
      <c r="AI35" s="76"/>
    </row>
    <row r="36" spans="1:35" s="75" customFormat="1" ht="15.75" thickBot="1" x14ac:dyDescent="0.3">
      <c r="B36" s="150"/>
      <c r="F36" s="276"/>
    </row>
    <row r="37" spans="1:35" s="75" customFormat="1" ht="100.15" customHeight="1" x14ac:dyDescent="0.25">
      <c r="A37" s="620" t="s">
        <v>394</v>
      </c>
      <c r="B37" s="151" t="s">
        <v>13</v>
      </c>
      <c r="C37" s="40" t="s">
        <v>14</v>
      </c>
      <c r="D37" s="40" t="s">
        <v>15</v>
      </c>
      <c r="E37" s="41" t="s">
        <v>16</v>
      </c>
      <c r="F37" s="289" t="s">
        <v>17</v>
      </c>
      <c r="G37" s="40" t="s">
        <v>70</v>
      </c>
      <c r="H37" s="40" t="s">
        <v>71</v>
      </c>
      <c r="I37" s="40" t="s">
        <v>72</v>
      </c>
      <c r="J37" s="40" t="s">
        <v>2</v>
      </c>
      <c r="K37" s="40" t="s">
        <v>73</v>
      </c>
      <c r="L37" s="42" t="s">
        <v>466</v>
      </c>
      <c r="M37" s="42" t="s">
        <v>75</v>
      </c>
      <c r="N37" s="40" t="s">
        <v>76</v>
      </c>
      <c r="O37" s="40" t="s">
        <v>77</v>
      </c>
      <c r="P37" s="40" t="s">
        <v>467</v>
      </c>
      <c r="Q37" s="40" t="s">
        <v>468</v>
      </c>
      <c r="R37" s="40" t="s">
        <v>80</v>
      </c>
      <c r="S37" s="40" t="s">
        <v>81</v>
      </c>
      <c r="T37" s="40" t="s">
        <v>82</v>
      </c>
      <c r="U37" s="40" t="s">
        <v>83</v>
      </c>
      <c r="V37" s="40" t="s">
        <v>84</v>
      </c>
      <c r="W37" s="40" t="s">
        <v>3</v>
      </c>
      <c r="X37" s="40" t="s">
        <v>85</v>
      </c>
      <c r="Y37" s="40" t="s">
        <v>86</v>
      </c>
      <c r="Z37" s="40" t="s">
        <v>87</v>
      </c>
      <c r="AA37" s="40" t="s">
        <v>88</v>
      </c>
      <c r="AB37" s="40" t="s">
        <v>89</v>
      </c>
      <c r="AC37" s="40" t="s">
        <v>90</v>
      </c>
      <c r="AD37" s="40" t="s">
        <v>91</v>
      </c>
      <c r="AE37" s="40" t="s">
        <v>92</v>
      </c>
      <c r="AF37" s="43" t="s">
        <v>93</v>
      </c>
      <c r="AG37" s="77"/>
      <c r="AH37" s="77"/>
      <c r="AI37" s="77"/>
    </row>
    <row r="38" spans="1:35" s="75" customFormat="1" ht="19.899999999999999" customHeight="1" x14ac:dyDescent="0.25">
      <c r="A38" s="615"/>
      <c r="B38" s="152">
        <v>1</v>
      </c>
      <c r="C38" s="44" t="s">
        <v>47</v>
      </c>
      <c r="D38" s="45">
        <v>11</v>
      </c>
      <c r="E38" s="46" t="s">
        <v>48</v>
      </c>
      <c r="F38" s="290" t="s">
        <v>49</v>
      </c>
      <c r="G38" s="47" t="s">
        <v>50</v>
      </c>
      <c r="H38" s="47">
        <v>36</v>
      </c>
      <c r="I38" s="47" t="s">
        <v>94</v>
      </c>
      <c r="J38" s="47" t="s">
        <v>95</v>
      </c>
      <c r="K38" s="47" t="s">
        <v>96</v>
      </c>
      <c r="L38" s="48" t="s">
        <v>97</v>
      </c>
      <c r="M38" s="48" t="s">
        <v>98</v>
      </c>
      <c r="N38" s="47" t="s">
        <v>99</v>
      </c>
      <c r="O38" s="47">
        <v>53</v>
      </c>
      <c r="P38" s="47">
        <v>54</v>
      </c>
      <c r="Q38" s="498" t="s">
        <v>913</v>
      </c>
      <c r="R38" s="47" t="s">
        <v>100</v>
      </c>
      <c r="S38" s="47" t="s">
        <v>101</v>
      </c>
      <c r="T38" s="47" t="s">
        <v>57</v>
      </c>
      <c r="U38" s="47" t="s">
        <v>102</v>
      </c>
      <c r="V38" s="47" t="s">
        <v>103</v>
      </c>
      <c r="W38" s="47" t="s">
        <v>104</v>
      </c>
      <c r="X38" s="47" t="s">
        <v>105</v>
      </c>
      <c r="Y38" s="47" t="s">
        <v>106</v>
      </c>
      <c r="Z38" s="47" t="s">
        <v>107</v>
      </c>
      <c r="AA38" s="47" t="s">
        <v>108</v>
      </c>
      <c r="AB38" s="45" t="s">
        <v>109</v>
      </c>
      <c r="AC38" s="47" t="s">
        <v>110</v>
      </c>
      <c r="AD38" s="45">
        <v>120</v>
      </c>
      <c r="AE38" s="45">
        <v>121</v>
      </c>
      <c r="AF38" s="49" t="s">
        <v>111</v>
      </c>
      <c r="AG38" s="77"/>
      <c r="AH38" s="77"/>
      <c r="AI38" s="77"/>
    </row>
    <row r="39" spans="1:35" s="75" customFormat="1" outlineLevel="1" x14ac:dyDescent="0.25">
      <c r="A39" s="615"/>
      <c r="B39" s="152">
        <v>1</v>
      </c>
      <c r="C39" s="45">
        <v>9</v>
      </c>
      <c r="D39" s="45">
        <v>1</v>
      </c>
      <c r="E39" s="50">
        <v>13</v>
      </c>
      <c r="F39" s="291">
        <v>2</v>
      </c>
      <c r="G39" s="45">
        <v>9</v>
      </c>
      <c r="H39" s="45">
        <v>1</v>
      </c>
      <c r="I39" s="45">
        <v>2</v>
      </c>
      <c r="J39" s="45">
        <v>2</v>
      </c>
      <c r="K39" s="45">
        <v>3</v>
      </c>
      <c r="L39" s="51">
        <v>6</v>
      </c>
      <c r="M39" s="51">
        <v>1</v>
      </c>
      <c r="N39" s="45">
        <v>2</v>
      </c>
      <c r="O39" s="45">
        <v>1</v>
      </c>
      <c r="P39" s="45">
        <v>1</v>
      </c>
      <c r="Q39" s="45">
        <v>9</v>
      </c>
      <c r="R39" s="45">
        <v>2</v>
      </c>
      <c r="S39" s="45">
        <v>2</v>
      </c>
      <c r="T39" s="45">
        <v>6</v>
      </c>
      <c r="U39" s="45">
        <v>5</v>
      </c>
      <c r="V39" s="45">
        <v>2</v>
      </c>
      <c r="W39" s="45">
        <v>6</v>
      </c>
      <c r="X39" s="45">
        <v>2</v>
      </c>
      <c r="Y39" s="45">
        <v>7</v>
      </c>
      <c r="Z39" s="45">
        <v>7</v>
      </c>
      <c r="AA39" s="45">
        <v>3</v>
      </c>
      <c r="AB39" s="45">
        <v>7</v>
      </c>
      <c r="AC39" s="45">
        <v>7</v>
      </c>
      <c r="AD39" s="45">
        <v>1</v>
      </c>
      <c r="AE39" s="45">
        <v>1</v>
      </c>
      <c r="AF39" s="49">
        <v>7</v>
      </c>
      <c r="AG39" s="77"/>
      <c r="AH39" s="77"/>
      <c r="AI39" s="77"/>
    </row>
    <row r="40" spans="1:35" s="75" customFormat="1" outlineLevel="1" x14ac:dyDescent="0.25">
      <c r="A40" s="615"/>
      <c r="B40" s="152" t="s">
        <v>1</v>
      </c>
      <c r="C40" s="45" t="s">
        <v>1</v>
      </c>
      <c r="D40" s="45" t="s">
        <v>69</v>
      </c>
      <c r="E40" s="50" t="s">
        <v>69</v>
      </c>
      <c r="F40" s="291" t="s">
        <v>1</v>
      </c>
      <c r="G40" s="45" t="s">
        <v>1</v>
      </c>
      <c r="H40" s="45" t="s">
        <v>69</v>
      </c>
      <c r="I40" s="45" t="s">
        <v>1</v>
      </c>
      <c r="J40" s="45" t="s">
        <v>1</v>
      </c>
      <c r="K40" s="45" t="s">
        <v>1</v>
      </c>
      <c r="L40" s="52" t="s">
        <v>1</v>
      </c>
      <c r="M40" s="52" t="s">
        <v>1</v>
      </c>
      <c r="N40" s="45" t="s">
        <v>69</v>
      </c>
      <c r="O40" s="45" t="s">
        <v>69</v>
      </c>
      <c r="P40" s="53" t="s">
        <v>69</v>
      </c>
      <c r="Q40" s="45" t="s">
        <v>1</v>
      </c>
      <c r="R40" s="45" t="s">
        <v>1</v>
      </c>
      <c r="S40" s="45" t="s">
        <v>1</v>
      </c>
      <c r="T40" s="45" t="s">
        <v>1</v>
      </c>
      <c r="U40" s="45" t="s">
        <v>69</v>
      </c>
      <c r="V40" s="45" t="s">
        <v>1</v>
      </c>
      <c r="W40" s="45" t="s">
        <v>1</v>
      </c>
      <c r="X40" s="45" t="s">
        <v>1</v>
      </c>
      <c r="Y40" s="45" t="s">
        <v>1</v>
      </c>
      <c r="Z40" s="45" t="s">
        <v>1</v>
      </c>
      <c r="AA40" s="45" t="s">
        <v>1</v>
      </c>
      <c r="AB40" s="45" t="s">
        <v>1</v>
      </c>
      <c r="AC40" s="45" t="s">
        <v>1</v>
      </c>
      <c r="AD40" s="45" t="s">
        <v>69</v>
      </c>
      <c r="AE40" s="45" t="s">
        <v>1</v>
      </c>
      <c r="AF40" s="49" t="s">
        <v>1</v>
      </c>
      <c r="AG40" s="2"/>
      <c r="AH40" s="77"/>
      <c r="AI40" s="77"/>
    </row>
    <row r="41" spans="1:35" s="75" customFormat="1" outlineLevel="1" x14ac:dyDescent="0.25">
      <c r="A41" s="615"/>
      <c r="B41" s="152" t="s">
        <v>0</v>
      </c>
      <c r="C41" s="45" t="s">
        <v>0</v>
      </c>
      <c r="D41" s="45" t="s">
        <v>4</v>
      </c>
      <c r="E41" s="50" t="s">
        <v>0</v>
      </c>
      <c r="F41" s="291" t="s">
        <v>0</v>
      </c>
      <c r="G41" s="45" t="s">
        <v>0</v>
      </c>
      <c r="H41" s="45" t="s">
        <v>4</v>
      </c>
      <c r="I41" s="45" t="s">
        <v>4</v>
      </c>
      <c r="J41" s="45" t="s">
        <v>4</v>
      </c>
      <c r="K41" s="45" t="s">
        <v>4</v>
      </c>
      <c r="L41" s="52" t="s">
        <v>4</v>
      </c>
      <c r="M41" s="52" t="s">
        <v>0</v>
      </c>
      <c r="N41" s="45" t="s">
        <v>4</v>
      </c>
      <c r="O41" s="45" t="s">
        <v>4</v>
      </c>
      <c r="P41" s="45" t="s">
        <v>4</v>
      </c>
      <c r="Q41" s="45" t="s">
        <v>4</v>
      </c>
      <c r="R41" s="45" t="s">
        <v>4</v>
      </c>
      <c r="S41" s="45" t="s">
        <v>112</v>
      </c>
      <c r="T41" s="45" t="s">
        <v>0</v>
      </c>
      <c r="U41" s="45" t="s">
        <v>0</v>
      </c>
      <c r="V41" s="45" t="s">
        <v>0</v>
      </c>
      <c r="W41" s="45" t="s">
        <v>0</v>
      </c>
      <c r="X41" s="45" t="s">
        <v>0</v>
      </c>
      <c r="Y41" s="45" t="s">
        <v>0</v>
      </c>
      <c r="Z41" s="45" t="s">
        <v>0</v>
      </c>
      <c r="AA41" s="45" t="s">
        <v>0</v>
      </c>
      <c r="AB41" s="45" t="s">
        <v>0</v>
      </c>
      <c r="AC41" s="45" t="s">
        <v>0</v>
      </c>
      <c r="AD41" s="45" t="s">
        <v>4</v>
      </c>
      <c r="AE41" s="45" t="s">
        <v>4</v>
      </c>
      <c r="AF41" s="49" t="s">
        <v>4</v>
      </c>
      <c r="AG41" s="77"/>
      <c r="AH41" s="77"/>
      <c r="AI41" s="77"/>
    </row>
    <row r="42" spans="1:35" s="75" customFormat="1" ht="30" customHeight="1" thickBot="1" x14ac:dyDescent="0.3">
      <c r="A42" s="616"/>
      <c r="B42" s="149" t="s">
        <v>10</v>
      </c>
      <c r="C42" s="54" t="s">
        <v>544</v>
      </c>
      <c r="D42" s="55" t="s">
        <v>8</v>
      </c>
      <c r="E42" s="54" t="s">
        <v>198</v>
      </c>
      <c r="F42" s="288">
        <v>77</v>
      </c>
      <c r="G42" s="54">
        <v>250000001</v>
      </c>
      <c r="H42" s="55" t="s">
        <v>69</v>
      </c>
      <c r="I42" s="193" t="s">
        <v>5</v>
      </c>
      <c r="J42" s="55" t="s">
        <v>5</v>
      </c>
      <c r="K42" s="55" t="s">
        <v>6</v>
      </c>
      <c r="L42" s="55" t="s">
        <v>208</v>
      </c>
      <c r="M42" s="193" t="s">
        <v>397</v>
      </c>
      <c r="N42" s="55" t="s">
        <v>210</v>
      </c>
      <c r="O42" s="55" t="s">
        <v>8</v>
      </c>
      <c r="P42" s="55" t="s">
        <v>8</v>
      </c>
      <c r="Q42" s="54" t="s">
        <v>544</v>
      </c>
      <c r="R42" s="55" t="s">
        <v>5</v>
      </c>
      <c r="S42" s="55" t="s">
        <v>5</v>
      </c>
      <c r="T42" s="193" t="s">
        <v>581</v>
      </c>
      <c r="U42" s="228" t="s">
        <v>278</v>
      </c>
      <c r="V42" s="193" t="s">
        <v>202</v>
      </c>
      <c r="W42" s="33" t="s">
        <v>590</v>
      </c>
      <c r="X42" s="33" t="s">
        <v>202</v>
      </c>
      <c r="Y42" s="194" t="s">
        <v>602</v>
      </c>
      <c r="Z42" s="194" t="s">
        <v>602</v>
      </c>
      <c r="AA42" s="194" t="s">
        <v>592</v>
      </c>
      <c r="AB42" s="194" t="s">
        <v>603</v>
      </c>
      <c r="AC42" s="194" t="s">
        <v>602</v>
      </c>
      <c r="AD42" s="193" t="s">
        <v>8</v>
      </c>
      <c r="AE42" s="193" t="s">
        <v>200</v>
      </c>
      <c r="AF42" s="195" t="s">
        <v>212</v>
      </c>
      <c r="AG42" s="188" t="s">
        <v>589</v>
      </c>
      <c r="AH42" s="76"/>
      <c r="AI42" s="76"/>
    </row>
    <row r="43" spans="1:35" s="75" customFormat="1" ht="15.75" thickBot="1" x14ac:dyDescent="0.3">
      <c r="B43" s="150" t="s">
        <v>586</v>
      </c>
      <c r="C43" s="75" t="s">
        <v>586</v>
      </c>
      <c r="D43" s="75" t="s">
        <v>586</v>
      </c>
      <c r="E43" s="75" t="s">
        <v>586</v>
      </c>
      <c r="F43" s="276" t="s">
        <v>586</v>
      </c>
      <c r="G43" s="75" t="s">
        <v>586</v>
      </c>
      <c r="H43" s="75" t="s">
        <v>586</v>
      </c>
      <c r="I43" s="75" t="s">
        <v>586</v>
      </c>
      <c r="J43" s="75" t="s">
        <v>586</v>
      </c>
      <c r="K43" s="75" t="s">
        <v>586</v>
      </c>
      <c r="L43" s="75" t="s">
        <v>586</v>
      </c>
      <c r="M43" s="75" t="s">
        <v>586</v>
      </c>
      <c r="N43" s="75" t="s">
        <v>586</v>
      </c>
      <c r="O43" s="75" t="s">
        <v>586</v>
      </c>
      <c r="P43" s="75" t="s">
        <v>586</v>
      </c>
      <c r="Q43" s="75" t="s">
        <v>586</v>
      </c>
      <c r="R43" s="75" t="s">
        <v>586</v>
      </c>
      <c r="S43" s="75" t="s">
        <v>586</v>
      </c>
      <c r="T43" s="75" t="s">
        <v>586</v>
      </c>
      <c r="U43" s="75" t="s">
        <v>586</v>
      </c>
      <c r="V43" s="75" t="s">
        <v>586</v>
      </c>
      <c r="W43" s="75" t="s">
        <v>586</v>
      </c>
      <c r="X43" s="75" t="s">
        <v>586</v>
      </c>
      <c r="Y43" s="75" t="s">
        <v>586</v>
      </c>
      <c r="Z43" s="75" t="s">
        <v>586</v>
      </c>
      <c r="AA43" s="75" t="s">
        <v>586</v>
      </c>
      <c r="AB43" s="75" t="s">
        <v>586</v>
      </c>
      <c r="AC43" s="75" t="s">
        <v>586</v>
      </c>
      <c r="AD43" s="75" t="s">
        <v>586</v>
      </c>
      <c r="AE43" s="75" t="s">
        <v>586</v>
      </c>
      <c r="AF43" s="75" t="s">
        <v>586</v>
      </c>
    </row>
    <row r="44" spans="1:35" ht="100.15" customHeight="1" x14ac:dyDescent="0.25">
      <c r="A44" s="621" t="s">
        <v>190</v>
      </c>
      <c r="B44" s="153" t="s">
        <v>13</v>
      </c>
      <c r="C44" s="17" t="s">
        <v>14</v>
      </c>
      <c r="D44" s="17" t="s">
        <v>15</v>
      </c>
      <c r="E44" s="18" t="s">
        <v>16</v>
      </c>
      <c r="F44" s="292" t="s">
        <v>17</v>
      </c>
      <c r="G44" s="17" t="s">
        <v>70</v>
      </c>
      <c r="H44" s="17" t="s">
        <v>113</v>
      </c>
      <c r="I44" s="17" t="s">
        <v>72</v>
      </c>
      <c r="J44" s="17" t="s">
        <v>114</v>
      </c>
      <c r="K44" s="17" t="s">
        <v>115</v>
      </c>
      <c r="L44" s="17" t="s">
        <v>116</v>
      </c>
      <c r="M44" s="17" t="s">
        <v>117</v>
      </c>
      <c r="N44" s="17" t="s">
        <v>114</v>
      </c>
      <c r="O44" s="17" t="s">
        <v>118</v>
      </c>
      <c r="P44" s="17" t="s">
        <v>119</v>
      </c>
      <c r="Q44" s="17" t="s">
        <v>120</v>
      </c>
      <c r="R44" s="17" t="s">
        <v>121</v>
      </c>
      <c r="S44" s="17" t="s">
        <v>122</v>
      </c>
      <c r="T44" s="17" t="s">
        <v>123</v>
      </c>
      <c r="U44" s="17" t="s">
        <v>124</v>
      </c>
      <c r="V44" s="17" t="s">
        <v>125</v>
      </c>
      <c r="W44" s="17" t="s">
        <v>126</v>
      </c>
      <c r="X44" s="17" t="s">
        <v>125</v>
      </c>
      <c r="Y44" s="17" t="s">
        <v>127</v>
      </c>
      <c r="Z44" s="17" t="s">
        <v>125</v>
      </c>
      <c r="AA44" s="17" t="s">
        <v>128</v>
      </c>
      <c r="AB44" s="17" t="s">
        <v>7</v>
      </c>
      <c r="AC44" s="17" t="s">
        <v>129</v>
      </c>
      <c r="AD44" s="17" t="s">
        <v>130</v>
      </c>
      <c r="AE44" s="17" t="s">
        <v>129</v>
      </c>
      <c r="AF44" s="17" t="s">
        <v>131</v>
      </c>
      <c r="AG44" s="17" t="s">
        <v>132</v>
      </c>
      <c r="AH44" s="19" t="s">
        <v>114</v>
      </c>
    </row>
    <row r="45" spans="1:35" ht="19.899999999999999" customHeight="1" x14ac:dyDescent="0.25">
      <c r="A45" s="615"/>
      <c r="B45" s="154">
        <v>1</v>
      </c>
      <c r="C45" s="83" t="s">
        <v>47</v>
      </c>
      <c r="D45" s="14" t="s">
        <v>133</v>
      </c>
      <c r="E45" s="84" t="s">
        <v>48</v>
      </c>
      <c r="F45" s="293" t="s">
        <v>49</v>
      </c>
      <c r="G45" s="14" t="s">
        <v>50</v>
      </c>
      <c r="H45" s="14">
        <v>36</v>
      </c>
      <c r="I45" s="14" t="s">
        <v>94</v>
      </c>
      <c r="J45" s="14" t="s">
        <v>134</v>
      </c>
      <c r="K45" s="14">
        <v>46</v>
      </c>
      <c r="L45" s="14">
        <v>47</v>
      </c>
      <c r="M45" s="14">
        <v>48</v>
      </c>
      <c r="N45" s="14" t="s">
        <v>135</v>
      </c>
      <c r="O45" s="14">
        <v>50</v>
      </c>
      <c r="P45" s="14" t="s">
        <v>136</v>
      </c>
      <c r="Q45" s="14" t="s">
        <v>137</v>
      </c>
      <c r="R45" s="14" t="s">
        <v>138</v>
      </c>
      <c r="S45" s="14" t="s">
        <v>139</v>
      </c>
      <c r="T45" s="14" t="s">
        <v>140</v>
      </c>
      <c r="U45" s="14" t="s">
        <v>141</v>
      </c>
      <c r="V45" s="14" t="s">
        <v>142</v>
      </c>
      <c r="W45" s="14" t="s">
        <v>143</v>
      </c>
      <c r="X45" s="14" t="s">
        <v>144</v>
      </c>
      <c r="Y45" s="14" t="s">
        <v>145</v>
      </c>
      <c r="Z45" s="14" t="s">
        <v>146</v>
      </c>
      <c r="AA45" s="14">
        <v>93</v>
      </c>
      <c r="AB45" s="14" t="s">
        <v>147</v>
      </c>
      <c r="AC45" s="14" t="s">
        <v>62</v>
      </c>
      <c r="AD45" s="14" t="s">
        <v>148</v>
      </c>
      <c r="AE45" s="14" t="s">
        <v>149</v>
      </c>
      <c r="AF45" s="14" t="s">
        <v>150</v>
      </c>
      <c r="AG45" s="14" t="s">
        <v>151</v>
      </c>
      <c r="AH45" s="85" t="s">
        <v>152</v>
      </c>
    </row>
    <row r="46" spans="1:35" ht="30" customHeight="1" outlineLevel="1" x14ac:dyDescent="0.25">
      <c r="A46" s="615"/>
      <c r="B46" s="154">
        <v>1</v>
      </c>
      <c r="C46" s="15">
        <v>9</v>
      </c>
      <c r="D46" s="15">
        <v>1</v>
      </c>
      <c r="E46" s="86">
        <v>13</v>
      </c>
      <c r="F46" s="294">
        <v>2</v>
      </c>
      <c r="G46" s="15">
        <v>9</v>
      </c>
      <c r="H46" s="15">
        <v>1</v>
      </c>
      <c r="I46" s="15">
        <v>2</v>
      </c>
      <c r="J46" s="15">
        <v>7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6</v>
      </c>
      <c r="Q46" s="15">
        <v>2</v>
      </c>
      <c r="R46" s="15">
        <v>2</v>
      </c>
      <c r="S46" s="15">
        <v>2</v>
      </c>
      <c r="T46" s="15">
        <v>6</v>
      </c>
      <c r="U46" s="15">
        <v>4</v>
      </c>
      <c r="V46" s="15">
        <v>4</v>
      </c>
      <c r="W46" s="15">
        <v>4</v>
      </c>
      <c r="X46" s="15">
        <v>4</v>
      </c>
      <c r="Y46" s="15">
        <v>4</v>
      </c>
      <c r="Z46" s="15">
        <v>4</v>
      </c>
      <c r="AA46" s="15">
        <v>1</v>
      </c>
      <c r="AB46" s="15">
        <v>2</v>
      </c>
      <c r="AC46" s="15">
        <v>6</v>
      </c>
      <c r="AD46" s="15">
        <v>2</v>
      </c>
      <c r="AE46" s="15">
        <v>6</v>
      </c>
      <c r="AF46" s="15">
        <v>7</v>
      </c>
      <c r="AG46" s="15">
        <v>7</v>
      </c>
      <c r="AH46" s="87">
        <v>5</v>
      </c>
    </row>
    <row r="47" spans="1:35" ht="30" customHeight="1" outlineLevel="1" x14ac:dyDescent="0.25">
      <c r="A47" s="615"/>
      <c r="B47" s="154" t="s">
        <v>1</v>
      </c>
      <c r="C47" s="15" t="s">
        <v>1</v>
      </c>
      <c r="D47" s="15" t="s">
        <v>69</v>
      </c>
      <c r="E47" s="86" t="s">
        <v>69</v>
      </c>
      <c r="F47" s="294" t="s">
        <v>1</v>
      </c>
      <c r="G47" s="15" t="s">
        <v>1</v>
      </c>
      <c r="H47" s="15" t="s">
        <v>69</v>
      </c>
      <c r="I47" s="15" t="s">
        <v>1</v>
      </c>
      <c r="J47" s="15" t="s">
        <v>69</v>
      </c>
      <c r="K47" s="15" t="s">
        <v>1</v>
      </c>
      <c r="L47" s="15" t="s">
        <v>1</v>
      </c>
      <c r="M47" s="15" t="s">
        <v>1</v>
      </c>
      <c r="N47" s="15" t="s">
        <v>69</v>
      </c>
      <c r="O47" s="15" t="s">
        <v>1</v>
      </c>
      <c r="P47" s="15" t="s">
        <v>1</v>
      </c>
      <c r="Q47" s="15" t="s">
        <v>1</v>
      </c>
      <c r="R47" s="15" t="s">
        <v>1</v>
      </c>
      <c r="S47" s="15" t="s">
        <v>1</v>
      </c>
      <c r="T47" s="15" t="s">
        <v>1</v>
      </c>
      <c r="U47" s="15" t="s">
        <v>1</v>
      </c>
      <c r="V47" s="15" t="s">
        <v>1</v>
      </c>
      <c r="W47" s="15" t="s">
        <v>1</v>
      </c>
      <c r="X47" s="15" t="s">
        <v>1</v>
      </c>
      <c r="Y47" s="15" t="s">
        <v>1</v>
      </c>
      <c r="Z47" s="15" t="s">
        <v>1</v>
      </c>
      <c r="AA47" s="15" t="s">
        <v>1</v>
      </c>
      <c r="AB47" s="15" t="s">
        <v>1</v>
      </c>
      <c r="AC47" s="15" t="s">
        <v>1</v>
      </c>
      <c r="AD47" s="15" t="s">
        <v>1</v>
      </c>
      <c r="AE47" s="15" t="s">
        <v>1</v>
      </c>
      <c r="AF47" s="15" t="s">
        <v>1</v>
      </c>
      <c r="AG47" s="15" t="s">
        <v>1</v>
      </c>
      <c r="AH47" s="225" t="s">
        <v>69</v>
      </c>
    </row>
    <row r="48" spans="1:35" ht="30" customHeight="1" outlineLevel="1" x14ac:dyDescent="0.25">
      <c r="A48" s="615"/>
      <c r="B48" s="154" t="s">
        <v>0</v>
      </c>
      <c r="C48" s="15" t="s">
        <v>0</v>
      </c>
      <c r="D48" s="15" t="s">
        <v>4</v>
      </c>
      <c r="E48" s="86" t="s">
        <v>0</v>
      </c>
      <c r="F48" s="294" t="s">
        <v>0</v>
      </c>
      <c r="G48" s="15" t="s">
        <v>0</v>
      </c>
      <c r="H48" s="15" t="s">
        <v>0</v>
      </c>
      <c r="I48" s="15" t="s">
        <v>4</v>
      </c>
      <c r="J48" s="15" t="s">
        <v>4</v>
      </c>
      <c r="K48" s="15" t="s">
        <v>0</v>
      </c>
      <c r="L48" s="15" t="s">
        <v>0</v>
      </c>
      <c r="M48" s="15" t="s">
        <v>0</v>
      </c>
      <c r="N48" s="15" t="s">
        <v>4</v>
      </c>
      <c r="O48" s="15" t="s">
        <v>0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88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  <c r="AF48" s="15" t="s">
        <v>4</v>
      </c>
      <c r="AG48" s="15" t="s">
        <v>4</v>
      </c>
      <c r="AH48" s="225" t="s">
        <v>4</v>
      </c>
    </row>
    <row r="49" spans="1:34" s="76" customFormat="1" ht="30" customHeight="1" thickBot="1" x14ac:dyDescent="0.3">
      <c r="A49" s="616"/>
      <c r="B49" s="149" t="s">
        <v>10</v>
      </c>
      <c r="C49" s="54" t="s">
        <v>544</v>
      </c>
      <c r="D49" s="55" t="s">
        <v>8</v>
      </c>
      <c r="E49" s="54" t="s">
        <v>198</v>
      </c>
      <c r="F49" s="288">
        <v>77</v>
      </c>
      <c r="G49" s="54">
        <v>250000001</v>
      </c>
      <c r="H49" s="55" t="s">
        <v>201</v>
      </c>
      <c r="I49" s="54" t="s">
        <v>202</v>
      </c>
      <c r="J49" s="55" t="s">
        <v>213</v>
      </c>
      <c r="K49" s="55" t="s">
        <v>206</v>
      </c>
      <c r="L49" s="55" t="s">
        <v>206</v>
      </c>
      <c r="M49" s="55" t="s">
        <v>206</v>
      </c>
      <c r="N49" s="55" t="s">
        <v>8</v>
      </c>
      <c r="O49" s="55" t="s">
        <v>206</v>
      </c>
      <c r="P49" s="55" t="s">
        <v>208</v>
      </c>
      <c r="Q49" s="55" t="s">
        <v>5</v>
      </c>
      <c r="R49" s="55" t="s">
        <v>5</v>
      </c>
      <c r="S49" s="55" t="s">
        <v>5</v>
      </c>
      <c r="T49" s="55" t="s">
        <v>208</v>
      </c>
      <c r="U49" s="55" t="s">
        <v>203</v>
      </c>
      <c r="V49" s="55" t="s">
        <v>203</v>
      </c>
      <c r="W49" s="55" t="s">
        <v>203</v>
      </c>
      <c r="X49" s="55" t="s">
        <v>203</v>
      </c>
      <c r="Y49" s="55" t="s">
        <v>203</v>
      </c>
      <c r="Z49" s="55" t="s">
        <v>203</v>
      </c>
      <c r="AA49" s="55" t="s">
        <v>206</v>
      </c>
      <c r="AB49" s="55" t="s">
        <v>5</v>
      </c>
      <c r="AC49" s="55" t="s">
        <v>208</v>
      </c>
      <c r="AD49" s="55" t="s">
        <v>5</v>
      </c>
      <c r="AE49" s="55" t="s">
        <v>208</v>
      </c>
      <c r="AF49" s="55" t="s">
        <v>212</v>
      </c>
      <c r="AG49" s="55" t="s">
        <v>212</v>
      </c>
      <c r="AH49" s="226" t="s">
        <v>428</v>
      </c>
    </row>
    <row r="50" spans="1:34" s="75" customFormat="1" ht="15.75" outlineLevel="1" thickBot="1" x14ac:dyDescent="0.3">
      <c r="B50" s="150" t="s">
        <v>586</v>
      </c>
      <c r="C50" s="75" t="s">
        <v>586</v>
      </c>
      <c r="D50" s="75" t="s">
        <v>586</v>
      </c>
      <c r="E50" s="75" t="s">
        <v>586</v>
      </c>
      <c r="F50" s="276" t="s">
        <v>586</v>
      </c>
      <c r="G50" s="75" t="s">
        <v>586</v>
      </c>
      <c r="H50" s="75" t="s">
        <v>586</v>
      </c>
      <c r="I50" s="75" t="s">
        <v>586</v>
      </c>
      <c r="J50" s="75" t="s">
        <v>586</v>
      </c>
      <c r="K50" s="75" t="s">
        <v>586</v>
      </c>
      <c r="L50" s="75" t="s">
        <v>586</v>
      </c>
      <c r="M50" s="75" t="s">
        <v>586</v>
      </c>
      <c r="N50" s="75" t="s">
        <v>586</v>
      </c>
      <c r="O50" s="75" t="s">
        <v>586</v>
      </c>
      <c r="P50" s="75" t="s">
        <v>586</v>
      </c>
      <c r="Q50" s="75" t="s">
        <v>586</v>
      </c>
      <c r="R50" s="75" t="s">
        <v>586</v>
      </c>
      <c r="S50" s="75" t="s">
        <v>586</v>
      </c>
      <c r="T50" s="75" t="s">
        <v>586</v>
      </c>
      <c r="U50" s="75" t="s">
        <v>586</v>
      </c>
      <c r="V50" s="75" t="s">
        <v>586</v>
      </c>
      <c r="W50" s="75" t="s">
        <v>586</v>
      </c>
      <c r="X50" s="75" t="s">
        <v>586</v>
      </c>
      <c r="Y50" s="75" t="s">
        <v>586</v>
      </c>
      <c r="Z50" s="75" t="s">
        <v>586</v>
      </c>
      <c r="AA50" s="75" t="s">
        <v>586</v>
      </c>
      <c r="AB50" s="75" t="s">
        <v>586</v>
      </c>
      <c r="AC50" s="75" t="s">
        <v>586</v>
      </c>
      <c r="AD50" s="75" t="s">
        <v>586</v>
      </c>
      <c r="AE50" s="75" t="s">
        <v>586</v>
      </c>
      <c r="AF50" s="75" t="s">
        <v>586</v>
      </c>
      <c r="AG50" s="75" t="s">
        <v>586</v>
      </c>
      <c r="AH50" s="75" t="s">
        <v>586</v>
      </c>
    </row>
    <row r="51" spans="1:34" ht="99.95" customHeight="1" x14ac:dyDescent="0.25">
      <c r="A51" s="622" t="s">
        <v>191</v>
      </c>
      <c r="B51" s="155" t="s">
        <v>13</v>
      </c>
      <c r="C51" s="20" t="s">
        <v>14</v>
      </c>
      <c r="D51" s="20" t="s">
        <v>15</v>
      </c>
      <c r="E51" s="21" t="s">
        <v>16</v>
      </c>
      <c r="F51" s="295" t="s">
        <v>17</v>
      </c>
      <c r="G51" s="20" t="s">
        <v>70</v>
      </c>
      <c r="H51" s="20" t="s">
        <v>113</v>
      </c>
      <c r="I51" s="20" t="s">
        <v>72</v>
      </c>
      <c r="J51" s="20" t="s">
        <v>153</v>
      </c>
      <c r="K51" s="20" t="s">
        <v>154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159</v>
      </c>
      <c r="Q51" s="20" t="s">
        <v>160</v>
      </c>
      <c r="R51" s="20" t="s">
        <v>161</v>
      </c>
      <c r="S51" s="20" t="s">
        <v>162</v>
      </c>
      <c r="T51" s="20" t="s">
        <v>163</v>
      </c>
      <c r="U51" s="20" t="s">
        <v>164</v>
      </c>
      <c r="V51" s="20" t="s">
        <v>165</v>
      </c>
      <c r="W51" s="20" t="s">
        <v>166</v>
      </c>
      <c r="X51" s="20" t="s">
        <v>167</v>
      </c>
      <c r="Y51" s="20" t="s">
        <v>168</v>
      </c>
      <c r="Z51" s="20" t="s">
        <v>169</v>
      </c>
      <c r="AA51" s="20" t="s">
        <v>170</v>
      </c>
      <c r="AB51" s="20" t="s">
        <v>171</v>
      </c>
      <c r="AC51" s="20" t="s">
        <v>172</v>
      </c>
      <c r="AD51" s="22" t="s">
        <v>114</v>
      </c>
      <c r="AE51" s="189"/>
      <c r="AF51" s="189"/>
    </row>
    <row r="52" spans="1:34" ht="19.899999999999999" customHeight="1" x14ac:dyDescent="0.25">
      <c r="A52" s="615"/>
      <c r="B52" s="156">
        <v>1</v>
      </c>
      <c r="C52" s="90" t="s">
        <v>47</v>
      </c>
      <c r="D52" s="16">
        <v>11</v>
      </c>
      <c r="E52" s="91" t="s">
        <v>48</v>
      </c>
      <c r="F52" s="296" t="s">
        <v>49</v>
      </c>
      <c r="G52" s="92" t="s">
        <v>50</v>
      </c>
      <c r="H52" s="92">
        <v>36</v>
      </c>
      <c r="I52" s="92" t="s">
        <v>94</v>
      </c>
      <c r="J52" s="92" t="s">
        <v>173</v>
      </c>
      <c r="K52" s="92" t="s">
        <v>174</v>
      </c>
      <c r="L52" s="92" t="s">
        <v>175</v>
      </c>
      <c r="M52" s="92" t="s">
        <v>176</v>
      </c>
      <c r="N52" s="92" t="s">
        <v>177</v>
      </c>
      <c r="O52" s="92" t="s">
        <v>178</v>
      </c>
      <c r="P52" s="92" t="s">
        <v>179</v>
      </c>
      <c r="Q52" s="92" t="s">
        <v>180</v>
      </c>
      <c r="R52" s="92" t="s">
        <v>181</v>
      </c>
      <c r="S52" s="92" t="s">
        <v>939</v>
      </c>
      <c r="T52" s="92" t="s">
        <v>182</v>
      </c>
      <c r="U52" s="92">
        <v>100</v>
      </c>
      <c r="V52" s="92" t="s">
        <v>183</v>
      </c>
      <c r="W52" s="92" t="s">
        <v>184</v>
      </c>
      <c r="X52" s="92" t="s">
        <v>185</v>
      </c>
      <c r="Y52" s="92" t="s">
        <v>186</v>
      </c>
      <c r="Z52" s="92">
        <v>117</v>
      </c>
      <c r="AA52" s="92">
        <v>118</v>
      </c>
      <c r="AB52" s="92" t="s">
        <v>187</v>
      </c>
      <c r="AC52" s="92">
        <v>125</v>
      </c>
      <c r="AD52" s="93" t="s">
        <v>188</v>
      </c>
      <c r="AE52" s="189"/>
      <c r="AF52" s="189"/>
    </row>
    <row r="53" spans="1:34" ht="30" customHeight="1" outlineLevel="1" x14ac:dyDescent="0.25">
      <c r="A53" s="615"/>
      <c r="B53" s="156">
        <v>1</v>
      </c>
      <c r="C53" s="16">
        <v>9</v>
      </c>
      <c r="D53" s="16">
        <v>1</v>
      </c>
      <c r="E53" s="94">
        <v>13</v>
      </c>
      <c r="F53" s="297">
        <v>2</v>
      </c>
      <c r="G53" s="16">
        <v>9</v>
      </c>
      <c r="H53" s="16">
        <v>1</v>
      </c>
      <c r="I53" s="16">
        <v>2</v>
      </c>
      <c r="J53" s="16">
        <v>6</v>
      </c>
      <c r="K53" s="16">
        <v>4</v>
      </c>
      <c r="L53" s="16">
        <v>5</v>
      </c>
      <c r="M53" s="16">
        <v>9</v>
      </c>
      <c r="N53" s="16">
        <v>8</v>
      </c>
      <c r="O53" s="16">
        <v>3</v>
      </c>
      <c r="P53" s="16">
        <v>8</v>
      </c>
      <c r="Q53" s="16">
        <v>3</v>
      </c>
      <c r="R53" s="16">
        <v>6</v>
      </c>
      <c r="S53" s="16">
        <v>4</v>
      </c>
      <c r="T53" s="16">
        <v>5</v>
      </c>
      <c r="U53" s="16">
        <v>1</v>
      </c>
      <c r="V53" s="16">
        <v>2</v>
      </c>
      <c r="W53" s="16">
        <v>6</v>
      </c>
      <c r="X53" s="16">
        <v>4</v>
      </c>
      <c r="Y53" s="16">
        <v>4</v>
      </c>
      <c r="Z53" s="16">
        <v>1</v>
      </c>
      <c r="AA53" s="16">
        <v>1</v>
      </c>
      <c r="AB53" s="16">
        <v>6</v>
      </c>
      <c r="AC53" s="16">
        <v>1</v>
      </c>
      <c r="AD53" s="23">
        <v>3</v>
      </c>
      <c r="AE53" s="189"/>
      <c r="AF53" s="189"/>
    </row>
    <row r="54" spans="1:34" ht="30" customHeight="1" outlineLevel="1" x14ac:dyDescent="0.25">
      <c r="A54" s="615"/>
      <c r="B54" s="156" t="s">
        <v>1</v>
      </c>
      <c r="C54" s="16" t="s">
        <v>1</v>
      </c>
      <c r="D54" s="16" t="s">
        <v>69</v>
      </c>
      <c r="E54" s="94" t="s">
        <v>69</v>
      </c>
      <c r="F54" s="297" t="s">
        <v>1</v>
      </c>
      <c r="G54" s="16" t="s">
        <v>1</v>
      </c>
      <c r="H54" s="16" t="s">
        <v>69</v>
      </c>
      <c r="I54" s="16" t="s">
        <v>1</v>
      </c>
      <c r="J54" s="16" t="s">
        <v>1</v>
      </c>
      <c r="K54" s="16" t="s">
        <v>1</v>
      </c>
      <c r="L54" s="16" t="s">
        <v>1</v>
      </c>
      <c r="M54" s="143" t="s">
        <v>69</v>
      </c>
      <c r="N54" s="16" t="s">
        <v>69</v>
      </c>
      <c r="O54" s="16" t="s">
        <v>69</v>
      </c>
      <c r="P54" s="16" t="s">
        <v>69</v>
      </c>
      <c r="Q54" s="16" t="s">
        <v>69</v>
      </c>
      <c r="R54" s="16" t="s">
        <v>1</v>
      </c>
      <c r="S54" s="16" t="s">
        <v>1</v>
      </c>
      <c r="T54" s="16" t="s">
        <v>1</v>
      </c>
      <c r="U54" s="16" t="s">
        <v>1</v>
      </c>
      <c r="V54" s="16" t="s">
        <v>1</v>
      </c>
      <c r="W54" s="16" t="s">
        <v>1</v>
      </c>
      <c r="X54" s="16" t="s">
        <v>1</v>
      </c>
      <c r="Y54" s="16" t="s">
        <v>1</v>
      </c>
      <c r="Z54" s="16" t="s">
        <v>69</v>
      </c>
      <c r="AA54" s="16" t="s">
        <v>69</v>
      </c>
      <c r="AB54" s="16" t="s">
        <v>1</v>
      </c>
      <c r="AC54" s="16" t="s">
        <v>69</v>
      </c>
      <c r="AD54" s="227" t="s">
        <v>69</v>
      </c>
      <c r="AE54" s="189"/>
      <c r="AF54" s="189"/>
    </row>
    <row r="55" spans="1:34" ht="30" customHeight="1" outlineLevel="1" x14ac:dyDescent="0.25">
      <c r="A55" s="615"/>
      <c r="B55" s="156" t="s">
        <v>0</v>
      </c>
      <c r="C55" s="16" t="s">
        <v>0</v>
      </c>
      <c r="D55" s="16" t="s">
        <v>4</v>
      </c>
      <c r="E55" s="94" t="s">
        <v>0</v>
      </c>
      <c r="F55" s="29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189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4</v>
      </c>
      <c r="Q55" s="16" t="s">
        <v>4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4</v>
      </c>
      <c r="W55" s="16" t="s">
        <v>4</v>
      </c>
      <c r="X55" s="16" t="s">
        <v>4</v>
      </c>
      <c r="Y55" s="16" t="s">
        <v>0</v>
      </c>
      <c r="Z55" s="16" t="s">
        <v>4</v>
      </c>
      <c r="AA55" s="16" t="s">
        <v>4</v>
      </c>
      <c r="AB55" s="16" t="s">
        <v>4</v>
      </c>
      <c r="AC55" s="16" t="s">
        <v>4</v>
      </c>
      <c r="AD55" s="23" t="s">
        <v>4</v>
      </c>
      <c r="AE55" s="189"/>
      <c r="AF55" s="189"/>
    </row>
    <row r="56" spans="1:34" s="76" customFormat="1" ht="30" customHeight="1" thickBot="1" x14ac:dyDescent="0.3">
      <c r="A56" s="616"/>
      <c r="B56" s="149" t="s">
        <v>10</v>
      </c>
      <c r="C56" s="54" t="s">
        <v>544</v>
      </c>
      <c r="D56" s="55" t="s">
        <v>8</v>
      </c>
      <c r="E56" s="54" t="s">
        <v>198</v>
      </c>
      <c r="F56" s="288">
        <v>77</v>
      </c>
      <c r="G56" s="54">
        <v>250000001</v>
      </c>
      <c r="H56" s="55" t="s">
        <v>11</v>
      </c>
      <c r="I56" s="33" t="s">
        <v>202</v>
      </c>
      <c r="J56" s="54" t="s">
        <v>581</v>
      </c>
      <c r="K56" s="54" t="s">
        <v>582</v>
      </c>
      <c r="L56" s="54" t="s">
        <v>263</v>
      </c>
      <c r="M56" s="54" t="s">
        <v>542</v>
      </c>
      <c r="N56" s="54" t="s">
        <v>417</v>
      </c>
      <c r="O56" s="54" t="s">
        <v>483</v>
      </c>
      <c r="P56" s="54" t="s">
        <v>211</v>
      </c>
      <c r="Q56" s="54" t="s">
        <v>9</v>
      </c>
      <c r="R56" s="54" t="s">
        <v>581</v>
      </c>
      <c r="S56" s="54" t="s">
        <v>609</v>
      </c>
      <c r="T56" s="54" t="s">
        <v>214</v>
      </c>
      <c r="U56" s="54">
        <v>1</v>
      </c>
      <c r="V56" s="55" t="s">
        <v>5</v>
      </c>
      <c r="W56" s="55" t="s">
        <v>208</v>
      </c>
      <c r="X56" s="229" t="s">
        <v>203</v>
      </c>
      <c r="Y56" s="54" t="s">
        <v>610</v>
      </c>
      <c r="Z56" s="55" t="s">
        <v>8</v>
      </c>
      <c r="AA56" s="55" t="s">
        <v>8</v>
      </c>
      <c r="AB56" s="55" t="s">
        <v>208</v>
      </c>
      <c r="AC56" s="33" t="s">
        <v>8</v>
      </c>
      <c r="AD56" s="89" t="s">
        <v>9</v>
      </c>
      <c r="AE56" s="188" t="s">
        <v>589</v>
      </c>
      <c r="AF56" s="190"/>
    </row>
    <row r="57" spans="1:34" s="75" customFormat="1" ht="15.75" outlineLevel="1" thickBot="1" x14ac:dyDescent="0.3">
      <c r="B57" s="150" t="s">
        <v>586</v>
      </c>
      <c r="C57" s="75" t="s">
        <v>586</v>
      </c>
      <c r="D57" s="75" t="s">
        <v>586</v>
      </c>
      <c r="E57" s="75" t="s">
        <v>586</v>
      </c>
      <c r="F57" s="276" t="s">
        <v>586</v>
      </c>
      <c r="G57" s="75" t="s">
        <v>586</v>
      </c>
      <c r="H57" s="75" t="s">
        <v>586</v>
      </c>
      <c r="I57" s="75" t="s">
        <v>586</v>
      </c>
      <c r="J57" s="75" t="s">
        <v>586</v>
      </c>
      <c r="K57" s="75" t="s">
        <v>586</v>
      </c>
      <c r="L57" s="75" t="s">
        <v>586</v>
      </c>
      <c r="M57" s="75" t="s">
        <v>586</v>
      </c>
      <c r="N57" s="75" t="s">
        <v>586</v>
      </c>
      <c r="O57" s="75" t="s">
        <v>586</v>
      </c>
      <c r="P57" s="75" t="s">
        <v>586</v>
      </c>
      <c r="Q57" s="75" t="s">
        <v>586</v>
      </c>
      <c r="R57" s="75" t="s">
        <v>586</v>
      </c>
      <c r="S57" s="75" t="s">
        <v>586</v>
      </c>
      <c r="T57" s="75" t="s">
        <v>586</v>
      </c>
      <c r="U57" s="75" t="s">
        <v>586</v>
      </c>
      <c r="V57" s="75" t="s">
        <v>586</v>
      </c>
      <c r="W57" s="75" t="s">
        <v>586</v>
      </c>
      <c r="X57" s="75" t="s">
        <v>586</v>
      </c>
      <c r="Y57" s="75" t="s">
        <v>586</v>
      </c>
      <c r="Z57" s="75" t="s">
        <v>586</v>
      </c>
      <c r="AA57" s="75" t="s">
        <v>586</v>
      </c>
      <c r="AB57" s="75" t="s">
        <v>586</v>
      </c>
      <c r="AC57" s="75" t="s">
        <v>586</v>
      </c>
      <c r="AD57" s="75" t="s">
        <v>586</v>
      </c>
      <c r="AE57" s="189"/>
      <c r="AF57" s="189"/>
    </row>
    <row r="58" spans="1:34" ht="100.15" customHeight="1" x14ac:dyDescent="0.25">
      <c r="A58" s="620" t="s">
        <v>914</v>
      </c>
      <c r="B58" s="151" t="s">
        <v>13</v>
      </c>
      <c r="C58" s="40" t="s">
        <v>14</v>
      </c>
      <c r="D58" s="40" t="s">
        <v>15</v>
      </c>
      <c r="E58" s="41" t="s">
        <v>16</v>
      </c>
      <c r="F58" s="289" t="s">
        <v>17</v>
      </c>
      <c r="G58" s="40" t="s">
        <v>70</v>
      </c>
      <c r="H58" s="40" t="s">
        <v>71</v>
      </c>
      <c r="I58" s="40" t="s">
        <v>72</v>
      </c>
      <c r="J58" s="40" t="s">
        <v>2</v>
      </c>
      <c r="K58" s="40" t="s">
        <v>73</v>
      </c>
      <c r="L58" s="42" t="s">
        <v>74</v>
      </c>
      <c r="M58" s="42" t="s">
        <v>75</v>
      </c>
      <c r="N58" s="40" t="s">
        <v>76</v>
      </c>
      <c r="O58" s="40" t="s">
        <v>77</v>
      </c>
      <c r="P58" s="40" t="s">
        <v>78</v>
      </c>
      <c r="Q58" s="40" t="s">
        <v>79</v>
      </c>
      <c r="R58" s="40" t="s">
        <v>80</v>
      </c>
      <c r="S58" s="40" t="s">
        <v>81</v>
      </c>
      <c r="T58" s="40" t="s">
        <v>82</v>
      </c>
      <c r="U58" s="40" t="s">
        <v>83</v>
      </c>
      <c r="V58" s="40" t="s">
        <v>84</v>
      </c>
      <c r="W58" s="40" t="s">
        <v>3</v>
      </c>
      <c r="X58" s="40" t="s">
        <v>85</v>
      </c>
      <c r="Y58" s="40" t="s">
        <v>86</v>
      </c>
      <c r="Z58" s="40" t="s">
        <v>87</v>
      </c>
      <c r="AA58" s="40" t="s">
        <v>88</v>
      </c>
      <c r="AB58" s="40" t="s">
        <v>89</v>
      </c>
      <c r="AC58" s="40" t="s">
        <v>90</v>
      </c>
      <c r="AD58" s="40" t="s">
        <v>91</v>
      </c>
      <c r="AE58" s="40" t="s">
        <v>92</v>
      </c>
      <c r="AF58" s="43" t="s">
        <v>93</v>
      </c>
    </row>
    <row r="59" spans="1:34" ht="19.899999999999999" customHeight="1" x14ac:dyDescent="0.25">
      <c r="A59" s="615"/>
      <c r="B59" s="152">
        <v>1</v>
      </c>
      <c r="C59" s="44" t="s">
        <v>47</v>
      </c>
      <c r="D59" s="45">
        <v>11</v>
      </c>
      <c r="E59" s="46" t="s">
        <v>48</v>
      </c>
      <c r="F59" s="290" t="s">
        <v>49</v>
      </c>
      <c r="G59" s="47" t="s">
        <v>50</v>
      </c>
      <c r="H59" s="47">
        <v>36</v>
      </c>
      <c r="I59" s="47" t="s">
        <v>94</v>
      </c>
      <c r="J59" s="47" t="s">
        <v>95</v>
      </c>
      <c r="K59" s="47" t="s">
        <v>96</v>
      </c>
      <c r="L59" s="48" t="s">
        <v>97</v>
      </c>
      <c r="M59" s="48" t="s">
        <v>98</v>
      </c>
      <c r="N59" s="47" t="s">
        <v>99</v>
      </c>
      <c r="O59" s="47">
        <v>53</v>
      </c>
      <c r="P59" s="47">
        <v>54</v>
      </c>
      <c r="Q59" s="47" t="s">
        <v>913</v>
      </c>
      <c r="R59" s="47" t="s">
        <v>100</v>
      </c>
      <c r="S59" s="47" t="s">
        <v>101</v>
      </c>
      <c r="T59" s="47" t="s">
        <v>57</v>
      </c>
      <c r="U59" s="47" t="s">
        <v>102</v>
      </c>
      <c r="V59" s="47" t="s">
        <v>103</v>
      </c>
      <c r="W59" s="47" t="s">
        <v>104</v>
      </c>
      <c r="X59" s="47" t="s">
        <v>105</v>
      </c>
      <c r="Y59" s="47" t="s">
        <v>106</v>
      </c>
      <c r="Z59" s="47" t="s">
        <v>107</v>
      </c>
      <c r="AA59" s="47" t="s">
        <v>108</v>
      </c>
      <c r="AB59" s="45" t="s">
        <v>109</v>
      </c>
      <c r="AC59" s="47" t="s">
        <v>110</v>
      </c>
      <c r="AD59" s="45">
        <v>120</v>
      </c>
      <c r="AE59" s="45">
        <v>121</v>
      </c>
      <c r="AF59" s="49" t="s">
        <v>111</v>
      </c>
    </row>
    <row r="60" spans="1:34" ht="30" customHeight="1" outlineLevel="1" x14ac:dyDescent="0.25">
      <c r="A60" s="615"/>
      <c r="B60" s="152">
        <v>1</v>
      </c>
      <c r="C60" s="45">
        <v>9</v>
      </c>
      <c r="D60" s="45">
        <v>1</v>
      </c>
      <c r="E60" s="50">
        <v>13</v>
      </c>
      <c r="F60" s="291">
        <v>2</v>
      </c>
      <c r="G60" s="45">
        <v>9</v>
      </c>
      <c r="H60" s="45">
        <v>1</v>
      </c>
      <c r="I60" s="45">
        <v>2</v>
      </c>
      <c r="J60" s="45">
        <v>2</v>
      </c>
      <c r="K60" s="45">
        <v>3</v>
      </c>
      <c r="L60" s="51">
        <v>6</v>
      </c>
      <c r="M60" s="51">
        <v>1</v>
      </c>
      <c r="N60" s="45">
        <v>2</v>
      </c>
      <c r="O60" s="45">
        <v>1</v>
      </c>
      <c r="P60" s="45">
        <v>1</v>
      </c>
      <c r="Q60" s="45">
        <v>9</v>
      </c>
      <c r="R60" s="45">
        <v>2</v>
      </c>
      <c r="S60" s="45">
        <v>2</v>
      </c>
      <c r="T60" s="45">
        <v>6</v>
      </c>
      <c r="U60" s="45">
        <v>5</v>
      </c>
      <c r="V60" s="45">
        <v>2</v>
      </c>
      <c r="W60" s="45">
        <v>6</v>
      </c>
      <c r="X60" s="45">
        <v>2</v>
      </c>
      <c r="Y60" s="45">
        <v>7</v>
      </c>
      <c r="Z60" s="45">
        <v>7</v>
      </c>
      <c r="AA60" s="45">
        <v>3</v>
      </c>
      <c r="AB60" s="45">
        <v>7</v>
      </c>
      <c r="AC60" s="45">
        <v>7</v>
      </c>
      <c r="AD60" s="45">
        <v>1</v>
      </c>
      <c r="AE60" s="45">
        <v>1</v>
      </c>
      <c r="AF60" s="49">
        <v>7</v>
      </c>
    </row>
    <row r="61" spans="1:34" ht="30" customHeight="1" outlineLevel="1" x14ac:dyDescent="0.25">
      <c r="A61" s="615"/>
      <c r="B61" s="152" t="s">
        <v>1</v>
      </c>
      <c r="C61" s="45" t="s">
        <v>1</v>
      </c>
      <c r="D61" s="45" t="s">
        <v>69</v>
      </c>
      <c r="E61" s="50" t="s">
        <v>69</v>
      </c>
      <c r="F61" s="291" t="s">
        <v>1</v>
      </c>
      <c r="G61" s="45" t="s">
        <v>1</v>
      </c>
      <c r="H61" s="45" t="s">
        <v>69</v>
      </c>
      <c r="I61" s="45" t="s">
        <v>1</v>
      </c>
      <c r="J61" s="45" t="s">
        <v>1</v>
      </c>
      <c r="K61" s="45" t="s">
        <v>1</v>
      </c>
      <c r="L61" s="52" t="s">
        <v>1</v>
      </c>
      <c r="M61" s="52" t="s">
        <v>1</v>
      </c>
      <c r="N61" s="45" t="s">
        <v>69</v>
      </c>
      <c r="O61" s="45" t="s">
        <v>69</v>
      </c>
      <c r="P61" s="53" t="s">
        <v>69</v>
      </c>
      <c r="Q61" s="45" t="s">
        <v>1</v>
      </c>
      <c r="R61" s="45" t="s">
        <v>1</v>
      </c>
      <c r="S61" s="45" t="s">
        <v>1</v>
      </c>
      <c r="T61" s="45" t="s">
        <v>1</v>
      </c>
      <c r="U61" s="45" t="s">
        <v>69</v>
      </c>
      <c r="V61" s="45" t="s">
        <v>1</v>
      </c>
      <c r="W61" s="45" t="s">
        <v>1</v>
      </c>
      <c r="X61" s="45" t="s">
        <v>1</v>
      </c>
      <c r="Y61" s="45" t="s">
        <v>1</v>
      </c>
      <c r="Z61" s="45" t="s">
        <v>1</v>
      </c>
      <c r="AA61" s="45" t="s">
        <v>1</v>
      </c>
      <c r="AB61" s="45" t="s">
        <v>1</v>
      </c>
      <c r="AC61" s="45" t="s">
        <v>1</v>
      </c>
      <c r="AD61" s="45" t="s">
        <v>69</v>
      </c>
      <c r="AE61" s="45" t="s">
        <v>1</v>
      </c>
      <c r="AF61" s="49" t="s">
        <v>1</v>
      </c>
      <c r="AG61" s="2"/>
    </row>
    <row r="62" spans="1:34" ht="30" customHeight="1" outlineLevel="1" x14ac:dyDescent="0.25">
      <c r="A62" s="615"/>
      <c r="B62" s="152" t="s">
        <v>0</v>
      </c>
      <c r="C62" s="45" t="s">
        <v>0</v>
      </c>
      <c r="D62" s="45" t="s">
        <v>4</v>
      </c>
      <c r="E62" s="50" t="s">
        <v>0</v>
      </c>
      <c r="F62" s="291" t="s">
        <v>0</v>
      </c>
      <c r="G62" s="45" t="s">
        <v>0</v>
      </c>
      <c r="H62" s="45" t="s">
        <v>4</v>
      </c>
      <c r="I62" s="45" t="s">
        <v>4</v>
      </c>
      <c r="J62" s="45" t="s">
        <v>4</v>
      </c>
      <c r="K62" s="45" t="s">
        <v>4</v>
      </c>
      <c r="L62" s="52" t="s">
        <v>4</v>
      </c>
      <c r="M62" s="52" t="s">
        <v>0</v>
      </c>
      <c r="N62" s="45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5" t="s">
        <v>112</v>
      </c>
      <c r="T62" s="45" t="s">
        <v>0</v>
      </c>
      <c r="U62" s="45" t="s">
        <v>0</v>
      </c>
      <c r="V62" s="45" t="s">
        <v>0</v>
      </c>
      <c r="W62" s="45" t="s">
        <v>0</v>
      </c>
      <c r="X62" s="45" t="s">
        <v>0</v>
      </c>
      <c r="Y62" s="45" t="s">
        <v>0</v>
      </c>
      <c r="Z62" s="45" t="s">
        <v>0</v>
      </c>
      <c r="AA62" s="45" t="s">
        <v>0</v>
      </c>
      <c r="AB62" s="45" t="s">
        <v>0</v>
      </c>
      <c r="AC62" s="45" t="s">
        <v>0</v>
      </c>
      <c r="AD62" s="45" t="s">
        <v>4</v>
      </c>
      <c r="AE62" s="45" t="s">
        <v>4</v>
      </c>
      <c r="AF62" s="49" t="s">
        <v>4</v>
      </c>
    </row>
    <row r="63" spans="1:34" s="76" customFormat="1" ht="30" customHeight="1" thickBot="1" x14ac:dyDescent="0.3">
      <c r="A63" s="616"/>
      <c r="B63" s="149" t="s">
        <v>10</v>
      </c>
      <c r="C63" s="54" t="s">
        <v>544</v>
      </c>
      <c r="D63" s="55" t="s">
        <v>8</v>
      </c>
      <c r="E63" s="54" t="s">
        <v>198</v>
      </c>
      <c r="F63" s="288">
        <v>77</v>
      </c>
      <c r="G63" s="54">
        <v>250000001</v>
      </c>
      <c r="H63" s="193" t="s">
        <v>8</v>
      </c>
      <c r="I63" s="193" t="s">
        <v>5</v>
      </c>
      <c r="J63" s="55" t="s">
        <v>5</v>
      </c>
      <c r="K63" s="55" t="s">
        <v>6</v>
      </c>
      <c r="L63" s="55" t="s">
        <v>208</v>
      </c>
      <c r="M63" s="193" t="s">
        <v>397</v>
      </c>
      <c r="N63" s="55" t="s">
        <v>210</v>
      </c>
      <c r="O63" s="55" t="s">
        <v>8</v>
      </c>
      <c r="P63" s="55" t="s">
        <v>8</v>
      </c>
      <c r="Q63" s="54" t="s">
        <v>544</v>
      </c>
      <c r="R63" s="55" t="s">
        <v>5</v>
      </c>
      <c r="S63" s="55" t="s">
        <v>5</v>
      </c>
      <c r="T63" s="55" t="s">
        <v>581</v>
      </c>
      <c r="U63" s="228" t="s">
        <v>395</v>
      </c>
      <c r="V63" s="95" t="s">
        <v>202</v>
      </c>
      <c r="W63" s="54" t="s">
        <v>590</v>
      </c>
      <c r="X63" s="33" t="s">
        <v>202</v>
      </c>
      <c r="Y63" s="96" t="s">
        <v>811</v>
      </c>
      <c r="Z63" s="96" t="s">
        <v>811</v>
      </c>
      <c r="AA63" s="97" t="s">
        <v>592</v>
      </c>
      <c r="AB63" s="96" t="s">
        <v>812</v>
      </c>
      <c r="AC63" s="96" t="s">
        <v>811</v>
      </c>
      <c r="AD63" s="55" t="s">
        <v>8</v>
      </c>
      <c r="AE63" s="193" t="s">
        <v>200</v>
      </c>
      <c r="AF63" s="82" t="s">
        <v>212</v>
      </c>
      <c r="AG63" s="188" t="s">
        <v>589</v>
      </c>
    </row>
    <row r="64" spans="1:34" s="75" customFormat="1" ht="15.75" thickBot="1" x14ac:dyDescent="0.3">
      <c r="B64" s="150" t="s">
        <v>586</v>
      </c>
      <c r="C64" s="75" t="s">
        <v>586</v>
      </c>
      <c r="D64" s="75" t="s">
        <v>586</v>
      </c>
      <c r="E64" s="75" t="s">
        <v>586</v>
      </c>
      <c r="F64" s="276" t="s">
        <v>586</v>
      </c>
      <c r="G64" s="75" t="s">
        <v>586</v>
      </c>
      <c r="H64" s="75" t="s">
        <v>586</v>
      </c>
      <c r="I64" s="75" t="s">
        <v>586</v>
      </c>
      <c r="J64" s="75" t="s">
        <v>586</v>
      </c>
      <c r="K64" s="75" t="s">
        <v>586</v>
      </c>
      <c r="L64" s="75" t="s">
        <v>586</v>
      </c>
      <c r="M64" s="75" t="s">
        <v>586</v>
      </c>
      <c r="N64" s="75" t="s">
        <v>586</v>
      </c>
      <c r="O64" s="75" t="s">
        <v>586</v>
      </c>
      <c r="P64" s="75" t="s">
        <v>586</v>
      </c>
      <c r="Q64" s="75" t="s">
        <v>586</v>
      </c>
      <c r="R64" s="75" t="s">
        <v>586</v>
      </c>
      <c r="S64" s="75" t="s">
        <v>586</v>
      </c>
      <c r="T64" s="75" t="s">
        <v>586</v>
      </c>
      <c r="U64" s="75" t="s">
        <v>586</v>
      </c>
      <c r="V64" s="75" t="s">
        <v>586</v>
      </c>
      <c r="W64" s="75" t="s">
        <v>586</v>
      </c>
      <c r="X64" s="75" t="s">
        <v>586</v>
      </c>
      <c r="Y64" s="75" t="s">
        <v>586</v>
      </c>
      <c r="Z64" s="75" t="s">
        <v>586</v>
      </c>
      <c r="AA64" s="75" t="s">
        <v>586</v>
      </c>
      <c r="AB64" s="75" t="s">
        <v>586</v>
      </c>
      <c r="AC64" s="75" t="s">
        <v>586</v>
      </c>
      <c r="AD64" s="75" t="s">
        <v>586</v>
      </c>
      <c r="AE64" s="75" t="s">
        <v>586</v>
      </c>
      <c r="AF64" s="75" t="s">
        <v>586</v>
      </c>
    </row>
    <row r="65" spans="1:35" ht="100.15" customHeight="1" x14ac:dyDescent="0.25">
      <c r="A65" s="614" t="s">
        <v>360</v>
      </c>
      <c r="B65" s="147" t="s">
        <v>13</v>
      </c>
      <c r="C65" s="24" t="s">
        <v>14</v>
      </c>
      <c r="D65" s="24" t="s">
        <v>15</v>
      </c>
      <c r="E65" s="25" t="s">
        <v>16</v>
      </c>
      <c r="F65" s="282" t="s">
        <v>17</v>
      </c>
      <c r="G65" s="24" t="s">
        <v>70</v>
      </c>
      <c r="H65" s="24" t="s">
        <v>15</v>
      </c>
      <c r="I65" s="24" t="s">
        <v>220</v>
      </c>
      <c r="J65" s="24" t="s">
        <v>221</v>
      </c>
      <c r="K65" s="26" t="s">
        <v>222</v>
      </c>
      <c r="L65" s="26" t="s">
        <v>223</v>
      </c>
      <c r="M65" s="24" t="s">
        <v>224</v>
      </c>
      <c r="N65" s="24" t="s">
        <v>225</v>
      </c>
      <c r="O65" s="24" t="s">
        <v>226</v>
      </c>
      <c r="P65" s="24" t="s">
        <v>221</v>
      </c>
      <c r="Q65" s="24" t="s">
        <v>227</v>
      </c>
      <c r="R65" s="24" t="s">
        <v>15</v>
      </c>
      <c r="S65" s="27" t="s">
        <v>228</v>
      </c>
    </row>
    <row r="66" spans="1:35" ht="19.899999999999999" customHeight="1" x14ac:dyDescent="0.25">
      <c r="A66" s="615"/>
      <c r="B66" s="148">
        <v>1</v>
      </c>
      <c r="C66" s="5" t="s">
        <v>47</v>
      </c>
      <c r="D66" s="4">
        <v>11</v>
      </c>
      <c r="E66" s="6" t="s">
        <v>48</v>
      </c>
      <c r="F66" s="283" t="s">
        <v>49</v>
      </c>
      <c r="G66" s="7" t="s">
        <v>50</v>
      </c>
      <c r="H66" s="7" t="s">
        <v>229</v>
      </c>
      <c r="I66" s="7" t="s">
        <v>216</v>
      </c>
      <c r="J66" s="7" t="s">
        <v>230</v>
      </c>
      <c r="K66" s="8" t="s">
        <v>217</v>
      </c>
      <c r="L66" s="8" t="s">
        <v>218</v>
      </c>
      <c r="M66" s="7" t="s">
        <v>179</v>
      </c>
      <c r="N66" s="7" t="s">
        <v>219</v>
      </c>
      <c r="O66" s="7">
        <v>90</v>
      </c>
      <c r="P66" s="7" t="s">
        <v>231</v>
      </c>
      <c r="Q66" s="7">
        <v>94</v>
      </c>
      <c r="R66" s="7" t="s">
        <v>232</v>
      </c>
      <c r="S66" s="28" t="s">
        <v>233</v>
      </c>
    </row>
    <row r="67" spans="1:35" outlineLevel="1" x14ac:dyDescent="0.25">
      <c r="A67" s="615"/>
      <c r="B67" s="148">
        <v>1</v>
      </c>
      <c r="C67" s="4">
        <v>9</v>
      </c>
      <c r="D67" s="4">
        <v>1</v>
      </c>
      <c r="E67" s="9">
        <v>13</v>
      </c>
      <c r="F67" s="284">
        <v>2</v>
      </c>
      <c r="G67" s="4">
        <v>9</v>
      </c>
      <c r="H67" s="4">
        <v>3</v>
      </c>
      <c r="I67" s="4">
        <v>3</v>
      </c>
      <c r="J67" s="4">
        <v>16</v>
      </c>
      <c r="K67" s="10">
        <v>8</v>
      </c>
      <c r="L67" s="10">
        <v>8</v>
      </c>
      <c r="M67" s="4">
        <v>8</v>
      </c>
      <c r="N67" s="4">
        <v>8</v>
      </c>
      <c r="O67" s="4">
        <v>1</v>
      </c>
      <c r="P67" s="4">
        <v>3</v>
      </c>
      <c r="Q67" s="4">
        <v>1</v>
      </c>
      <c r="R67" s="4">
        <v>2</v>
      </c>
      <c r="S67" s="29">
        <v>32</v>
      </c>
    </row>
    <row r="68" spans="1:35" ht="13.5" customHeight="1" outlineLevel="1" x14ac:dyDescent="0.25">
      <c r="A68" s="615"/>
      <c r="B68" s="148" t="s">
        <v>1</v>
      </c>
      <c r="C68" s="4" t="s">
        <v>1</v>
      </c>
      <c r="D68" s="4" t="s">
        <v>69</v>
      </c>
      <c r="E68" s="9" t="s">
        <v>69</v>
      </c>
      <c r="F68" s="284" t="s">
        <v>1</v>
      </c>
      <c r="G68" s="4" t="s">
        <v>1</v>
      </c>
      <c r="H68" s="4" t="s">
        <v>69</v>
      </c>
      <c r="I68" s="4" t="s">
        <v>1</v>
      </c>
      <c r="J68" s="4" t="s">
        <v>69</v>
      </c>
      <c r="K68" s="12" t="s">
        <v>1</v>
      </c>
      <c r="L68" s="12" t="s">
        <v>1</v>
      </c>
      <c r="M68" s="4" t="s">
        <v>1</v>
      </c>
      <c r="N68" s="4" t="s">
        <v>1</v>
      </c>
      <c r="O68" s="4" t="s">
        <v>69</v>
      </c>
      <c r="P68" s="4" t="s">
        <v>69</v>
      </c>
      <c r="Q68" s="4" t="s">
        <v>69</v>
      </c>
      <c r="R68" s="4" t="s">
        <v>69</v>
      </c>
      <c r="S68" s="29" t="s">
        <v>69</v>
      </c>
    </row>
    <row r="69" spans="1:35" outlineLevel="1" x14ac:dyDescent="0.25">
      <c r="A69" s="615"/>
      <c r="B69" s="148" t="s">
        <v>0</v>
      </c>
      <c r="C69" s="4" t="s">
        <v>0</v>
      </c>
      <c r="D69" s="4" t="s">
        <v>4</v>
      </c>
      <c r="E69" s="9" t="s">
        <v>0</v>
      </c>
      <c r="F69" s="284" t="s">
        <v>0</v>
      </c>
      <c r="G69" s="4" t="s">
        <v>0</v>
      </c>
      <c r="H69" s="4" t="s">
        <v>4</v>
      </c>
      <c r="I69" s="4" t="s">
        <v>0</v>
      </c>
      <c r="J69" s="4" t="s">
        <v>0</v>
      </c>
      <c r="K69" s="12" t="s">
        <v>0</v>
      </c>
      <c r="L69" s="12" t="s">
        <v>0</v>
      </c>
      <c r="M69" s="4" t="s">
        <v>0</v>
      </c>
      <c r="N69" s="4" t="s">
        <v>4</v>
      </c>
      <c r="O69" s="4" t="s">
        <v>4</v>
      </c>
      <c r="P69" s="4" t="s">
        <v>0</v>
      </c>
      <c r="Q69" s="4" t="s">
        <v>0</v>
      </c>
      <c r="R69" s="4" t="s">
        <v>4</v>
      </c>
      <c r="S69" s="29" t="s">
        <v>4</v>
      </c>
    </row>
    <row r="70" spans="1:35" s="163" customFormat="1" ht="30" customHeight="1" thickBot="1" x14ac:dyDescent="0.3">
      <c r="A70" s="616"/>
      <c r="B70" s="157">
        <v>5</v>
      </c>
      <c r="C70" s="54" t="s">
        <v>544</v>
      </c>
      <c r="D70" s="55" t="s">
        <v>8</v>
      </c>
      <c r="E70" s="55" t="s">
        <v>198</v>
      </c>
      <c r="F70" s="270">
        <v>77</v>
      </c>
      <c r="G70" s="55">
        <v>250000001</v>
      </c>
      <c r="H70" s="98" t="s">
        <v>9</v>
      </c>
      <c r="I70" s="496" t="s">
        <v>885</v>
      </c>
      <c r="J70" s="98" t="s">
        <v>234</v>
      </c>
      <c r="K70" s="56" t="s">
        <v>813</v>
      </c>
      <c r="L70" s="56" t="s">
        <v>814</v>
      </c>
      <c r="M70" s="56" t="s">
        <v>815</v>
      </c>
      <c r="N70" s="56" t="s">
        <v>599</v>
      </c>
      <c r="O70" s="56" t="s">
        <v>8</v>
      </c>
      <c r="P70" s="56" t="s">
        <v>9</v>
      </c>
      <c r="Q70" s="56" t="s">
        <v>8</v>
      </c>
      <c r="R70" s="56" t="s">
        <v>210</v>
      </c>
      <c r="S70" s="99" t="s">
        <v>235</v>
      </c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</row>
    <row r="71" spans="1:35" ht="15.75" thickBot="1" x14ac:dyDescent="0.3">
      <c r="A71" s="75"/>
      <c r="B71" s="150" t="s">
        <v>586</v>
      </c>
      <c r="C71" s="75" t="s">
        <v>586</v>
      </c>
      <c r="D71" s="75" t="s">
        <v>586</v>
      </c>
      <c r="E71" s="75" t="s">
        <v>586</v>
      </c>
      <c r="F71" s="276" t="s">
        <v>586</v>
      </c>
      <c r="G71" s="75" t="s">
        <v>586</v>
      </c>
      <c r="H71" s="75" t="s">
        <v>586</v>
      </c>
      <c r="I71" s="75" t="s">
        <v>586</v>
      </c>
      <c r="J71" s="75" t="s">
        <v>586</v>
      </c>
      <c r="K71" s="75" t="s">
        <v>586</v>
      </c>
      <c r="L71" s="75" t="s">
        <v>586</v>
      </c>
      <c r="M71" s="75" t="s">
        <v>586</v>
      </c>
      <c r="N71" s="75" t="s">
        <v>586</v>
      </c>
      <c r="O71" s="75" t="s">
        <v>586</v>
      </c>
      <c r="P71" s="75" t="s">
        <v>586</v>
      </c>
      <c r="Q71" s="75" t="s">
        <v>586</v>
      </c>
      <c r="R71" s="75" t="s">
        <v>586</v>
      </c>
      <c r="S71" s="75" t="s">
        <v>586</v>
      </c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</row>
    <row r="72" spans="1:35" ht="100.15" customHeight="1" x14ac:dyDescent="0.25">
      <c r="A72" s="608" t="s">
        <v>361</v>
      </c>
      <c r="B72" s="327" t="s">
        <v>13</v>
      </c>
      <c r="C72" s="328" t="s">
        <v>14</v>
      </c>
      <c r="D72" s="328" t="s">
        <v>339</v>
      </c>
      <c r="E72" s="329" t="s">
        <v>469</v>
      </c>
      <c r="F72" s="330" t="s">
        <v>470</v>
      </c>
      <c r="G72" s="328" t="s">
        <v>471</v>
      </c>
      <c r="H72" s="328" t="s">
        <v>340</v>
      </c>
      <c r="I72" s="328" t="s">
        <v>473</v>
      </c>
      <c r="J72" s="328" t="s">
        <v>472</v>
      </c>
      <c r="K72" s="331" t="s">
        <v>312</v>
      </c>
      <c r="L72" s="331" t="s">
        <v>341</v>
      </c>
      <c r="M72" s="328" t="s">
        <v>25</v>
      </c>
      <c r="N72" s="328" t="s">
        <v>15</v>
      </c>
      <c r="O72" s="328" t="s">
        <v>474</v>
      </c>
      <c r="P72" s="328" t="s">
        <v>342</v>
      </c>
      <c r="Q72" s="328" t="s">
        <v>15</v>
      </c>
      <c r="R72" s="328" t="s">
        <v>343</v>
      </c>
      <c r="S72" s="332" t="s">
        <v>228</v>
      </c>
    </row>
    <row r="73" spans="1:35" ht="19.899999999999999" customHeight="1" x14ac:dyDescent="0.25">
      <c r="A73" s="609"/>
      <c r="B73" s="158">
        <v>1</v>
      </c>
      <c r="C73" s="102" t="s">
        <v>47</v>
      </c>
      <c r="D73" s="103" t="s">
        <v>344</v>
      </c>
      <c r="E73" s="104" t="s">
        <v>345</v>
      </c>
      <c r="F73" s="298" t="s">
        <v>346</v>
      </c>
      <c r="G73" s="103" t="s">
        <v>347</v>
      </c>
      <c r="H73" s="103" t="s">
        <v>348</v>
      </c>
      <c r="I73" s="103" t="s">
        <v>349</v>
      </c>
      <c r="J73" s="103" t="s">
        <v>350</v>
      </c>
      <c r="K73" s="105" t="s">
        <v>351</v>
      </c>
      <c r="L73" s="105" t="s">
        <v>352</v>
      </c>
      <c r="M73" s="103" t="s">
        <v>353</v>
      </c>
      <c r="N73" s="103" t="s">
        <v>354</v>
      </c>
      <c r="O73" s="103" t="s">
        <v>355</v>
      </c>
      <c r="P73" s="103" t="s">
        <v>356</v>
      </c>
      <c r="Q73" s="103" t="s">
        <v>357</v>
      </c>
      <c r="R73" s="103" t="s">
        <v>358</v>
      </c>
      <c r="S73" s="333" t="s">
        <v>233</v>
      </c>
    </row>
    <row r="74" spans="1:35" outlineLevel="1" x14ac:dyDescent="0.25">
      <c r="A74" s="609"/>
      <c r="B74" s="158">
        <v>1</v>
      </c>
      <c r="C74" s="101">
        <v>9</v>
      </c>
      <c r="D74" s="101">
        <v>3</v>
      </c>
      <c r="E74" s="101">
        <v>4</v>
      </c>
      <c r="F74" s="299">
        <v>4</v>
      </c>
      <c r="G74" s="101">
        <v>3</v>
      </c>
      <c r="H74" s="101">
        <v>9</v>
      </c>
      <c r="I74" s="101">
        <v>9</v>
      </c>
      <c r="J74" s="101">
        <v>9</v>
      </c>
      <c r="K74" s="107">
        <v>3</v>
      </c>
      <c r="L74" s="107">
        <v>1</v>
      </c>
      <c r="M74" s="101">
        <v>1</v>
      </c>
      <c r="N74" s="101">
        <v>4</v>
      </c>
      <c r="O74" s="101">
        <v>12</v>
      </c>
      <c r="P74" s="101">
        <v>12</v>
      </c>
      <c r="Q74" s="103">
        <v>3</v>
      </c>
      <c r="R74" s="101">
        <v>9</v>
      </c>
      <c r="S74" s="334">
        <v>32</v>
      </c>
    </row>
    <row r="75" spans="1:35" outlineLevel="1" x14ac:dyDescent="0.25">
      <c r="A75" s="609"/>
      <c r="B75" s="158" t="s">
        <v>1</v>
      </c>
      <c r="C75" s="101" t="s">
        <v>1</v>
      </c>
      <c r="D75" s="197" t="s">
        <v>1</v>
      </c>
      <c r="E75" s="106" t="s">
        <v>1</v>
      </c>
      <c r="F75" s="299" t="s">
        <v>1</v>
      </c>
      <c r="G75" s="101" t="s">
        <v>1</v>
      </c>
      <c r="H75" s="101" t="s">
        <v>1</v>
      </c>
      <c r="I75" s="101" t="s">
        <v>1</v>
      </c>
      <c r="J75" s="101" t="s">
        <v>1</v>
      </c>
      <c r="K75" s="108" t="s">
        <v>1</v>
      </c>
      <c r="L75" s="108" t="s">
        <v>69</v>
      </c>
      <c r="M75" s="101" t="s">
        <v>69</v>
      </c>
      <c r="N75" s="101" t="s">
        <v>69</v>
      </c>
      <c r="O75" s="101" t="s">
        <v>69</v>
      </c>
      <c r="P75" s="101" t="s">
        <v>1</v>
      </c>
      <c r="Q75" s="101" t="s">
        <v>69</v>
      </c>
      <c r="R75" s="101" t="s">
        <v>1</v>
      </c>
      <c r="S75" s="334" t="s">
        <v>1</v>
      </c>
    </row>
    <row r="76" spans="1:35" outlineLevel="1" x14ac:dyDescent="0.25">
      <c r="A76" s="609"/>
      <c r="B76" s="158" t="s">
        <v>0</v>
      </c>
      <c r="C76" s="101" t="s">
        <v>0</v>
      </c>
      <c r="D76" s="101" t="s">
        <v>0</v>
      </c>
      <c r="E76" s="106" t="s">
        <v>0</v>
      </c>
      <c r="F76" s="299" t="s">
        <v>0</v>
      </c>
      <c r="G76" s="101" t="s">
        <v>0</v>
      </c>
      <c r="H76" s="101" t="s">
        <v>0</v>
      </c>
      <c r="I76" s="101" t="s">
        <v>0</v>
      </c>
      <c r="J76" s="101" t="s">
        <v>0</v>
      </c>
      <c r="K76" s="108" t="s">
        <v>0</v>
      </c>
      <c r="L76" s="108" t="s">
        <v>4</v>
      </c>
      <c r="M76" s="101" t="s">
        <v>4</v>
      </c>
      <c r="N76" s="101" t="s">
        <v>4</v>
      </c>
      <c r="O76" s="101" t="s">
        <v>4</v>
      </c>
      <c r="P76" s="101" t="s">
        <v>4</v>
      </c>
      <c r="Q76" s="101" t="s">
        <v>4</v>
      </c>
      <c r="R76" s="101" t="s">
        <v>4</v>
      </c>
      <c r="S76" s="334" t="s">
        <v>0</v>
      </c>
    </row>
    <row r="77" spans="1:35" s="163" customFormat="1" ht="30" customHeight="1" thickBot="1" x14ac:dyDescent="0.3">
      <c r="A77" s="610"/>
      <c r="B77" s="183">
        <v>6</v>
      </c>
      <c r="C77" s="335" t="s">
        <v>544</v>
      </c>
      <c r="D77" s="185" t="s">
        <v>195</v>
      </c>
      <c r="E77" s="336" t="s">
        <v>521</v>
      </c>
      <c r="F77" s="337" t="s">
        <v>521</v>
      </c>
      <c r="G77" s="185" t="s">
        <v>195</v>
      </c>
      <c r="H77" s="184" t="s">
        <v>816</v>
      </c>
      <c r="I77" s="184" t="s">
        <v>817</v>
      </c>
      <c r="J77" s="184" t="s">
        <v>209</v>
      </c>
      <c r="K77" s="184" t="s">
        <v>195</v>
      </c>
      <c r="L77" s="186" t="s">
        <v>8</v>
      </c>
      <c r="M77" s="186" t="s">
        <v>8</v>
      </c>
      <c r="N77" s="186" t="s">
        <v>387</v>
      </c>
      <c r="O77" s="186" t="s">
        <v>941</v>
      </c>
      <c r="P77" s="186" t="s">
        <v>388</v>
      </c>
      <c r="Q77" s="186" t="s">
        <v>9</v>
      </c>
      <c r="R77" s="186" t="s">
        <v>389</v>
      </c>
      <c r="S77" s="187" t="s">
        <v>235</v>
      </c>
    </row>
    <row r="78" spans="1:35" ht="9.75" customHeight="1" thickBot="1" x14ac:dyDescent="0.3">
      <c r="B78" s="150" t="s">
        <v>586</v>
      </c>
      <c r="C78" s="150" t="s">
        <v>586</v>
      </c>
      <c r="D78" s="150" t="s">
        <v>586</v>
      </c>
      <c r="E78" s="150" t="s">
        <v>586</v>
      </c>
      <c r="F78" s="276" t="s">
        <v>586</v>
      </c>
      <c r="G78" s="150" t="s">
        <v>586</v>
      </c>
      <c r="H78" s="150" t="s">
        <v>586</v>
      </c>
      <c r="I78" s="150" t="s">
        <v>586</v>
      </c>
      <c r="J78" s="150" t="s">
        <v>586</v>
      </c>
      <c r="K78" s="150" t="s">
        <v>586</v>
      </c>
      <c r="L78" s="150" t="s">
        <v>586</v>
      </c>
      <c r="M78" s="150" t="s">
        <v>586</v>
      </c>
      <c r="N78" s="150" t="s">
        <v>586</v>
      </c>
      <c r="O78" s="150" t="s">
        <v>586</v>
      </c>
      <c r="P78" s="150" t="s">
        <v>586</v>
      </c>
      <c r="Q78" s="150" t="s">
        <v>586</v>
      </c>
      <c r="R78" s="150" t="s">
        <v>586</v>
      </c>
      <c r="S78" s="150" t="s">
        <v>586</v>
      </c>
    </row>
    <row r="79" spans="1:35" ht="100.15" customHeight="1" x14ac:dyDescent="0.25">
      <c r="A79" s="611" t="s">
        <v>371</v>
      </c>
      <c r="B79" s="159" t="s">
        <v>13</v>
      </c>
      <c r="C79" s="117" t="s">
        <v>363</v>
      </c>
      <c r="D79" s="117" t="s">
        <v>364</v>
      </c>
      <c r="E79" s="118" t="s">
        <v>15</v>
      </c>
      <c r="F79" s="300" t="s">
        <v>283</v>
      </c>
      <c r="G79" s="117" t="s">
        <v>365</v>
      </c>
      <c r="H79" s="117" t="s">
        <v>15</v>
      </c>
      <c r="I79" s="117" t="s">
        <v>286</v>
      </c>
      <c r="J79" s="117" t="s">
        <v>287</v>
      </c>
      <c r="K79" s="119" t="s">
        <v>366</v>
      </c>
      <c r="L79" s="119" t="s">
        <v>15</v>
      </c>
      <c r="M79" s="117" t="s">
        <v>367</v>
      </c>
      <c r="N79" s="120" t="s">
        <v>15</v>
      </c>
    </row>
    <row r="80" spans="1:35" ht="19.899999999999999" customHeight="1" x14ac:dyDescent="0.25">
      <c r="A80" s="612"/>
      <c r="B80" s="198" t="s">
        <v>293</v>
      </c>
      <c r="C80" s="110" t="s">
        <v>294</v>
      </c>
      <c r="D80" s="111" t="s">
        <v>295</v>
      </c>
      <c r="E80" s="112" t="s">
        <v>296</v>
      </c>
      <c r="F80" s="301" t="s">
        <v>297</v>
      </c>
      <c r="G80" s="111" t="s">
        <v>298</v>
      </c>
      <c r="H80" s="111" t="s">
        <v>299</v>
      </c>
      <c r="I80" s="111" t="s">
        <v>300</v>
      </c>
      <c r="J80" s="111" t="s">
        <v>301</v>
      </c>
      <c r="K80" s="113" t="s">
        <v>368</v>
      </c>
      <c r="L80" s="113" t="s">
        <v>369</v>
      </c>
      <c r="M80" s="111" t="s">
        <v>307</v>
      </c>
      <c r="N80" s="121" t="s">
        <v>370</v>
      </c>
    </row>
    <row r="81" spans="1:35" outlineLevel="1" x14ac:dyDescent="0.25">
      <c r="A81" s="612"/>
      <c r="B81" s="160">
        <v>3</v>
      </c>
      <c r="C81" s="109">
        <v>2</v>
      </c>
      <c r="D81" s="109">
        <v>14</v>
      </c>
      <c r="E81" s="109">
        <v>6</v>
      </c>
      <c r="F81" s="302">
        <v>2</v>
      </c>
      <c r="G81" s="109">
        <v>14</v>
      </c>
      <c r="H81" s="109">
        <v>6</v>
      </c>
      <c r="I81" s="109">
        <v>2</v>
      </c>
      <c r="J81" s="109">
        <v>6</v>
      </c>
      <c r="K81" s="115">
        <v>8</v>
      </c>
      <c r="L81" s="115">
        <v>19</v>
      </c>
      <c r="M81" s="109">
        <v>3</v>
      </c>
      <c r="N81" s="122">
        <v>43</v>
      </c>
    </row>
    <row r="82" spans="1:35" outlineLevel="1" x14ac:dyDescent="0.25">
      <c r="A82" s="612"/>
      <c r="B82" s="160" t="s">
        <v>1</v>
      </c>
      <c r="C82" s="109" t="s">
        <v>69</v>
      </c>
      <c r="D82" s="109" t="s">
        <v>1</v>
      </c>
      <c r="E82" s="114" t="s">
        <v>69</v>
      </c>
      <c r="F82" s="302" t="s">
        <v>69</v>
      </c>
      <c r="G82" s="109" t="s">
        <v>1</v>
      </c>
      <c r="H82" s="109" t="s">
        <v>69</v>
      </c>
      <c r="I82" s="109" t="s">
        <v>69</v>
      </c>
      <c r="J82" s="109" t="s">
        <v>69</v>
      </c>
      <c r="K82" s="116" t="s">
        <v>1</v>
      </c>
      <c r="L82" s="116" t="s">
        <v>69</v>
      </c>
      <c r="M82" s="109" t="s">
        <v>1</v>
      </c>
      <c r="N82" s="122" t="s">
        <v>69</v>
      </c>
    </row>
    <row r="83" spans="1:35" outlineLevel="1" x14ac:dyDescent="0.25">
      <c r="A83" s="612"/>
      <c r="B83" s="160" t="s">
        <v>0</v>
      </c>
      <c r="C83" s="109" t="s">
        <v>0</v>
      </c>
      <c r="D83" s="109" t="s">
        <v>0</v>
      </c>
      <c r="E83" s="114" t="s">
        <v>4</v>
      </c>
      <c r="F83" s="302" t="s">
        <v>0</v>
      </c>
      <c r="G83" s="109" t="s">
        <v>0</v>
      </c>
      <c r="H83" s="109" t="s">
        <v>4</v>
      </c>
      <c r="I83" s="109" t="s">
        <v>0</v>
      </c>
      <c r="J83" s="109" t="s">
        <v>0</v>
      </c>
      <c r="K83" s="116" t="s">
        <v>0</v>
      </c>
      <c r="L83" s="116" t="s">
        <v>4</v>
      </c>
      <c r="M83" s="109" t="s">
        <v>0</v>
      </c>
      <c r="N83" s="122" t="s">
        <v>4</v>
      </c>
    </row>
    <row r="84" spans="1:35" ht="30" customHeight="1" thickBot="1" x14ac:dyDescent="0.3">
      <c r="A84" s="613"/>
      <c r="B84" s="183">
        <v>999</v>
      </c>
      <c r="C84" s="186" t="s">
        <v>373</v>
      </c>
      <c r="D84" s="174" t="s">
        <v>584</v>
      </c>
      <c r="E84" s="186" t="s">
        <v>374</v>
      </c>
      <c r="F84" s="303" t="s">
        <v>375</v>
      </c>
      <c r="G84" s="174" t="s">
        <v>585</v>
      </c>
      <c r="H84" s="186" t="s">
        <v>374</v>
      </c>
      <c r="I84" s="186" t="s">
        <v>376</v>
      </c>
      <c r="J84" s="184" t="s">
        <v>377</v>
      </c>
      <c r="K84" s="497" t="s">
        <v>908</v>
      </c>
      <c r="L84" s="186" t="s">
        <v>390</v>
      </c>
      <c r="M84" s="185" t="s">
        <v>195</v>
      </c>
      <c r="N84" s="187" t="s">
        <v>391</v>
      </c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</row>
    <row r="85" spans="1:35" x14ac:dyDescent="0.25">
      <c r="B85" s="150" t="s">
        <v>586</v>
      </c>
      <c r="C85" s="150" t="s">
        <v>586</v>
      </c>
      <c r="D85" s="150" t="s">
        <v>586</v>
      </c>
      <c r="E85" s="150" t="s">
        <v>586</v>
      </c>
      <c r="F85" s="276" t="s">
        <v>586</v>
      </c>
      <c r="G85" s="150" t="s">
        <v>586</v>
      </c>
      <c r="H85" s="150" t="s">
        <v>586</v>
      </c>
      <c r="I85" s="150" t="s">
        <v>586</v>
      </c>
      <c r="J85" s="150" t="s">
        <v>586</v>
      </c>
      <c r="K85" s="150" t="s">
        <v>586</v>
      </c>
      <c r="L85" s="150" t="s">
        <v>586</v>
      </c>
      <c r="M85" s="150" t="s">
        <v>586</v>
      </c>
      <c r="N85" s="150" t="s">
        <v>586</v>
      </c>
    </row>
  </sheetData>
  <sheetProtection algorithmName="SHA-512" hashValue="3OYxFFWUfsvGWQq7LHNro1AG/e6ZjsYBshmt7vpNFyKUqkZm+wreTTFJHdijKWsrZ8uPM6O3jKDxKS3Z6RBMwg==" saltValue="dWdNe3xeTBpChtThN/ln/w==" spinCount="100000" sheet="1" sort="0"/>
  <mergeCells count="19">
    <mergeCell ref="A7:AI7"/>
    <mergeCell ref="A65:A70"/>
    <mergeCell ref="A72:A77"/>
    <mergeCell ref="A79:A84"/>
    <mergeCell ref="A58:A63"/>
    <mergeCell ref="A23:A28"/>
    <mergeCell ref="A30:A35"/>
    <mergeCell ref="A37:A42"/>
    <mergeCell ref="A44:A49"/>
    <mergeCell ref="A51:A56"/>
    <mergeCell ref="A9:A14"/>
    <mergeCell ref="A16:A21"/>
    <mergeCell ref="B1:AI1"/>
    <mergeCell ref="A3:C3"/>
    <mergeCell ref="D3:F3"/>
    <mergeCell ref="G3:H3"/>
    <mergeCell ref="I3:X3"/>
    <mergeCell ref="Z3:AE3"/>
    <mergeCell ref="AG3:AI3"/>
  </mergeCells>
  <conditionalFormatting sqref="B28">
    <cfRule type="expression" dxfId="1" priority="2">
      <formula>"B17&lt;&gt;0"</formula>
    </cfRule>
  </conditionalFormatting>
  <conditionalFormatting sqref="F28">
    <cfRule type="expression" dxfId="0" priority="1">
      <formula>"b17&lt;&gt;0"</formula>
    </cfRule>
  </conditionalFormatting>
  <hyperlinks>
    <hyperlink ref="C1" location="'Table matière'!A1" display="Table des matières"/>
    <hyperlink ref="A1" location="'Table matière'!A1" display="Table des matières"/>
  </hyperlinks>
  <printOptions horizontalCentered="1" verticalCentered="1"/>
  <pageMargins left="0.51181102362204722" right="0.51181102362204722" top="0.55118110236220474" bottom="0.55118110236220474" header="0.31496062992125984" footer="0.31496062992125984"/>
  <pageSetup paperSize="8" scale="27" fitToHeight="8" orientation="landscape" r:id="rId1"/>
  <headerFooter>
    <oddHeader>&amp;C&amp;"-,Gras"&amp;14&amp;U&amp;F / &amp;A</oddHeader>
    <oddFooter>&amp;C&amp;P /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tabColor theme="9" tint="-0.249977111117893"/>
    <pageSetUpPr fitToPage="1"/>
  </sheetPr>
  <dimension ref="A1"/>
  <sheetViews>
    <sheetView view="pageBreakPreview" zoomScale="115" zoomScaleNormal="100" zoomScaleSheetLayoutView="115" workbookViewId="0">
      <selection activeCell="A23" sqref="A23"/>
    </sheetView>
  </sheetViews>
  <sheetFormatPr baseColWidth="10" defaultRowHeight="15" x14ac:dyDescent="0.25"/>
  <cols>
    <col min="1" max="1" width="225.5703125" customWidth="1"/>
  </cols>
  <sheetData>
    <row r="1" spans="1:1" ht="409.5" customHeight="1" thickBot="1" x14ac:dyDescent="0.3">
      <c r="A1" s="212" t="s">
        <v>393</v>
      </c>
    </row>
  </sheetData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60" orientation="landscape" r:id="rId1"/>
  <headerFooter>
    <oddHeader>&amp;C&amp;"-,Gras"&amp;14&amp;U&amp;F / &amp;A</oddHeader>
    <oddFooter>&amp;C&amp;P /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tabColor theme="9" tint="0.79998168889431442"/>
    <pageSetUpPr fitToPage="1"/>
  </sheetPr>
  <dimension ref="A1:N10"/>
  <sheetViews>
    <sheetView view="pageBreakPreview" zoomScale="130" zoomScaleNormal="175" zoomScaleSheetLayoutView="130" workbookViewId="0">
      <pane ySplit="2" topLeftCell="A3" activePane="bottomLeft" state="frozen"/>
      <selection activeCell="B19" sqref="B19"/>
      <selection pane="bottomLeft" activeCell="B19" sqref="B19"/>
    </sheetView>
  </sheetViews>
  <sheetFormatPr baseColWidth="10" defaultColWidth="11.42578125" defaultRowHeight="15" x14ac:dyDescent="0.25"/>
  <cols>
    <col min="1" max="1" width="13.7109375" style="1" customWidth="1"/>
    <col min="2" max="2" width="12.140625" style="1" customWidth="1"/>
    <col min="3" max="3" width="17" style="32" customWidth="1"/>
    <col min="4" max="4" width="1.85546875" style="32" customWidth="1"/>
    <col min="5" max="5" width="22.42578125" style="1" customWidth="1"/>
    <col min="6" max="6" width="2" style="1" customWidth="1"/>
    <col min="7" max="7" width="17.28515625" style="1" customWidth="1"/>
    <col min="8" max="9" width="19.85546875" style="1" customWidth="1"/>
    <col min="10" max="10" width="17" style="1" customWidth="1"/>
    <col min="11" max="11" width="2" style="1" customWidth="1"/>
    <col min="12" max="12" width="21.5703125" style="32" customWidth="1"/>
    <col min="14" max="16384" width="11.42578125" style="1"/>
  </cols>
  <sheetData>
    <row r="1" spans="1:14" s="310" customFormat="1" ht="31.5" x14ac:dyDescent="0.25">
      <c r="A1" s="681" t="s">
        <v>514</v>
      </c>
      <c r="B1" s="681"/>
      <c r="C1" s="682"/>
      <c r="D1" s="311"/>
      <c r="E1" s="305" t="s">
        <v>513</v>
      </c>
      <c r="F1" s="311"/>
      <c r="G1" s="683" t="s">
        <v>520</v>
      </c>
      <c r="H1" s="684"/>
      <c r="I1" s="684"/>
      <c r="J1" s="685"/>
      <c r="K1" s="311"/>
      <c r="L1" s="312" t="s">
        <v>512</v>
      </c>
    </row>
    <row r="2" spans="1:14" s="32" customFormat="1" ht="45.75" customHeight="1" x14ac:dyDescent="0.25">
      <c r="A2" s="202" t="s">
        <v>515</v>
      </c>
      <c r="B2" s="202" t="s">
        <v>516</v>
      </c>
      <c r="C2" s="306" t="s">
        <v>463</v>
      </c>
      <c r="D2" s="308"/>
      <c r="E2" s="307" t="s">
        <v>518</v>
      </c>
      <c r="F2" s="308"/>
      <c r="G2" s="202" t="s">
        <v>517</v>
      </c>
      <c r="H2" s="202" t="s">
        <v>523</v>
      </c>
      <c r="I2" s="202" t="s">
        <v>526</v>
      </c>
      <c r="J2" s="202" t="s">
        <v>462</v>
      </c>
      <c r="K2" s="308"/>
      <c r="L2" s="202" t="s">
        <v>519</v>
      </c>
      <c r="N2" s="203"/>
    </row>
    <row r="3" spans="1:14" s="32" customFormat="1" ht="30" customHeight="1" x14ac:dyDescent="0.25">
      <c r="A3" s="441" t="s">
        <v>544</v>
      </c>
      <c r="B3" s="441">
        <v>56</v>
      </c>
      <c r="C3" s="442" t="s">
        <v>274</v>
      </c>
      <c r="D3" s="309"/>
      <c r="E3" s="443" t="s">
        <v>542</v>
      </c>
      <c r="F3" s="309"/>
      <c r="G3" s="444" t="s">
        <v>386</v>
      </c>
      <c r="H3" s="444" t="s">
        <v>263</v>
      </c>
      <c r="I3" s="444" t="s">
        <v>541</v>
      </c>
      <c r="J3" s="445" t="s">
        <v>196</v>
      </c>
      <c r="K3" s="309"/>
      <c r="L3" s="446" t="s">
        <v>274</v>
      </c>
      <c r="N3" s="203"/>
    </row>
    <row r="4" spans="1:14" s="32" customFormat="1" ht="30" customHeight="1" x14ac:dyDescent="0.25">
      <c r="A4" s="441" t="s">
        <v>544</v>
      </c>
      <c r="B4" s="441">
        <v>56</v>
      </c>
      <c r="C4" s="442" t="s">
        <v>274</v>
      </c>
      <c r="D4" s="309"/>
      <c r="E4" s="447" t="s">
        <v>543</v>
      </c>
      <c r="F4" s="309"/>
      <c r="G4" s="448" t="s">
        <v>521</v>
      </c>
      <c r="H4" s="448" t="s">
        <v>214</v>
      </c>
      <c r="I4" s="448" t="s">
        <v>527</v>
      </c>
      <c r="J4" s="236" t="s">
        <v>197</v>
      </c>
      <c r="K4" s="309"/>
      <c r="L4" s="449" t="s">
        <v>275</v>
      </c>
      <c r="N4" s="203"/>
    </row>
    <row r="5" spans="1:14" x14ac:dyDescent="0.25">
      <c r="A5" s="235"/>
      <c r="E5" s="235"/>
      <c r="F5" s="235"/>
      <c r="G5" s="235"/>
      <c r="H5" s="235"/>
      <c r="I5" s="235"/>
      <c r="K5" s="235"/>
      <c r="M5" s="1"/>
    </row>
    <row r="6" spans="1:14" x14ac:dyDescent="0.25">
      <c r="M6" s="1"/>
    </row>
    <row r="7" spans="1:14" x14ac:dyDescent="0.25">
      <c r="M7" s="1"/>
    </row>
    <row r="8" spans="1:14" x14ac:dyDescent="0.25">
      <c r="M8" s="1"/>
    </row>
    <row r="9" spans="1:14" x14ac:dyDescent="0.25">
      <c r="M9" s="1"/>
    </row>
    <row r="10" spans="1:14" x14ac:dyDescent="0.25">
      <c r="M10" s="1"/>
    </row>
  </sheetData>
  <sheetProtection algorithmName="SHA-512" hashValue="wj+pUk5TQnuQNoZIaM/3uMUcumdkxgaMUYhCMRmC3kujnw8PzWNwuB+Fueee32RbPWk7JYQIJGhDoLYxkueYpg==" saltValue="Yw75BaslEX7WwnWooePIZg==" spinCount="100000" sheet="1" objects="1" scenarios="1"/>
  <autoFilter ref="A2:N4"/>
  <mergeCells count="2">
    <mergeCell ref="A1:C1"/>
    <mergeCell ref="G1:J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81" orientation="landscape" r:id="rId1"/>
  <headerFooter>
    <oddHeader>&amp;C&amp;"-,Gras"&amp;14&amp;U&amp;F / &amp;A</oddHeader>
    <oddFooter>&amp;C&amp;P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tabColor theme="9" tint="0.79998168889431442"/>
    <pageSetUpPr fitToPage="1"/>
  </sheetPr>
  <dimension ref="A1:D8"/>
  <sheetViews>
    <sheetView view="pageBreakPreview" zoomScale="130" zoomScaleNormal="130" zoomScaleSheetLayoutView="130" workbookViewId="0">
      <selection activeCell="B19" sqref="B19"/>
    </sheetView>
  </sheetViews>
  <sheetFormatPr baseColWidth="10" defaultColWidth="11.42578125" defaultRowHeight="15" x14ac:dyDescent="0.25"/>
  <cols>
    <col min="1" max="1" width="46.7109375" style="1" customWidth="1"/>
    <col min="2" max="2" width="38.7109375" style="1" customWidth="1"/>
    <col min="3" max="3" width="44.85546875" style="1" customWidth="1"/>
    <col min="4" max="16384" width="11.42578125" style="1"/>
  </cols>
  <sheetData>
    <row r="1" spans="1:4" ht="22.5" customHeight="1" x14ac:dyDescent="0.25">
      <c r="A1" s="192"/>
      <c r="B1" s="686" t="s">
        <v>454</v>
      </c>
      <c r="C1" s="687"/>
      <c r="D1" s="192"/>
    </row>
    <row r="2" spans="1:4" ht="56.25" customHeight="1" x14ac:dyDescent="0.3">
      <c r="A2" s="265"/>
      <c r="B2" s="266" t="s">
        <v>456</v>
      </c>
      <c r="C2" s="266" t="s">
        <v>507</v>
      </c>
      <c r="D2" s="192"/>
    </row>
    <row r="3" spans="1:4" ht="24.95" customHeight="1" x14ac:dyDescent="0.25">
      <c r="A3" s="267" t="s">
        <v>455</v>
      </c>
      <c r="B3" s="67">
        <v>13</v>
      </c>
      <c r="C3" s="67">
        <v>28</v>
      </c>
      <c r="D3" s="192"/>
    </row>
    <row r="4" spans="1:4" x14ac:dyDescent="0.25">
      <c r="A4" s="192"/>
      <c r="B4" s="192"/>
      <c r="C4" s="192"/>
      <c r="D4" s="192"/>
    </row>
    <row r="5" spans="1:4" ht="24.95" customHeight="1" x14ac:dyDescent="0.25">
      <c r="A5" s="192"/>
      <c r="B5" s="686" t="s">
        <v>454</v>
      </c>
      <c r="C5" s="687"/>
      <c r="D5" s="192"/>
    </row>
    <row r="6" spans="1:4" ht="56.25" x14ac:dyDescent="0.3">
      <c r="A6" s="265"/>
      <c r="B6" s="266" t="s">
        <v>456</v>
      </c>
      <c r="C6" s="266" t="s">
        <v>507</v>
      </c>
      <c r="D6" s="192"/>
    </row>
    <row r="7" spans="1:4" ht="24.95" customHeight="1" x14ac:dyDescent="0.25">
      <c r="A7" s="267" t="s">
        <v>457</v>
      </c>
      <c r="B7" s="66">
        <v>4</v>
      </c>
      <c r="C7" s="66">
        <v>4</v>
      </c>
      <c r="D7" s="192"/>
    </row>
    <row r="8" spans="1:4" x14ac:dyDescent="0.25">
      <c r="A8" s="192"/>
      <c r="B8" s="192"/>
      <c r="C8" s="192"/>
      <c r="D8" s="192"/>
    </row>
  </sheetData>
  <sheetProtection algorithmName="SHA-512" hashValue="+FeuDKXw+7uH8F63GL0LOQEjccyuEAeWKCRzXZJeFOsLT3ExhVvn0iZMiw78iKJi4RM/Y0Alls9BVp4T0i+WFA==" saltValue="r3jT65jpiKbvvV1DluhHnQ==" spinCount="100000" sheet="1" objects="1" scenarios="1"/>
  <mergeCells count="2">
    <mergeCell ref="B1:C1"/>
    <mergeCell ref="B5:C5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theme="9" tint="0.79998168889431442"/>
    <pageSetUpPr fitToPage="1"/>
  </sheetPr>
  <dimension ref="A1:H8"/>
  <sheetViews>
    <sheetView view="pageBreakPreview" zoomScaleNormal="100" zoomScaleSheetLayoutView="100" workbookViewId="0">
      <selection activeCell="B19" sqref="B19"/>
    </sheetView>
  </sheetViews>
  <sheetFormatPr baseColWidth="10" defaultColWidth="11.42578125" defaultRowHeight="15" x14ac:dyDescent="0.25"/>
  <cols>
    <col min="1" max="1" width="23.5703125" style="230" customWidth="1"/>
    <col min="2" max="2" width="7.7109375" style="1" customWidth="1"/>
    <col min="3" max="6" width="22.42578125" style="1" customWidth="1"/>
    <col min="7" max="7" width="17" style="1" customWidth="1"/>
    <col min="8" max="8" width="11.140625" style="1" customWidth="1"/>
    <col min="9" max="16384" width="11.42578125" style="1"/>
  </cols>
  <sheetData>
    <row r="1" spans="1:8" s="32" customFormat="1" ht="45.75" customHeight="1" x14ac:dyDescent="0.25">
      <c r="A1" s="233" t="s">
        <v>441</v>
      </c>
      <c r="B1" s="3" t="s">
        <v>439</v>
      </c>
      <c r="C1" s="3" t="s">
        <v>277</v>
      </c>
      <c r="D1" s="233" t="s">
        <v>442</v>
      </c>
      <c r="E1" s="3" t="s">
        <v>439</v>
      </c>
      <c r="F1" s="3" t="s">
        <v>440</v>
      </c>
      <c r="G1" s="3" t="s">
        <v>193</v>
      </c>
      <c r="H1" s="3" t="s">
        <v>192</v>
      </c>
    </row>
    <row r="2" spans="1:8" s="32" customFormat="1" ht="45.75" customHeight="1" x14ac:dyDescent="0.25">
      <c r="A2" s="237" t="s">
        <v>545</v>
      </c>
      <c r="B2" s="234">
        <f>10-MOD((IF(VALUE(RIGHT(LEFT(A2,LEN(A2)),1))*2&gt;=10,VALUE(RIGHT(LEFT(A2,LEN(A2)),1))*2-9,VALUE(RIGHT(LEFT(A2,LEN(A2)),1))*2)+IF(VALUE(RIGHT(LEFT(A2,LEN(A2)-2),1))*2&gt;=10,VALUE(RIGHT(LEFT(A2,LEN(A2)-2),1))*2-9,VALUE(RIGHT(LEFT(A2,LEN(A2)-2),1))*2)+IF(VALUE(RIGHT(LEFT(A2,LEN(A2)-4),1))*2&gt;=10,VALUE(RIGHT(LEFT(A2,LEN(A2)-4),1))*2-9,VALUE(RIGHT(LEFT(A2,LEN(A2)-4),1))*2)+IF(VALUE(RIGHT(LEFT(A2,LEN(A2)-6),1))*2&gt;=10,VALUE(RIGHT(LEFT(A2,LEN(A2)-6),1))*2-9,VALUE(RIGHT(LEFT(A2,LEN(A2)-6),1))*2)
+RIGHT(LEFT(A2,LEN(A2)-1),1)+RIGHT(LEFT(A2,LEN(A2)-3),1)+RIGHT(LEFT(A2,LEN(A2)-5),1)+RIGHT(LEFT(A2,LEN(A2)-7),1)),10)</f>
        <v>1</v>
      </c>
      <c r="C2" s="232" t="s">
        <v>546</v>
      </c>
      <c r="D2" s="232">
        <v>1111111011</v>
      </c>
      <c r="E2" s="234">
        <v>8</v>
      </c>
      <c r="F2" s="232" t="s">
        <v>588</v>
      </c>
      <c r="G2" s="236" t="s">
        <v>196</v>
      </c>
      <c r="H2" s="231" t="s">
        <v>202</v>
      </c>
    </row>
    <row r="8" spans="1:8" x14ac:dyDescent="0.25">
      <c r="C8" s="235"/>
      <c r="D8" s="235"/>
      <c r="E8" s="235"/>
      <c r="F8" s="235"/>
    </row>
  </sheetData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91" orientation="landscape" r:id="rId1"/>
  <headerFooter>
    <oddHeader>&amp;C&amp;"-,Gras"&amp;14&amp;U&amp;F / &amp;A</oddHeader>
    <oddFooter>&amp;C&amp;P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theme="9" tint="0.79998168889431442"/>
    <pageSetUpPr fitToPage="1"/>
  </sheetPr>
  <dimension ref="A1:G5"/>
  <sheetViews>
    <sheetView view="pageBreakPreview" zoomScaleNormal="85" zoomScaleSheetLayoutView="100" workbookViewId="0">
      <pane ySplit="1" topLeftCell="A2" activePane="bottomLeft" state="frozen"/>
      <selection activeCell="B19" sqref="B19"/>
      <selection pane="bottomLeft" activeCell="B19" sqref="B19"/>
    </sheetView>
  </sheetViews>
  <sheetFormatPr baseColWidth="10" defaultColWidth="11.42578125" defaultRowHeight="15" x14ac:dyDescent="0.25"/>
  <cols>
    <col min="1" max="1" width="34.85546875" style="69" customWidth="1"/>
    <col min="2" max="2" width="18.7109375" style="69" customWidth="1"/>
    <col min="3" max="3" width="36" style="69" customWidth="1"/>
    <col min="4" max="4" width="17.7109375" style="69" customWidth="1"/>
    <col min="5" max="5" width="11.42578125" style="69" customWidth="1"/>
    <col min="6" max="6" width="58.7109375" style="69" customWidth="1"/>
    <col min="7" max="7" width="11.5703125" customWidth="1"/>
    <col min="8" max="16384" width="11.42578125" style="69"/>
  </cols>
  <sheetData>
    <row r="1" spans="1:7" ht="63" customHeight="1" x14ac:dyDescent="0.25">
      <c r="A1" s="74" t="s">
        <v>848</v>
      </c>
      <c r="B1" s="74" t="s">
        <v>502</v>
      </c>
      <c r="C1" s="74" t="s">
        <v>503</v>
      </c>
      <c r="D1" s="74" t="s">
        <v>251</v>
      </c>
      <c r="E1" s="74" t="s">
        <v>252</v>
      </c>
      <c r="F1" s="304" t="s">
        <v>508</v>
      </c>
    </row>
    <row r="2" spans="1:7" ht="15" customHeight="1" x14ac:dyDescent="0.25">
      <c r="A2" s="450" t="s">
        <v>270</v>
      </c>
      <c r="B2" s="450" t="s">
        <v>262</v>
      </c>
      <c r="C2" s="450" t="s">
        <v>261</v>
      </c>
      <c r="D2" s="450" t="s">
        <v>259</v>
      </c>
      <c r="E2" s="450" t="s">
        <v>254</v>
      </c>
      <c r="F2" s="450" t="s">
        <v>504</v>
      </c>
      <c r="G2" s="69"/>
    </row>
    <row r="3" spans="1:7" ht="15" customHeight="1" x14ac:dyDescent="0.25">
      <c r="A3" s="450" t="s">
        <v>271</v>
      </c>
      <c r="B3" s="450" t="s">
        <v>263</v>
      </c>
      <c r="C3" s="450" t="s">
        <v>260</v>
      </c>
      <c r="D3" s="450" t="s">
        <v>259</v>
      </c>
      <c r="E3" s="450" t="s">
        <v>254</v>
      </c>
      <c r="F3" s="450" t="s">
        <v>504</v>
      </c>
      <c r="G3" s="69"/>
    </row>
    <row r="4" spans="1:7" ht="15" customHeight="1" x14ac:dyDescent="0.25">
      <c r="A4" s="451" t="s">
        <v>272</v>
      </c>
      <c r="B4" s="452" t="s">
        <v>214</v>
      </c>
      <c r="C4" s="453" t="s">
        <v>253</v>
      </c>
      <c r="D4" s="453" t="s">
        <v>255</v>
      </c>
      <c r="E4" s="453" t="s">
        <v>254</v>
      </c>
      <c r="F4" s="453" t="s">
        <v>505</v>
      </c>
      <c r="G4" s="69"/>
    </row>
    <row r="5" spans="1:7" ht="15" customHeight="1" x14ac:dyDescent="0.25">
      <c r="A5" s="450" t="s">
        <v>273</v>
      </c>
      <c r="B5" s="450" t="s">
        <v>256</v>
      </c>
      <c r="C5" s="450" t="s">
        <v>257</v>
      </c>
      <c r="D5" s="450" t="s">
        <v>255</v>
      </c>
      <c r="E5" s="450" t="s">
        <v>254</v>
      </c>
      <c r="F5" s="450" t="s">
        <v>504</v>
      </c>
      <c r="G5" s="69"/>
    </row>
  </sheetData>
  <sheetProtection algorithmName="SHA-512" hashValue="dK+p0k96B2RwEXuS8aoT9HFYNynd5d7FUy39BDCzHN9qgaocYEp68oSWaaTKwNN/YtKUu7YRD7e8rem01SbhpA==" saltValue="l0e0RMbetG++g0b6fpHowg==" spinCount="100000" sheet="1" objects="1" scenarios="1"/>
  <autoFilter ref="A1:G5"/>
  <sortState ref="B2:J33976">
    <sortCondition ref="C2:C33976"/>
  </sortState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76" orientation="landscape" r:id="rId1"/>
  <headerFooter>
    <oddHeader>&amp;C&amp;"-,Gras"&amp;14&amp;U&amp;F / &amp;A</oddHeader>
    <oddFooter>&amp;C&amp;P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tabColor theme="9" tint="0.79998168889431442"/>
    <pageSetUpPr fitToPage="1"/>
  </sheetPr>
  <dimension ref="A1:C3"/>
  <sheetViews>
    <sheetView view="pageBreakPreview" zoomScale="145" zoomScaleNormal="100" zoomScaleSheetLayoutView="145" workbookViewId="0">
      <pane ySplit="1" topLeftCell="A2" activePane="bottomLeft" state="frozen"/>
      <selection activeCell="B19" sqref="B19"/>
      <selection pane="bottomLeft" activeCell="B19" sqref="B19"/>
    </sheetView>
  </sheetViews>
  <sheetFormatPr baseColWidth="10" defaultColWidth="11.42578125" defaultRowHeight="15" x14ac:dyDescent="0.25"/>
  <cols>
    <col min="1" max="1" width="25.42578125" style="57" customWidth="1"/>
    <col min="2" max="2" width="49" style="57" customWidth="1"/>
    <col min="3" max="3" width="33.28515625" style="314" customWidth="1"/>
    <col min="4" max="4" width="27.140625" style="1" customWidth="1"/>
    <col min="5" max="16384" width="11.42578125" style="1"/>
  </cols>
  <sheetData>
    <row r="1" spans="1:3" ht="59.25" customHeight="1" x14ac:dyDescent="0.25">
      <c r="A1" s="3" t="s">
        <v>525</v>
      </c>
      <c r="B1" s="62" t="s">
        <v>194</v>
      </c>
      <c r="C1" s="313" t="s">
        <v>509</v>
      </c>
    </row>
    <row r="2" spans="1:3" x14ac:dyDescent="0.25">
      <c r="A2" s="321" t="s">
        <v>196</v>
      </c>
      <c r="B2" s="322" t="s">
        <v>496</v>
      </c>
      <c r="C2" s="323">
        <v>1.08</v>
      </c>
    </row>
    <row r="3" spans="1:3" x14ac:dyDescent="0.25">
      <c r="A3" s="321" t="s">
        <v>197</v>
      </c>
      <c r="B3" s="322" t="s">
        <v>497</v>
      </c>
      <c r="C3" s="323">
        <v>1.07</v>
      </c>
    </row>
  </sheetData>
  <sheetProtection algorithmName="SHA-512" hashValue="H1WT1W5Ec+bSHENrGi+bXGC8+5Y+MYyBGi2Tq6A3OePSXwgz5CP3nxX+UKtPqP672Uw+nSdQj0c8qFQ/NNVyIQ==" saltValue="S0SHE3nTDw9mda6R1oAl9Q==" spinCount="100000" sheet="1" objects="1" scenarios="1"/>
  <autoFilter ref="A1:C3"/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theme="9" tint="0.79998168889431442"/>
    <pageSetUpPr fitToPage="1"/>
  </sheetPr>
  <dimension ref="A1:D4"/>
  <sheetViews>
    <sheetView view="pageBreakPreview" zoomScale="145" zoomScaleNormal="190" zoomScaleSheetLayoutView="145" workbookViewId="0">
      <pane ySplit="2" topLeftCell="A3" activePane="bottomLeft" state="frozen"/>
      <selection activeCell="B19" sqref="B19"/>
      <selection pane="bottomLeft" activeCell="B19" sqref="B19"/>
    </sheetView>
  </sheetViews>
  <sheetFormatPr baseColWidth="10" defaultColWidth="11.42578125" defaultRowHeight="15" x14ac:dyDescent="0.25"/>
  <cols>
    <col min="1" max="1" width="32.42578125" style="1" customWidth="1"/>
    <col min="2" max="2" width="41.5703125" style="1" customWidth="1"/>
    <col min="3" max="3" width="39.28515625" style="1" customWidth="1"/>
    <col min="4" max="16384" width="11.42578125" style="1"/>
  </cols>
  <sheetData>
    <row r="1" spans="1:4" ht="24.75" customHeight="1" x14ac:dyDescent="0.25">
      <c r="A1" s="192"/>
      <c r="B1" s="688" t="s">
        <v>461</v>
      </c>
      <c r="C1" s="688"/>
    </row>
    <row r="2" spans="1:4" ht="60.75" customHeight="1" x14ac:dyDescent="0.25">
      <c r="A2" s="192"/>
      <c r="B2" s="200" t="s">
        <v>499</v>
      </c>
      <c r="C2" s="200" t="s">
        <v>500</v>
      </c>
      <c r="D2" s="192"/>
    </row>
    <row r="3" spans="1:4" s="259" customFormat="1" ht="29.25" customHeight="1" x14ac:dyDescent="0.25">
      <c r="A3" s="257" t="s">
        <v>492</v>
      </c>
      <c r="B3" s="268">
        <v>0.25</v>
      </c>
      <c r="C3" s="268">
        <v>0.5</v>
      </c>
      <c r="D3" s="258"/>
    </row>
    <row r="4" spans="1:4" x14ac:dyDescent="0.25">
      <c r="B4" s="192"/>
      <c r="C4" s="192"/>
      <c r="D4" s="192"/>
    </row>
  </sheetData>
  <sheetProtection algorithmName="SHA-512" hashValue="gYjIsm5OnfXZKSp7i2FEcfefJq+OtBwl8oNVhGzOELz42ENcUehJT7jovtsp276xQJ94HcGuWuYavwFJ63MVLg==" saltValue="CJhqzxLIR3TTzTfdkeAQ4A==" spinCount="100000" sheet="1" objects="1" scenarios="1"/>
  <autoFilter ref="B2:C2"/>
  <mergeCells count="1">
    <mergeCell ref="B1:C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theme="9" tint="0.79998168889431442"/>
    <pageSetUpPr fitToPage="1"/>
  </sheetPr>
  <dimension ref="A1:C2"/>
  <sheetViews>
    <sheetView view="pageBreakPreview" zoomScale="190" zoomScaleNormal="265" zoomScaleSheetLayoutView="190" workbookViewId="0">
      <pane ySplit="1" topLeftCell="A2" activePane="bottomLeft" state="frozen"/>
      <selection activeCell="B19" sqref="B19"/>
      <selection pane="bottomLeft" activeCell="B19" sqref="B19"/>
    </sheetView>
  </sheetViews>
  <sheetFormatPr baseColWidth="10" defaultColWidth="11.42578125" defaultRowHeight="15" x14ac:dyDescent="0.25"/>
  <cols>
    <col min="1" max="1" width="38" style="1" customWidth="1"/>
    <col min="2" max="2" width="32.85546875" style="1" customWidth="1"/>
    <col min="3" max="16384" width="11.42578125" style="1"/>
  </cols>
  <sheetData>
    <row r="1" spans="1:3" s="259" customFormat="1" ht="29.25" customHeight="1" x14ac:dyDescent="0.25">
      <c r="A1" s="257" t="s">
        <v>501</v>
      </c>
      <c r="B1" s="260">
        <v>50</v>
      </c>
      <c r="C1" s="258"/>
    </row>
    <row r="2" spans="1:3" x14ac:dyDescent="0.25">
      <c r="B2" s="192"/>
      <c r="C2" s="192"/>
    </row>
  </sheetData>
  <sheetProtection algorithmName="SHA-512" hashValue="Pno17mzQAGWDRE+2vnwgWvB/NX1fhBUjc+7sp+wkIUCVsK6vux8NonyRPamzbljrEKdhWO7WKYQzrNbnNkj4gw==" saltValue="cjpog9XvtHnGaZFHpTup1A==" spinCount="100000" sheet="1" objects="1" scenarios="1"/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tabColor theme="9" tint="0.79998168889431442"/>
    <pageSetUpPr fitToPage="1"/>
  </sheetPr>
  <dimension ref="A1:F4"/>
  <sheetViews>
    <sheetView view="pageBreakPreview" zoomScale="145" zoomScaleNormal="100" zoomScaleSheetLayoutView="145" workbookViewId="0">
      <pane ySplit="2" topLeftCell="A3" activePane="bottomLeft" state="frozen"/>
      <selection activeCell="B19" sqref="B19"/>
      <selection pane="bottomLeft" activeCell="A3" sqref="A3:A4"/>
    </sheetView>
  </sheetViews>
  <sheetFormatPr baseColWidth="10" defaultColWidth="11.42578125" defaultRowHeight="15" x14ac:dyDescent="0.25"/>
  <cols>
    <col min="1" max="1" width="23.42578125" style="1" customWidth="1"/>
    <col min="2" max="2" width="1.5703125" style="1" customWidth="1"/>
    <col min="3" max="4" width="23.28515625" style="31" customWidth="1"/>
    <col min="5" max="5" width="23.5703125" style="31" customWidth="1"/>
    <col min="6" max="6" width="0.140625" style="1" customWidth="1"/>
    <col min="7" max="16384" width="11.42578125" style="1"/>
  </cols>
  <sheetData>
    <row r="1" spans="1:6" ht="15.75" x14ac:dyDescent="0.25">
      <c r="A1" s="192"/>
      <c r="B1" s="192"/>
      <c r="C1" s="689" t="s">
        <v>933</v>
      </c>
      <c r="D1" s="684"/>
      <c r="E1" s="684"/>
    </row>
    <row r="2" spans="1:6" ht="38.25" customHeight="1" x14ac:dyDescent="0.25">
      <c r="A2" s="3" t="s">
        <v>524</v>
      </c>
      <c r="B2" s="39"/>
      <c r="C2" s="517" t="s">
        <v>202</v>
      </c>
      <c r="D2" s="517" t="s">
        <v>649</v>
      </c>
      <c r="E2" s="517" t="s">
        <v>749</v>
      </c>
      <c r="F2" s="35" t="s">
        <v>236</v>
      </c>
    </row>
    <row r="3" spans="1:6" x14ac:dyDescent="0.25">
      <c r="A3" s="316" t="s">
        <v>274</v>
      </c>
      <c r="B3" s="317"/>
      <c r="C3" s="318">
        <v>3</v>
      </c>
      <c r="D3" s="319">
        <v>5</v>
      </c>
      <c r="E3" s="319">
        <v>7</v>
      </c>
      <c r="F3" s="264">
        <v>45292</v>
      </c>
    </row>
    <row r="4" spans="1:6" x14ac:dyDescent="0.25">
      <c r="A4" s="316" t="s">
        <v>275</v>
      </c>
      <c r="B4" s="317"/>
      <c r="C4" s="319">
        <v>6</v>
      </c>
      <c r="D4" s="324">
        <v>0</v>
      </c>
      <c r="E4" s="324">
        <v>0</v>
      </c>
      <c r="F4" s="264">
        <v>45292</v>
      </c>
    </row>
  </sheetData>
  <sheetProtection algorithmName="SHA-512" hashValue="2pjOtulgqA/GyZ+E6K9enePWqi9QGO9SL2z/05yeLDYrw3POkx2fOauSAwQNkuAgocBD/e5ivDJelLSvnSiVag==" saltValue="mjv2TjU/RP+0qdlYl4dfkw==" spinCount="100000" sheet="1" objects="1" scenarios="1"/>
  <autoFilter ref="A2:D4"/>
  <mergeCells count="1">
    <mergeCell ref="C1:E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theme="9" tint="0.79998168889431442"/>
    <pageSetUpPr fitToPage="1"/>
  </sheetPr>
  <dimension ref="A1:C2"/>
  <sheetViews>
    <sheetView view="pageBreakPreview" zoomScale="250" zoomScaleNormal="265" zoomScaleSheetLayoutView="250" workbookViewId="0">
      <selection activeCell="B19" sqref="B19"/>
    </sheetView>
  </sheetViews>
  <sheetFormatPr baseColWidth="10" defaultRowHeight="15" x14ac:dyDescent="0.25"/>
  <cols>
    <col min="1" max="1" width="27.28515625" customWidth="1"/>
    <col min="2" max="2" width="12.7109375" customWidth="1"/>
  </cols>
  <sheetData>
    <row r="1" spans="1:3" x14ac:dyDescent="0.25">
      <c r="A1" s="263" t="s">
        <v>453</v>
      </c>
      <c r="B1" s="70">
        <v>30</v>
      </c>
      <c r="C1" s="192"/>
    </row>
    <row r="2" spans="1:3" x14ac:dyDescent="0.25">
      <c r="A2" s="192"/>
      <c r="B2" s="192"/>
      <c r="C2" s="192"/>
    </row>
  </sheetData>
  <sheetProtection algorithmName="SHA-512" hashValue="vxxA6CltH3dkWZ78wuAwCWr2SbLWOxwYQrjtSePoXgWgh8GGE4bGws3PequTNo+CJhkcaQ3YgLEqq0mZtNvVtQ==" saltValue="aKhn6BSYHvx6xWBsswP8pQ==" spinCount="100000" sheet="1" objects="1" scenarios="1"/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tabColor theme="9" tint="0.79998168889431442"/>
    <pageSetUpPr fitToPage="1"/>
  </sheetPr>
  <dimension ref="A1:D4"/>
  <sheetViews>
    <sheetView view="pageBreakPreview" zoomScale="190" zoomScaleNormal="160" zoomScaleSheetLayoutView="190" workbookViewId="0">
      <selection activeCell="B19" sqref="B19"/>
    </sheetView>
  </sheetViews>
  <sheetFormatPr baseColWidth="10" defaultColWidth="11.42578125" defaultRowHeight="15" x14ac:dyDescent="0.25"/>
  <cols>
    <col min="1" max="1" width="39.140625" style="59" customWidth="1"/>
    <col min="2" max="2" width="45" style="1" customWidth="1"/>
    <col min="3" max="3" width="32.28515625" style="1" customWidth="1"/>
    <col min="4" max="16384" width="11.42578125" style="1"/>
  </cols>
  <sheetData>
    <row r="1" spans="1:4" ht="30.75" customHeight="1" x14ac:dyDescent="0.25">
      <c r="A1" s="261"/>
      <c r="B1" s="690" t="s">
        <v>451</v>
      </c>
      <c r="C1" s="691"/>
    </row>
    <row r="2" spans="1:4" ht="29.25" customHeight="1" x14ac:dyDescent="0.25">
      <c r="A2" s="262"/>
      <c r="B2" s="202" t="s">
        <v>450</v>
      </c>
      <c r="C2" s="202" t="s">
        <v>449</v>
      </c>
      <c r="D2" s="192"/>
    </row>
    <row r="3" spans="1:4" ht="27" customHeight="1" x14ac:dyDescent="0.25">
      <c r="A3" s="3" t="s">
        <v>448</v>
      </c>
      <c r="B3" s="73">
        <v>0.5</v>
      </c>
      <c r="C3" s="73">
        <v>0.5</v>
      </c>
      <c r="D3" s="192"/>
    </row>
    <row r="4" spans="1:4" x14ac:dyDescent="0.25">
      <c r="A4" s="201"/>
      <c r="B4" s="192"/>
      <c r="C4" s="192"/>
      <c r="D4" s="192"/>
    </row>
  </sheetData>
  <sheetProtection algorithmName="SHA-512" hashValue="dX8co59kJxa3M7bmXYt7JhFj35Y0RJhQ2DedKTiQ6lO8qv8AzzA+7BcwXWsf5JV+Y8d6l5KYNJWyJs4lHHoRPw==" saltValue="III5FGvUb4a94j97NrBx/Q==" spinCount="100000" sheet="1" objects="1" scenarios="1"/>
  <mergeCells count="1">
    <mergeCell ref="B1:C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tabColor theme="9" tint="0.79998168889431442"/>
    <pageSetUpPr fitToPage="1"/>
  </sheetPr>
  <dimension ref="A1:H28"/>
  <sheetViews>
    <sheetView view="pageBreakPreview" zoomScale="145" zoomScaleNormal="145" zoomScaleSheetLayoutView="145" workbookViewId="0">
      <pane ySplit="2" topLeftCell="A3" activePane="bottomLeft" state="frozen"/>
      <selection activeCell="B19" sqref="B19"/>
      <selection pane="bottomLeft" activeCell="B19" sqref="B19"/>
    </sheetView>
  </sheetViews>
  <sheetFormatPr baseColWidth="10" defaultColWidth="11.42578125" defaultRowHeight="15" x14ac:dyDescent="0.25"/>
  <cols>
    <col min="1" max="1" width="16.85546875" style="32" customWidth="1"/>
    <col min="2" max="2" width="46.42578125" style="38" customWidth="1"/>
    <col min="3" max="3" width="40.85546875" style="37" customWidth="1"/>
    <col min="4" max="16384" width="11.42578125" style="1"/>
  </cols>
  <sheetData>
    <row r="1" spans="1:4" ht="43.5" customHeight="1" x14ac:dyDescent="0.25">
      <c r="B1" s="692" t="s">
        <v>460</v>
      </c>
      <c r="C1" s="693"/>
      <c r="D1" s="192"/>
    </row>
    <row r="2" spans="1:4" ht="66.75" customHeight="1" x14ac:dyDescent="0.25">
      <c r="A2" s="3" t="s">
        <v>459</v>
      </c>
      <c r="B2" s="202" t="s">
        <v>458</v>
      </c>
      <c r="C2" s="202" t="s">
        <v>464</v>
      </c>
      <c r="D2" s="192"/>
    </row>
    <row r="3" spans="1:4" ht="18.75" x14ac:dyDescent="0.25">
      <c r="A3" s="65">
        <v>2</v>
      </c>
      <c r="B3" s="71">
        <v>0.23</v>
      </c>
      <c r="C3" s="72">
        <v>0.05</v>
      </c>
      <c r="D3" s="192"/>
    </row>
    <row r="4" spans="1:4" ht="18.75" x14ac:dyDescent="0.25">
      <c r="A4" s="65">
        <v>3</v>
      </c>
      <c r="B4" s="71">
        <v>0.35</v>
      </c>
      <c r="C4" s="72">
        <v>0.05</v>
      </c>
      <c r="D4" s="192"/>
    </row>
    <row r="5" spans="1:4" ht="18.75" x14ac:dyDescent="0.25">
      <c r="A5" s="65">
        <v>4</v>
      </c>
      <c r="B5" s="71">
        <v>0.37</v>
      </c>
      <c r="C5" s="72">
        <v>0.05</v>
      </c>
      <c r="D5" s="192"/>
    </row>
    <row r="6" spans="1:4" ht="18.75" x14ac:dyDescent="0.25">
      <c r="A6" s="65">
        <v>5</v>
      </c>
      <c r="B6" s="71">
        <v>0.37</v>
      </c>
      <c r="C6" s="72">
        <v>0.05</v>
      </c>
      <c r="D6" s="192"/>
    </row>
    <row r="7" spans="1:4" ht="18.75" x14ac:dyDescent="0.25">
      <c r="A7" s="65">
        <v>6</v>
      </c>
      <c r="B7" s="71">
        <v>0.37</v>
      </c>
      <c r="C7" s="72">
        <v>0.05</v>
      </c>
      <c r="D7" s="192"/>
    </row>
    <row r="8" spans="1:4" ht="18.75" x14ac:dyDescent="0.25">
      <c r="A8" s="65">
        <v>7</v>
      </c>
      <c r="B8" s="71">
        <v>0.37</v>
      </c>
      <c r="C8" s="72">
        <v>0.05</v>
      </c>
      <c r="D8" s="192"/>
    </row>
    <row r="9" spans="1:4" ht="18.75" x14ac:dyDescent="0.25">
      <c r="A9" s="65">
        <v>8</v>
      </c>
      <c r="B9" s="71">
        <v>0.37</v>
      </c>
      <c r="C9" s="72">
        <v>0.05</v>
      </c>
      <c r="D9" s="192"/>
    </row>
    <row r="10" spans="1:4" x14ac:dyDescent="0.25">
      <c r="A10" s="203"/>
      <c r="B10" s="204"/>
      <c r="C10" s="205"/>
      <c r="D10" s="192"/>
    </row>
    <row r="28" spans="8:8" x14ac:dyDescent="0.25">
      <c r="H28" s="36"/>
    </row>
  </sheetData>
  <sheetProtection algorithmName="SHA-512" hashValue="UraEaVzJN13DXepCJ8JM9kKuDSn8CKkq+kNX93l17r3LDic2iCC1y5q5HI83i+7MJRbOrAdw8hmV0jfQ1f+XmA==" saltValue="cKCNSE9c7G8PJjImoZODJQ==" spinCount="100000" sheet="1" objects="1" scenarios="1"/>
  <mergeCells count="1">
    <mergeCell ref="B1:C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tabColor theme="9" tint="0.79998168889431442"/>
    <pageSetUpPr fitToPage="1"/>
  </sheetPr>
  <dimension ref="A1:B3"/>
  <sheetViews>
    <sheetView view="pageBreakPreview" zoomScale="235" zoomScaleNormal="100" zoomScaleSheetLayoutView="235" workbookViewId="0">
      <pane ySplit="1" topLeftCell="A2" activePane="bottomLeft" state="frozen"/>
      <selection activeCell="B19" sqref="B19"/>
      <selection pane="bottomLeft" activeCell="B19" sqref="B19"/>
    </sheetView>
  </sheetViews>
  <sheetFormatPr baseColWidth="10" defaultColWidth="11.42578125" defaultRowHeight="15" x14ac:dyDescent="0.25"/>
  <cols>
    <col min="1" max="1" width="16.85546875" style="1" customWidth="1"/>
    <col min="2" max="2" width="19.140625" style="31" customWidth="1"/>
    <col min="3" max="16384" width="11.42578125" style="1"/>
  </cols>
  <sheetData>
    <row r="1" spans="1:2" ht="66.75" customHeight="1" x14ac:dyDescent="0.25">
      <c r="A1" s="3" t="s">
        <v>524</v>
      </c>
      <c r="B1" s="30" t="s">
        <v>452</v>
      </c>
    </row>
    <row r="2" spans="1:2" x14ac:dyDescent="0.25">
      <c r="A2" s="316" t="s">
        <v>274</v>
      </c>
      <c r="B2" s="320">
        <v>30</v>
      </c>
    </row>
    <row r="3" spans="1:2" x14ac:dyDescent="0.25">
      <c r="A3" s="316" t="s">
        <v>275</v>
      </c>
      <c r="B3" s="320">
        <v>35</v>
      </c>
    </row>
  </sheetData>
  <autoFilter ref="A1:C3"/>
  <dataValidations count="1">
    <dataValidation type="whole" operator="greaterThanOrEqual" allowBlank="1" showInputMessage="1" showErrorMessage="1" sqref="B2:B3">
      <formula1>30</formula1>
    </dataValidation>
  </dataValidations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tabColor theme="9" tint="0.79998168889431442"/>
    <pageSetUpPr fitToPage="1"/>
  </sheetPr>
  <dimension ref="A1:B14"/>
  <sheetViews>
    <sheetView view="pageBreakPreview" zoomScale="160" zoomScaleNormal="100" zoomScaleSheetLayoutView="160" workbookViewId="0">
      <pane ySplit="1" topLeftCell="A2" activePane="bottomLeft" state="frozen"/>
      <selection activeCell="B19" sqref="B19"/>
      <selection pane="bottomLeft" activeCell="G22" sqref="G22"/>
    </sheetView>
  </sheetViews>
  <sheetFormatPr baseColWidth="10" defaultColWidth="11.42578125" defaultRowHeight="15" x14ac:dyDescent="0.25"/>
  <cols>
    <col min="1" max="1" width="14.85546875" style="1" customWidth="1"/>
    <col min="2" max="2" width="81.5703125" style="1" customWidth="1"/>
    <col min="3" max="16384" width="11.42578125" style="1"/>
  </cols>
  <sheetData>
    <row r="1" spans="1:2" s="58" customFormat="1" ht="66.75" customHeight="1" thickBot="1" x14ac:dyDescent="0.3">
      <c r="A1" s="223" t="s">
        <v>237</v>
      </c>
      <c r="B1" s="224" t="s">
        <v>238</v>
      </c>
    </row>
    <row r="2" spans="1:2" s="58" customFormat="1" ht="18.75" x14ac:dyDescent="0.25">
      <c r="A2" s="63" t="s">
        <v>395</v>
      </c>
      <c r="B2" s="219" t="s">
        <v>424</v>
      </c>
    </row>
    <row r="3" spans="1:2" s="58" customFormat="1" ht="19.5" customHeight="1" x14ac:dyDescent="0.25">
      <c r="A3" s="220" t="s">
        <v>242</v>
      </c>
      <c r="B3" s="221" t="s">
        <v>425</v>
      </c>
    </row>
    <row r="4" spans="1:2" s="58" customFormat="1" ht="30" x14ac:dyDescent="0.25">
      <c r="A4" s="220" t="s">
        <v>278</v>
      </c>
      <c r="B4" s="221" t="s">
        <v>506</v>
      </c>
    </row>
    <row r="5" spans="1:2" s="58" customFormat="1" ht="18.75" x14ac:dyDescent="0.25">
      <c r="A5" s="220" t="s">
        <v>243</v>
      </c>
      <c r="B5" s="221" t="s">
        <v>426</v>
      </c>
    </row>
    <row r="6" spans="1:2" s="58" customFormat="1" ht="18.75" x14ac:dyDescent="0.25">
      <c r="A6" s="220" t="s">
        <v>247</v>
      </c>
      <c r="B6" s="221" t="s">
        <v>495</v>
      </c>
    </row>
    <row r="7" spans="1:2" s="68" customFormat="1" ht="19.5" thickBot="1" x14ac:dyDescent="0.3">
      <c r="A7" s="64" t="s">
        <v>279</v>
      </c>
      <c r="B7" s="222" t="s">
        <v>427</v>
      </c>
    </row>
    <row r="8" spans="1:2" s="58" customFormat="1" ht="18.75" x14ac:dyDescent="0.25">
      <c r="A8" s="213" t="s">
        <v>280</v>
      </c>
      <c r="B8" s="214" t="s">
        <v>493</v>
      </c>
    </row>
    <row r="9" spans="1:2" s="58" customFormat="1" ht="18.75" x14ac:dyDescent="0.25">
      <c r="A9" s="215" t="s">
        <v>244</v>
      </c>
      <c r="B9" s="216" t="s">
        <v>418</v>
      </c>
    </row>
    <row r="10" spans="1:2" ht="18.75" x14ac:dyDescent="0.25">
      <c r="A10" s="215" t="s">
        <v>245</v>
      </c>
      <c r="B10" s="216" t="s">
        <v>419</v>
      </c>
    </row>
    <row r="11" spans="1:2" ht="18.75" x14ac:dyDescent="0.25">
      <c r="A11" s="215" t="s">
        <v>246</v>
      </c>
      <c r="B11" s="216" t="s">
        <v>420</v>
      </c>
    </row>
    <row r="12" spans="1:2" ht="18.75" x14ac:dyDescent="0.25">
      <c r="A12" s="215" t="s">
        <v>239</v>
      </c>
      <c r="B12" s="216" t="s">
        <v>421</v>
      </c>
    </row>
    <row r="13" spans="1:2" ht="18.75" x14ac:dyDescent="0.25">
      <c r="A13" s="215" t="s">
        <v>240</v>
      </c>
      <c r="B13" s="216" t="s">
        <v>422</v>
      </c>
    </row>
    <row r="14" spans="1:2" ht="19.5" thickBot="1" x14ac:dyDescent="0.3">
      <c r="A14" s="217" t="s">
        <v>241</v>
      </c>
      <c r="B14" s="218" t="s">
        <v>423</v>
      </c>
    </row>
  </sheetData>
  <sheetProtection algorithmName="SHA-512" hashValue="PBo8PyZfzTZEMGaZV6VD+DTc09Ql7GCdoEPW1eJK0yEEoMrvZDSDfjswFfDV5SLw+eiBnINp7aDHHTa/X8UtuQ==" saltValue="EgOGGBzigFvJjnnaYacA+g==" spinCount="100000" sheet="1" objects="1" scenarios="1"/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tabColor theme="9" tint="0.79998168889431442"/>
    <pageSetUpPr fitToPage="1"/>
  </sheetPr>
  <dimension ref="A1:B2"/>
  <sheetViews>
    <sheetView view="pageBreakPreview" zoomScale="160" zoomScaleNormal="100" zoomScaleSheetLayoutView="160" workbookViewId="0">
      <pane ySplit="1" topLeftCell="A2" activePane="bottomLeft" state="frozen"/>
      <selection pane="bottomLeft" activeCell="B19" sqref="B19"/>
    </sheetView>
  </sheetViews>
  <sheetFormatPr baseColWidth="10" defaultColWidth="11.42578125" defaultRowHeight="15" x14ac:dyDescent="0.25"/>
  <cols>
    <col min="1" max="1" width="14.85546875" style="1" customWidth="1"/>
    <col min="2" max="2" width="81.5703125" style="1" customWidth="1"/>
    <col min="3" max="16384" width="11.42578125" style="1"/>
  </cols>
  <sheetData>
    <row r="1" spans="1:2" s="68" customFormat="1" ht="66.75" customHeight="1" thickBot="1" x14ac:dyDescent="0.3">
      <c r="A1" s="62" t="s">
        <v>237</v>
      </c>
      <c r="B1" s="62" t="s">
        <v>238</v>
      </c>
    </row>
    <row r="2" spans="1:2" s="68" customFormat="1" ht="18.75" x14ac:dyDescent="0.25">
      <c r="A2" s="60" t="s">
        <v>433</v>
      </c>
      <c r="B2" s="61" t="s">
        <v>494</v>
      </c>
    </row>
  </sheetData>
  <sheetProtection algorithmName="SHA-512" hashValue="sSEQkw+uOFBSRTLdK/oS68glcWvWsb9FvFTd2CCXbiUQhBdZ9Xgt/Ne3POmgIx1xrAM4JlgvOOkF8EZzgN9RYQ==" saltValue="JR0kMsL+DvKD/Nypk3uV/w==" spinCount="100000" sheet="1" objects="1" scenarios="1"/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>
    <oddHeader>&amp;C&amp;"-,Gras"&amp;14&amp;U&amp;F / &amp;A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42</vt:i4>
      </vt:variant>
      <vt:variant>
        <vt:lpstr>Plages nommées</vt:lpstr>
      </vt:variant>
      <vt:variant>
        <vt:i4>58</vt:i4>
      </vt:variant>
    </vt:vector>
  </HeadingPairs>
  <TitlesOfParts>
    <vt:vector size="100" baseType="lpstr">
      <vt:lpstr>PREAMBULE</vt:lpstr>
      <vt:lpstr>Table matière</vt:lpstr>
      <vt:lpstr>LISTE DES CAS ANNEXE 30</vt:lpstr>
      <vt:lpstr>CONVENTION CAS 1</vt:lpstr>
      <vt:lpstr>CONVENTION CAS 2</vt:lpstr>
      <vt:lpstr>CONVENTION CAS 3</vt:lpstr>
      <vt:lpstr>CONVENTION CAS 4</vt:lpstr>
      <vt:lpstr>CONVENTION CAS 5</vt:lpstr>
      <vt:lpstr>CONVENTION CAS 6</vt:lpstr>
      <vt:lpstr>CONVENTION CAS 7</vt:lpstr>
      <vt:lpstr>CONVENTION CAS 8</vt:lpstr>
      <vt:lpstr>CONVENTION CAS 9</vt:lpstr>
      <vt:lpstr>CONVENTION CAS 10</vt:lpstr>
      <vt:lpstr>CONVENTION CAS 11</vt:lpstr>
      <vt:lpstr>CONVENTION CAS 12</vt:lpstr>
      <vt:lpstr>CONVENTION CAS 13</vt:lpstr>
      <vt:lpstr>CONVENTION CAS 14</vt:lpstr>
      <vt:lpstr>CONVENTION CAS 15</vt:lpstr>
      <vt:lpstr>CONVENTION CAS 16</vt:lpstr>
      <vt:lpstr>CONVENTION CAS 17</vt:lpstr>
      <vt:lpstr>CONVENTION CAS 18</vt:lpstr>
      <vt:lpstr>CONVENTION CAS 19</vt:lpstr>
      <vt:lpstr>CONVENTION CAS 20</vt:lpstr>
      <vt:lpstr>TP CONTRE TP CAS 1</vt:lpstr>
      <vt:lpstr>TP CONTRE TP CAS 2</vt:lpstr>
      <vt:lpstr>TP CONTRE TP CAS 3</vt:lpstr>
      <vt:lpstr>TP CONTRE TP CAS 4</vt:lpstr>
      <vt:lpstr>TABLES PARAMETRES METIERS</vt:lpstr>
      <vt:lpstr>CARACTERISTIQUES SOCIETES TAXI</vt:lpstr>
      <vt:lpstr>METIER FORFAIT TAXI</vt:lpstr>
      <vt:lpstr>LISTE DE PRESCRIPTEURS</vt:lpstr>
      <vt:lpstr>CODES COMMUNE &amp; GRANDES VILLES</vt:lpstr>
      <vt:lpstr>METIER KM TAXI</vt:lpstr>
      <vt:lpstr>METIER %KM ALLER RETOUR A VIDE</vt:lpstr>
      <vt:lpstr>SEUIL N1 KM ALLER RETOUR A VIDE</vt:lpstr>
      <vt:lpstr>METIER SUPPL FORFAITAIRE TAXI</vt:lpstr>
      <vt:lpstr>METIER SUPPLEMENT TPMR</vt:lpstr>
      <vt:lpstr>METIER MAJO Nu Di Jf TAXI</vt:lpstr>
      <vt:lpstr>METIER % ABATT TPARTAGE TAXI</vt:lpstr>
      <vt:lpstr>METIER SEUIL X KM SEUL ABATT</vt:lpstr>
      <vt:lpstr>B2 CODES ACTES NELLE CONVENTION</vt:lpstr>
      <vt:lpstr>B2 CODES ACTES TP TP</vt:lpstr>
      <vt:lpstr>'CONVENTION CAS 1'!Impression_des_titres</vt:lpstr>
      <vt:lpstr>'CONVENTION CAS 10'!Impression_des_titres</vt:lpstr>
      <vt:lpstr>'CONVENTION CAS 11'!Impression_des_titres</vt:lpstr>
      <vt:lpstr>'CONVENTION CAS 12'!Impression_des_titres</vt:lpstr>
      <vt:lpstr>'CONVENTION CAS 13'!Impression_des_titres</vt:lpstr>
      <vt:lpstr>'CONVENTION CAS 14'!Impression_des_titres</vt:lpstr>
      <vt:lpstr>'CONVENTION CAS 15'!Impression_des_titres</vt:lpstr>
      <vt:lpstr>'CONVENTION CAS 16'!Impression_des_titres</vt:lpstr>
      <vt:lpstr>'CONVENTION CAS 18'!Impression_des_titres</vt:lpstr>
      <vt:lpstr>'CONVENTION CAS 19'!Impression_des_titres</vt:lpstr>
      <vt:lpstr>'CONVENTION CAS 2'!Impression_des_titres</vt:lpstr>
      <vt:lpstr>'CONVENTION CAS 20'!Impression_des_titres</vt:lpstr>
      <vt:lpstr>'CONVENTION CAS 3'!Impression_des_titres</vt:lpstr>
      <vt:lpstr>'CONVENTION CAS 4'!Impression_des_titres</vt:lpstr>
      <vt:lpstr>'CONVENTION CAS 5'!Impression_des_titres</vt:lpstr>
      <vt:lpstr>'CONVENTION CAS 6'!Impression_des_titres</vt:lpstr>
      <vt:lpstr>'CONVENTION CAS 7'!Impression_des_titres</vt:lpstr>
      <vt:lpstr>'CONVENTION CAS 8'!Impression_des_titres</vt:lpstr>
      <vt:lpstr>'CONVENTION CAS 9'!Impression_des_titres</vt:lpstr>
      <vt:lpstr>'LISTE DES CAS ANNEXE 30'!Impression_des_titres</vt:lpstr>
      <vt:lpstr>'TP CONTRE TP CAS 1'!Impression_des_titres</vt:lpstr>
      <vt:lpstr>'TP CONTRE TP CAS 2'!Impression_des_titres</vt:lpstr>
      <vt:lpstr>'TP CONTRE TP CAS 3'!Impression_des_titres</vt:lpstr>
      <vt:lpstr>'TP CONTRE TP CAS 4'!Impression_des_titres</vt:lpstr>
      <vt:lpstr>Liste_communes</vt:lpstr>
      <vt:lpstr>'CARACTERISTIQUES SOCIETES TAXI'!Zone_d_impression</vt:lpstr>
      <vt:lpstr>'CONVENTION CAS 1'!Zone_d_impression</vt:lpstr>
      <vt:lpstr>'CONVENTION CAS 10'!Zone_d_impression</vt:lpstr>
      <vt:lpstr>'CONVENTION CAS 11'!Zone_d_impression</vt:lpstr>
      <vt:lpstr>'CONVENTION CAS 12'!Zone_d_impression</vt:lpstr>
      <vt:lpstr>'CONVENTION CAS 13'!Zone_d_impression</vt:lpstr>
      <vt:lpstr>'CONVENTION CAS 14'!Zone_d_impression</vt:lpstr>
      <vt:lpstr>'CONVENTION CAS 15'!Zone_d_impression</vt:lpstr>
      <vt:lpstr>'CONVENTION CAS 16'!Zone_d_impression</vt:lpstr>
      <vt:lpstr>'CONVENTION CAS 17'!Zone_d_impression</vt:lpstr>
      <vt:lpstr>'CONVENTION CAS 18'!Zone_d_impression</vt:lpstr>
      <vt:lpstr>'CONVENTION CAS 19'!Zone_d_impression</vt:lpstr>
      <vt:lpstr>'CONVENTION CAS 2'!Zone_d_impression</vt:lpstr>
      <vt:lpstr>'CONVENTION CAS 20'!Zone_d_impression</vt:lpstr>
      <vt:lpstr>'CONVENTION CAS 3'!Zone_d_impression</vt:lpstr>
      <vt:lpstr>'CONVENTION CAS 4'!Zone_d_impression</vt:lpstr>
      <vt:lpstr>'CONVENTION CAS 5'!Zone_d_impression</vt:lpstr>
      <vt:lpstr>'CONVENTION CAS 6'!Zone_d_impression</vt:lpstr>
      <vt:lpstr>'CONVENTION CAS 7'!Zone_d_impression</vt:lpstr>
      <vt:lpstr>'CONVENTION CAS 8'!Zone_d_impression</vt:lpstr>
      <vt:lpstr>'CONVENTION CAS 9'!Zone_d_impression</vt:lpstr>
      <vt:lpstr>'METIER % ABATT TPARTAGE TAXI'!Zone_d_impression</vt:lpstr>
      <vt:lpstr>'METIER %KM ALLER RETOUR A VIDE'!Zone_d_impression</vt:lpstr>
      <vt:lpstr>'METIER FORFAIT TAXI'!Zone_d_impression</vt:lpstr>
      <vt:lpstr>'METIER MAJO Nu Di Jf TAXI'!Zone_d_impression</vt:lpstr>
      <vt:lpstr>'METIER SEUIL X KM SEUL ABATT'!Zone_d_impression</vt:lpstr>
      <vt:lpstr>'METIER SUPPLEMENT TPMR'!Zone_d_impression</vt:lpstr>
      <vt:lpstr>'SEUIL N1 KM ALLER RETOUR A VIDE'!Zone_d_impression</vt:lpstr>
      <vt:lpstr>'TABLES PARAMETRES METIERS'!Zone_d_impression</vt:lpstr>
      <vt:lpstr>'TP CONTRE TP CAS 1'!Zone_d_impression</vt:lpstr>
      <vt:lpstr>'TP CONTRE TP CAS 2'!Zone_d_impression</vt:lpstr>
      <vt:lpstr>'TP CONTRE TP CAS 3'!Zone_d_impression</vt:lpstr>
      <vt:lpstr>'TP CONTRE TP CAS 4'!Zone_d_impression</vt:lpstr>
    </vt:vector>
  </TitlesOfParts>
  <Company>CNAMTS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COUTURIER GAEL</dc:creator>
  <cp:lastModifiedBy>COUTURIER GAEL (CNAM / Paris)</cp:lastModifiedBy>
  <cp:lastPrinted>2025-09-26T08:33:09Z</cp:lastPrinted>
  <dcterms:created xsi:type="dcterms:W3CDTF">2016-10-25T11:36:06Z</dcterms:created>
  <dcterms:modified xsi:type="dcterms:W3CDTF">2025-10-02T13:49:54Z</dcterms:modified>
</cp:coreProperties>
</file>